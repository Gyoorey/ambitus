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MBITUS\"/>
    </mc:Choice>
  </mc:AlternateContent>
  <bookViews>
    <workbookView xWindow="-120" yWindow="-120" windowWidth="20736" windowHeight="11160" activeTab="1"/>
  </bookViews>
  <sheets>
    <sheet name="transpose" sheetId="6" r:id="rId1"/>
    <sheet name="Ábrák" sheetId="7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7645" i="6" l="1"/>
  <c r="CW7645" i="6"/>
  <c r="CV7645" i="6"/>
  <c r="CU7645" i="6"/>
  <c r="CT7645" i="6"/>
  <c r="CS7645" i="6"/>
  <c r="CR7645" i="6"/>
  <c r="CQ7645" i="6"/>
  <c r="CP7645" i="6"/>
  <c r="CO7645" i="6"/>
  <c r="CN7645" i="6"/>
  <c r="CM7645" i="6"/>
  <c r="CL7645" i="6"/>
  <c r="CK7645" i="6"/>
  <c r="CJ7645" i="6"/>
  <c r="CI7645" i="6"/>
  <c r="CH7645" i="6"/>
  <c r="CG7645" i="6"/>
  <c r="CF7645" i="6"/>
  <c r="CE7645" i="6"/>
  <c r="CD7645" i="6"/>
  <c r="CC7645" i="6"/>
  <c r="CB7645" i="6"/>
  <c r="CA7645" i="6"/>
  <c r="BZ7645" i="6"/>
  <c r="BY7645" i="6"/>
  <c r="BX7645" i="6"/>
  <c r="BW7645" i="6"/>
  <c r="BV7645" i="6"/>
  <c r="BU7645" i="6"/>
  <c r="BT7645" i="6"/>
  <c r="BS7645" i="6"/>
  <c r="BR7645" i="6"/>
  <c r="BQ7645" i="6"/>
  <c r="BP7645" i="6"/>
  <c r="BO7645" i="6"/>
  <c r="BN7645" i="6"/>
  <c r="BM7645" i="6"/>
  <c r="BL7645" i="6"/>
  <c r="BK7645" i="6"/>
  <c r="BJ7645" i="6"/>
  <c r="BI7645" i="6"/>
  <c r="BH7645" i="6"/>
  <c r="BG7645" i="6"/>
  <c r="BF7645" i="6"/>
  <c r="BE7645" i="6"/>
  <c r="BD7645" i="6"/>
  <c r="BC7645" i="6"/>
  <c r="CX7644" i="6"/>
  <c r="CW7644" i="6"/>
  <c r="CV7644" i="6"/>
  <c r="CU7644" i="6"/>
  <c r="CT7644" i="6"/>
  <c r="CS7644" i="6"/>
  <c r="CR7644" i="6"/>
  <c r="CQ7644" i="6"/>
  <c r="CP7644" i="6"/>
  <c r="CO7644" i="6"/>
  <c r="CN7644" i="6"/>
  <c r="CM7644" i="6"/>
  <c r="CL7644" i="6"/>
  <c r="CK7644" i="6"/>
  <c r="CJ7644" i="6"/>
  <c r="CI7644" i="6"/>
  <c r="CH7644" i="6"/>
  <c r="CG7644" i="6"/>
  <c r="CF7644" i="6"/>
  <c r="CE7644" i="6"/>
  <c r="CD7644" i="6"/>
  <c r="CC7644" i="6"/>
  <c r="CB7644" i="6"/>
  <c r="CA7644" i="6"/>
  <c r="BZ7644" i="6"/>
  <c r="BY7644" i="6"/>
  <c r="BX7644" i="6"/>
  <c r="BW7644" i="6"/>
  <c r="BV7644" i="6"/>
  <c r="BU7644" i="6"/>
  <c r="BT7644" i="6"/>
  <c r="BS7644" i="6"/>
  <c r="BR7644" i="6"/>
  <c r="BQ7644" i="6"/>
  <c r="BP7644" i="6"/>
  <c r="BO7644" i="6"/>
  <c r="BN7644" i="6"/>
  <c r="BM7644" i="6"/>
  <c r="BL7644" i="6"/>
  <c r="BK7644" i="6"/>
  <c r="BJ7644" i="6"/>
  <c r="BI7644" i="6"/>
  <c r="BH7644" i="6"/>
  <c r="BG7644" i="6"/>
  <c r="BF7644" i="6"/>
  <c r="BE7644" i="6"/>
  <c r="BD7644" i="6"/>
  <c r="BC7644" i="6"/>
  <c r="CX7643" i="6"/>
  <c r="CW7643" i="6"/>
  <c r="CV7643" i="6"/>
  <c r="CU7643" i="6"/>
  <c r="CT7643" i="6"/>
  <c r="CS7643" i="6"/>
  <c r="CR7643" i="6"/>
  <c r="CQ7643" i="6"/>
  <c r="CP7643" i="6"/>
  <c r="CO7643" i="6"/>
  <c r="CN7643" i="6"/>
  <c r="CM7643" i="6"/>
  <c r="CL7643" i="6"/>
  <c r="CK7643" i="6"/>
  <c r="CJ7643" i="6"/>
  <c r="CI7643" i="6"/>
  <c r="CH7643" i="6"/>
  <c r="CG7643" i="6"/>
  <c r="CF7643" i="6"/>
  <c r="CE7643" i="6"/>
  <c r="CD7643" i="6"/>
  <c r="CC7643" i="6"/>
  <c r="CB7643" i="6"/>
  <c r="CA7643" i="6"/>
  <c r="BZ7643" i="6"/>
  <c r="BY7643" i="6"/>
  <c r="BX7643" i="6"/>
  <c r="BW7643" i="6"/>
  <c r="BV7643" i="6"/>
  <c r="BU7643" i="6"/>
  <c r="BT7643" i="6"/>
  <c r="BS7643" i="6"/>
  <c r="BR7643" i="6"/>
  <c r="BQ7643" i="6"/>
  <c r="BP7643" i="6"/>
  <c r="BO7643" i="6"/>
  <c r="BN7643" i="6"/>
  <c r="BM7643" i="6"/>
  <c r="BL7643" i="6"/>
  <c r="BK7643" i="6"/>
  <c r="BJ7643" i="6"/>
  <c r="BI7643" i="6"/>
  <c r="BH7643" i="6"/>
  <c r="BG7643" i="6"/>
  <c r="BF7643" i="6"/>
  <c r="BE7643" i="6"/>
  <c r="BD7643" i="6"/>
  <c r="BC7643" i="6"/>
  <c r="CX7642" i="6"/>
  <c r="CW7642" i="6"/>
  <c r="CV7642" i="6"/>
  <c r="CU7642" i="6"/>
  <c r="CT7642" i="6"/>
  <c r="CS7642" i="6"/>
  <c r="CR7642" i="6"/>
  <c r="CQ7642" i="6"/>
  <c r="CP7642" i="6"/>
  <c r="CO7642" i="6"/>
  <c r="CN7642" i="6"/>
  <c r="CM7642" i="6"/>
  <c r="CL7642" i="6"/>
  <c r="CK7642" i="6"/>
  <c r="CJ7642" i="6"/>
  <c r="CI7642" i="6"/>
  <c r="CH7642" i="6"/>
  <c r="CG7642" i="6"/>
  <c r="CF7642" i="6"/>
  <c r="CE7642" i="6"/>
  <c r="CD7642" i="6"/>
  <c r="CC7642" i="6"/>
  <c r="CB7642" i="6"/>
  <c r="CA7642" i="6"/>
  <c r="BZ7642" i="6"/>
  <c r="BY7642" i="6"/>
  <c r="BX7642" i="6"/>
  <c r="BW7642" i="6"/>
  <c r="BV7642" i="6"/>
  <c r="BU7642" i="6"/>
  <c r="BT7642" i="6"/>
  <c r="BS7642" i="6"/>
  <c r="BR7642" i="6"/>
  <c r="BQ7642" i="6"/>
  <c r="BP7642" i="6"/>
  <c r="BO7642" i="6"/>
  <c r="BN7642" i="6"/>
  <c r="BM7642" i="6"/>
  <c r="BL7642" i="6"/>
  <c r="BK7642" i="6"/>
  <c r="BJ7642" i="6"/>
  <c r="BI7642" i="6"/>
  <c r="BH7642" i="6"/>
  <c r="BG7642" i="6"/>
  <c r="BF7642" i="6"/>
  <c r="BE7642" i="6"/>
  <c r="BD7642" i="6"/>
  <c r="BC7642" i="6"/>
  <c r="CX7641" i="6"/>
  <c r="CW7641" i="6"/>
  <c r="CV7641" i="6"/>
  <c r="CU7641" i="6"/>
  <c r="CT7641" i="6"/>
  <c r="CS7641" i="6"/>
  <c r="CR7641" i="6"/>
  <c r="CQ7641" i="6"/>
  <c r="CP7641" i="6"/>
  <c r="CO7641" i="6"/>
  <c r="CN7641" i="6"/>
  <c r="CM7641" i="6"/>
  <c r="CL7641" i="6"/>
  <c r="CK7641" i="6"/>
  <c r="CJ7641" i="6"/>
  <c r="CI7641" i="6"/>
  <c r="CH7641" i="6"/>
  <c r="CG7641" i="6"/>
  <c r="CF7641" i="6"/>
  <c r="CE7641" i="6"/>
  <c r="CD7641" i="6"/>
  <c r="CC7641" i="6"/>
  <c r="CB7641" i="6"/>
  <c r="CA7641" i="6"/>
  <c r="BZ7641" i="6"/>
  <c r="BY7641" i="6"/>
  <c r="BX7641" i="6"/>
  <c r="BW7641" i="6"/>
  <c r="BV7641" i="6"/>
  <c r="BU7641" i="6"/>
  <c r="BT7641" i="6"/>
  <c r="BS7641" i="6"/>
  <c r="BR7641" i="6"/>
  <c r="BQ7641" i="6"/>
  <c r="BP7641" i="6"/>
  <c r="BO7641" i="6"/>
  <c r="BN7641" i="6"/>
  <c r="BM7641" i="6"/>
  <c r="BL7641" i="6"/>
  <c r="BK7641" i="6"/>
  <c r="BJ7641" i="6"/>
  <c r="BI7641" i="6"/>
  <c r="BH7641" i="6"/>
  <c r="BG7641" i="6"/>
  <c r="BF7641" i="6"/>
  <c r="BE7641" i="6"/>
  <c r="BD7641" i="6"/>
  <c r="BC7641" i="6"/>
  <c r="CX7640" i="6"/>
  <c r="CW7640" i="6"/>
  <c r="CV7640" i="6"/>
  <c r="CU7640" i="6"/>
  <c r="CT7640" i="6"/>
  <c r="CS7640" i="6"/>
  <c r="CR7640" i="6"/>
  <c r="CQ7640" i="6"/>
  <c r="CP7640" i="6"/>
  <c r="CO7640" i="6"/>
  <c r="CN7640" i="6"/>
  <c r="CM7640" i="6"/>
  <c r="CL7640" i="6"/>
  <c r="CK7640" i="6"/>
  <c r="CJ7640" i="6"/>
  <c r="CI7640" i="6"/>
  <c r="CH7640" i="6"/>
  <c r="CG7640" i="6"/>
  <c r="CF7640" i="6"/>
  <c r="CE7640" i="6"/>
  <c r="CD7640" i="6"/>
  <c r="CC7640" i="6"/>
  <c r="CB7640" i="6"/>
  <c r="CA7640" i="6"/>
  <c r="BZ7640" i="6"/>
  <c r="BY7640" i="6"/>
  <c r="BX7640" i="6"/>
  <c r="BW7640" i="6"/>
  <c r="BV7640" i="6"/>
  <c r="BU7640" i="6"/>
  <c r="BT7640" i="6"/>
  <c r="BS7640" i="6"/>
  <c r="BR7640" i="6"/>
  <c r="BQ7640" i="6"/>
  <c r="BP7640" i="6"/>
  <c r="BO7640" i="6"/>
  <c r="BN7640" i="6"/>
  <c r="BM7640" i="6"/>
  <c r="BL7640" i="6"/>
  <c r="BK7640" i="6"/>
  <c r="BJ7640" i="6"/>
  <c r="BI7640" i="6"/>
  <c r="BH7640" i="6"/>
  <c r="BG7640" i="6"/>
  <c r="BF7640" i="6"/>
  <c r="BE7640" i="6"/>
  <c r="BD7640" i="6"/>
  <c r="BC7640" i="6"/>
  <c r="CX7639" i="6"/>
  <c r="CW7639" i="6"/>
  <c r="CV7639" i="6"/>
  <c r="CU7639" i="6"/>
  <c r="CT7639" i="6"/>
  <c r="CS7639" i="6"/>
  <c r="CR7639" i="6"/>
  <c r="CQ7639" i="6"/>
  <c r="CP7639" i="6"/>
  <c r="CO7639" i="6"/>
  <c r="CN7639" i="6"/>
  <c r="CM7639" i="6"/>
  <c r="CL7639" i="6"/>
  <c r="CK7639" i="6"/>
  <c r="CJ7639" i="6"/>
  <c r="CI7639" i="6"/>
  <c r="CH7639" i="6"/>
  <c r="CG7639" i="6"/>
  <c r="CF7639" i="6"/>
  <c r="CE7639" i="6"/>
  <c r="CD7639" i="6"/>
  <c r="CC7639" i="6"/>
  <c r="CB7639" i="6"/>
  <c r="CA7639" i="6"/>
  <c r="BZ7639" i="6"/>
  <c r="BY7639" i="6"/>
  <c r="BX7639" i="6"/>
  <c r="BW7639" i="6"/>
  <c r="BV7639" i="6"/>
  <c r="BU7639" i="6"/>
  <c r="BT7639" i="6"/>
  <c r="BS7639" i="6"/>
  <c r="BR7639" i="6"/>
  <c r="BQ7639" i="6"/>
  <c r="BP7639" i="6"/>
  <c r="BO7639" i="6"/>
  <c r="BN7639" i="6"/>
  <c r="BM7639" i="6"/>
  <c r="BL7639" i="6"/>
  <c r="BK7639" i="6"/>
  <c r="BJ7639" i="6"/>
  <c r="BI7639" i="6"/>
  <c r="BH7639" i="6"/>
  <c r="BG7639" i="6"/>
  <c r="BF7639" i="6"/>
  <c r="BE7639" i="6"/>
  <c r="BD7639" i="6"/>
  <c r="BC7639" i="6"/>
  <c r="CX7638" i="6"/>
  <c r="CW7638" i="6"/>
  <c r="CV7638" i="6"/>
  <c r="CU7638" i="6"/>
  <c r="CT7638" i="6"/>
  <c r="CS7638" i="6"/>
  <c r="CR7638" i="6"/>
  <c r="CQ7638" i="6"/>
  <c r="CP7638" i="6"/>
  <c r="CO7638" i="6"/>
  <c r="CN7638" i="6"/>
  <c r="CM7638" i="6"/>
  <c r="CL7638" i="6"/>
  <c r="CK7638" i="6"/>
  <c r="CJ7638" i="6"/>
  <c r="CI7638" i="6"/>
  <c r="CH7638" i="6"/>
  <c r="CG7638" i="6"/>
  <c r="CF7638" i="6"/>
  <c r="CE7638" i="6"/>
  <c r="CD7638" i="6"/>
  <c r="CC7638" i="6"/>
  <c r="CB7638" i="6"/>
  <c r="CA7638" i="6"/>
  <c r="BZ7638" i="6"/>
  <c r="BY7638" i="6"/>
  <c r="BX7638" i="6"/>
  <c r="BW7638" i="6"/>
  <c r="BV7638" i="6"/>
  <c r="BU7638" i="6"/>
  <c r="BT7638" i="6"/>
  <c r="BS7638" i="6"/>
  <c r="BR7638" i="6"/>
  <c r="BQ7638" i="6"/>
  <c r="BP7638" i="6"/>
  <c r="BO7638" i="6"/>
  <c r="BN7638" i="6"/>
  <c r="BM7638" i="6"/>
  <c r="BL7638" i="6"/>
  <c r="BK7638" i="6"/>
  <c r="BJ7638" i="6"/>
  <c r="BI7638" i="6"/>
  <c r="BH7638" i="6"/>
  <c r="BG7638" i="6"/>
  <c r="BF7638" i="6"/>
  <c r="BE7638" i="6"/>
  <c r="BD7638" i="6"/>
  <c r="BC7638" i="6"/>
  <c r="CX7637" i="6"/>
  <c r="CW7637" i="6"/>
  <c r="CV7637" i="6"/>
  <c r="CU7637" i="6"/>
  <c r="CT7637" i="6"/>
  <c r="CS7637" i="6"/>
  <c r="CR7637" i="6"/>
  <c r="CQ7637" i="6"/>
  <c r="CP7637" i="6"/>
  <c r="CO7637" i="6"/>
  <c r="CN7637" i="6"/>
  <c r="CM7637" i="6"/>
  <c r="CL7637" i="6"/>
  <c r="CK7637" i="6"/>
  <c r="CJ7637" i="6"/>
  <c r="CI7637" i="6"/>
  <c r="CH7637" i="6"/>
  <c r="CG7637" i="6"/>
  <c r="CF7637" i="6"/>
  <c r="CE7637" i="6"/>
  <c r="CD7637" i="6"/>
  <c r="CC7637" i="6"/>
  <c r="CB7637" i="6"/>
  <c r="CA7637" i="6"/>
  <c r="BZ7637" i="6"/>
  <c r="BY7637" i="6"/>
  <c r="BX7637" i="6"/>
  <c r="BW7637" i="6"/>
  <c r="BV7637" i="6"/>
  <c r="BU7637" i="6"/>
  <c r="BT7637" i="6"/>
  <c r="BS7637" i="6"/>
  <c r="BR7637" i="6"/>
  <c r="BQ7637" i="6"/>
  <c r="BP7637" i="6"/>
  <c r="BO7637" i="6"/>
  <c r="BN7637" i="6"/>
  <c r="BM7637" i="6"/>
  <c r="BL7637" i="6"/>
  <c r="BK7637" i="6"/>
  <c r="BJ7637" i="6"/>
  <c r="BI7637" i="6"/>
  <c r="BH7637" i="6"/>
  <c r="BG7637" i="6"/>
  <c r="BF7637" i="6"/>
  <c r="BE7637" i="6"/>
  <c r="BD7637" i="6"/>
  <c r="BC7637" i="6"/>
  <c r="CX7636" i="6"/>
  <c r="CW7636" i="6"/>
  <c r="CV7636" i="6"/>
  <c r="CU7636" i="6"/>
  <c r="CT7636" i="6"/>
  <c r="CS7636" i="6"/>
  <c r="CR7636" i="6"/>
  <c r="CQ7636" i="6"/>
  <c r="CP7636" i="6"/>
  <c r="CO7636" i="6"/>
  <c r="CN7636" i="6"/>
  <c r="CM7636" i="6"/>
  <c r="CL7636" i="6"/>
  <c r="CK7636" i="6"/>
  <c r="CJ7636" i="6"/>
  <c r="CI7636" i="6"/>
  <c r="CH7636" i="6"/>
  <c r="CG7636" i="6"/>
  <c r="CF7636" i="6"/>
  <c r="CE7636" i="6"/>
  <c r="CD7636" i="6"/>
  <c r="CC7636" i="6"/>
  <c r="CB7636" i="6"/>
  <c r="CA7636" i="6"/>
  <c r="BZ7636" i="6"/>
  <c r="BY7636" i="6"/>
  <c r="BX7636" i="6"/>
  <c r="BW7636" i="6"/>
  <c r="BV7636" i="6"/>
  <c r="BU7636" i="6"/>
  <c r="BT7636" i="6"/>
  <c r="BS7636" i="6"/>
  <c r="BR7636" i="6"/>
  <c r="BQ7636" i="6"/>
  <c r="BP7636" i="6"/>
  <c r="BO7636" i="6"/>
  <c r="BN7636" i="6"/>
  <c r="BM7636" i="6"/>
  <c r="BL7636" i="6"/>
  <c r="BK7636" i="6"/>
  <c r="BJ7636" i="6"/>
  <c r="BI7636" i="6"/>
  <c r="BH7636" i="6"/>
  <c r="BG7636" i="6"/>
  <c r="BF7636" i="6"/>
  <c r="BE7636" i="6"/>
  <c r="BD7636" i="6"/>
  <c r="BC7636" i="6"/>
  <c r="CX7635" i="6"/>
  <c r="CW7635" i="6"/>
  <c r="CV7635" i="6"/>
  <c r="CU7635" i="6"/>
  <c r="CT7635" i="6"/>
  <c r="CS7635" i="6"/>
  <c r="CR7635" i="6"/>
  <c r="CQ7635" i="6"/>
  <c r="CP7635" i="6"/>
  <c r="CO7635" i="6"/>
  <c r="CN7635" i="6"/>
  <c r="CM7635" i="6"/>
  <c r="CL7635" i="6"/>
  <c r="CK7635" i="6"/>
  <c r="CJ7635" i="6"/>
  <c r="CI7635" i="6"/>
  <c r="CH7635" i="6"/>
  <c r="CG7635" i="6"/>
  <c r="CF7635" i="6"/>
  <c r="CE7635" i="6"/>
  <c r="CD7635" i="6"/>
  <c r="CC7635" i="6"/>
  <c r="CB7635" i="6"/>
  <c r="CA7635" i="6"/>
  <c r="BZ7635" i="6"/>
  <c r="BY7635" i="6"/>
  <c r="BX7635" i="6"/>
  <c r="BW7635" i="6"/>
  <c r="BV7635" i="6"/>
  <c r="BU7635" i="6"/>
  <c r="BT7635" i="6"/>
  <c r="BS7635" i="6"/>
  <c r="BR7635" i="6"/>
  <c r="BQ7635" i="6"/>
  <c r="BP7635" i="6"/>
  <c r="BO7635" i="6"/>
  <c r="BN7635" i="6"/>
  <c r="BM7635" i="6"/>
  <c r="BL7635" i="6"/>
  <c r="BK7635" i="6"/>
  <c r="BJ7635" i="6"/>
  <c r="BI7635" i="6"/>
  <c r="BH7635" i="6"/>
  <c r="BG7635" i="6"/>
  <c r="BF7635" i="6"/>
  <c r="BE7635" i="6"/>
  <c r="BD7635" i="6"/>
  <c r="BC7635" i="6"/>
  <c r="CX7634" i="6"/>
  <c r="CW7634" i="6"/>
  <c r="CV7634" i="6"/>
  <c r="CU7634" i="6"/>
  <c r="CT7634" i="6"/>
  <c r="CS7634" i="6"/>
  <c r="CR7634" i="6"/>
  <c r="CQ7634" i="6"/>
  <c r="CP7634" i="6"/>
  <c r="CO7634" i="6"/>
  <c r="CN7634" i="6"/>
  <c r="CM7634" i="6"/>
  <c r="CL7634" i="6"/>
  <c r="CK7634" i="6"/>
  <c r="CJ7634" i="6"/>
  <c r="CI7634" i="6"/>
  <c r="CH7634" i="6"/>
  <c r="CG7634" i="6"/>
  <c r="CF7634" i="6"/>
  <c r="CE7634" i="6"/>
  <c r="CD7634" i="6"/>
  <c r="CC7634" i="6"/>
  <c r="CB7634" i="6"/>
  <c r="CA7634" i="6"/>
  <c r="BZ7634" i="6"/>
  <c r="BY7634" i="6"/>
  <c r="BX7634" i="6"/>
  <c r="BW7634" i="6"/>
  <c r="BV7634" i="6"/>
  <c r="BU7634" i="6"/>
  <c r="BT7634" i="6"/>
  <c r="BS7634" i="6"/>
  <c r="BR7634" i="6"/>
  <c r="BQ7634" i="6"/>
  <c r="BP7634" i="6"/>
  <c r="BO7634" i="6"/>
  <c r="BN7634" i="6"/>
  <c r="BM7634" i="6"/>
  <c r="BL7634" i="6"/>
  <c r="BK7634" i="6"/>
  <c r="BJ7634" i="6"/>
  <c r="BI7634" i="6"/>
  <c r="BH7634" i="6"/>
  <c r="BG7634" i="6"/>
  <c r="BF7634" i="6"/>
  <c r="BE7634" i="6"/>
  <c r="BD7634" i="6"/>
  <c r="BC7634" i="6"/>
  <c r="CX7633" i="6"/>
  <c r="CW7633" i="6"/>
  <c r="CV7633" i="6"/>
  <c r="CU7633" i="6"/>
  <c r="CT7633" i="6"/>
  <c r="CS7633" i="6"/>
  <c r="CR7633" i="6"/>
  <c r="CQ7633" i="6"/>
  <c r="CP7633" i="6"/>
  <c r="CO7633" i="6"/>
  <c r="CN7633" i="6"/>
  <c r="CM7633" i="6"/>
  <c r="CL7633" i="6"/>
  <c r="CK7633" i="6"/>
  <c r="CJ7633" i="6"/>
  <c r="CI7633" i="6"/>
  <c r="CH7633" i="6"/>
  <c r="CG7633" i="6"/>
  <c r="CF7633" i="6"/>
  <c r="CE7633" i="6"/>
  <c r="CD7633" i="6"/>
  <c r="CC7633" i="6"/>
  <c r="CB7633" i="6"/>
  <c r="CA7633" i="6"/>
  <c r="BZ7633" i="6"/>
  <c r="BY7633" i="6"/>
  <c r="BX7633" i="6"/>
  <c r="BW7633" i="6"/>
  <c r="BV7633" i="6"/>
  <c r="BU7633" i="6"/>
  <c r="BT7633" i="6"/>
  <c r="BS7633" i="6"/>
  <c r="BR7633" i="6"/>
  <c r="BQ7633" i="6"/>
  <c r="BP7633" i="6"/>
  <c r="BO7633" i="6"/>
  <c r="BN7633" i="6"/>
  <c r="BM7633" i="6"/>
  <c r="BL7633" i="6"/>
  <c r="BK7633" i="6"/>
  <c r="BJ7633" i="6"/>
  <c r="BI7633" i="6"/>
  <c r="BH7633" i="6"/>
  <c r="BG7633" i="6"/>
  <c r="BF7633" i="6"/>
  <c r="BE7633" i="6"/>
  <c r="BD7633" i="6"/>
  <c r="BC7633" i="6"/>
  <c r="CX7632" i="6"/>
  <c r="CW7632" i="6"/>
  <c r="CV7632" i="6"/>
  <c r="CU7632" i="6"/>
  <c r="CT7632" i="6"/>
  <c r="CS7632" i="6"/>
  <c r="CR7632" i="6"/>
  <c r="CQ7632" i="6"/>
  <c r="CP7632" i="6"/>
  <c r="CO7632" i="6"/>
  <c r="CN7632" i="6"/>
  <c r="CM7632" i="6"/>
  <c r="CL7632" i="6"/>
  <c r="CK7632" i="6"/>
  <c r="CJ7632" i="6"/>
  <c r="CI7632" i="6"/>
  <c r="CH7632" i="6"/>
  <c r="CG7632" i="6"/>
  <c r="CF7632" i="6"/>
  <c r="CE7632" i="6"/>
  <c r="CD7632" i="6"/>
  <c r="CC7632" i="6"/>
  <c r="CB7632" i="6"/>
  <c r="CA7632" i="6"/>
  <c r="BZ7632" i="6"/>
  <c r="BY7632" i="6"/>
  <c r="BX7632" i="6"/>
  <c r="BW7632" i="6"/>
  <c r="BV7632" i="6"/>
  <c r="BU7632" i="6"/>
  <c r="BT7632" i="6"/>
  <c r="BS7632" i="6"/>
  <c r="BR7632" i="6"/>
  <c r="BQ7632" i="6"/>
  <c r="BP7632" i="6"/>
  <c r="BO7632" i="6"/>
  <c r="BN7632" i="6"/>
  <c r="BM7632" i="6"/>
  <c r="BL7632" i="6"/>
  <c r="BK7632" i="6"/>
  <c r="BJ7632" i="6"/>
  <c r="BI7632" i="6"/>
  <c r="BH7632" i="6"/>
  <c r="BG7632" i="6"/>
  <c r="BF7632" i="6"/>
  <c r="BE7632" i="6"/>
  <c r="BD7632" i="6"/>
  <c r="BC7632" i="6"/>
  <c r="CX7631" i="6"/>
  <c r="CW7631" i="6"/>
  <c r="CV7631" i="6"/>
  <c r="CU7631" i="6"/>
  <c r="CT7631" i="6"/>
  <c r="CS7631" i="6"/>
  <c r="CR7631" i="6"/>
  <c r="CQ7631" i="6"/>
  <c r="CP7631" i="6"/>
  <c r="CO7631" i="6"/>
  <c r="CN7631" i="6"/>
  <c r="CM7631" i="6"/>
  <c r="CL7631" i="6"/>
  <c r="CK7631" i="6"/>
  <c r="CJ7631" i="6"/>
  <c r="CI7631" i="6"/>
  <c r="CH7631" i="6"/>
  <c r="CG7631" i="6"/>
  <c r="CF7631" i="6"/>
  <c r="CE7631" i="6"/>
  <c r="CD7631" i="6"/>
  <c r="CC7631" i="6"/>
  <c r="CB7631" i="6"/>
  <c r="CA7631" i="6"/>
  <c r="BZ7631" i="6"/>
  <c r="BY7631" i="6"/>
  <c r="BX7631" i="6"/>
  <c r="BW7631" i="6"/>
  <c r="BV7631" i="6"/>
  <c r="BU7631" i="6"/>
  <c r="BT7631" i="6"/>
  <c r="BS7631" i="6"/>
  <c r="BR7631" i="6"/>
  <c r="BQ7631" i="6"/>
  <c r="BP7631" i="6"/>
  <c r="BO7631" i="6"/>
  <c r="BN7631" i="6"/>
  <c r="BM7631" i="6"/>
  <c r="BL7631" i="6"/>
  <c r="BK7631" i="6"/>
  <c r="BJ7631" i="6"/>
  <c r="BI7631" i="6"/>
  <c r="BH7631" i="6"/>
  <c r="BG7631" i="6"/>
  <c r="BF7631" i="6"/>
  <c r="BE7631" i="6"/>
  <c r="BD7631" i="6"/>
  <c r="BC7631" i="6"/>
  <c r="CX7630" i="6"/>
  <c r="CW7630" i="6"/>
  <c r="CV7630" i="6"/>
  <c r="CU7630" i="6"/>
  <c r="CT7630" i="6"/>
  <c r="CS7630" i="6"/>
  <c r="CR7630" i="6"/>
  <c r="CQ7630" i="6"/>
  <c r="CP7630" i="6"/>
  <c r="CO7630" i="6"/>
  <c r="CN7630" i="6"/>
  <c r="CM7630" i="6"/>
  <c r="CL7630" i="6"/>
  <c r="CK7630" i="6"/>
  <c r="CJ7630" i="6"/>
  <c r="CI7630" i="6"/>
  <c r="CH7630" i="6"/>
  <c r="CG7630" i="6"/>
  <c r="CF7630" i="6"/>
  <c r="CE7630" i="6"/>
  <c r="CD7630" i="6"/>
  <c r="CC7630" i="6"/>
  <c r="CB7630" i="6"/>
  <c r="CA7630" i="6"/>
  <c r="BZ7630" i="6"/>
  <c r="BY7630" i="6"/>
  <c r="BX7630" i="6"/>
  <c r="BW7630" i="6"/>
  <c r="BV7630" i="6"/>
  <c r="BU7630" i="6"/>
  <c r="BT7630" i="6"/>
  <c r="BS7630" i="6"/>
  <c r="BR7630" i="6"/>
  <c r="BQ7630" i="6"/>
  <c r="BP7630" i="6"/>
  <c r="BO7630" i="6"/>
  <c r="BN7630" i="6"/>
  <c r="BM7630" i="6"/>
  <c r="BL7630" i="6"/>
  <c r="BK7630" i="6"/>
  <c r="BJ7630" i="6"/>
  <c r="BI7630" i="6"/>
  <c r="BH7630" i="6"/>
  <c r="BG7630" i="6"/>
  <c r="BF7630" i="6"/>
  <c r="BE7630" i="6"/>
  <c r="BD7630" i="6"/>
  <c r="BC7630" i="6"/>
  <c r="CX7629" i="6"/>
  <c r="CW7629" i="6"/>
  <c r="CV7629" i="6"/>
  <c r="CU7629" i="6"/>
  <c r="CT7629" i="6"/>
  <c r="CS7629" i="6"/>
  <c r="CR7629" i="6"/>
  <c r="CQ7629" i="6"/>
  <c r="CP7629" i="6"/>
  <c r="CO7629" i="6"/>
  <c r="CN7629" i="6"/>
  <c r="CM7629" i="6"/>
  <c r="CL7629" i="6"/>
  <c r="CK7629" i="6"/>
  <c r="CJ7629" i="6"/>
  <c r="CI7629" i="6"/>
  <c r="CH7629" i="6"/>
  <c r="CG7629" i="6"/>
  <c r="CF7629" i="6"/>
  <c r="CE7629" i="6"/>
  <c r="CD7629" i="6"/>
  <c r="CC7629" i="6"/>
  <c r="CB7629" i="6"/>
  <c r="CA7629" i="6"/>
  <c r="BZ7629" i="6"/>
  <c r="BY7629" i="6"/>
  <c r="BX7629" i="6"/>
  <c r="BW7629" i="6"/>
  <c r="BV7629" i="6"/>
  <c r="BU7629" i="6"/>
  <c r="BT7629" i="6"/>
  <c r="BS7629" i="6"/>
  <c r="BR7629" i="6"/>
  <c r="BQ7629" i="6"/>
  <c r="BP7629" i="6"/>
  <c r="BO7629" i="6"/>
  <c r="BN7629" i="6"/>
  <c r="BM7629" i="6"/>
  <c r="BL7629" i="6"/>
  <c r="BK7629" i="6"/>
  <c r="BJ7629" i="6"/>
  <c r="BI7629" i="6"/>
  <c r="BH7629" i="6"/>
  <c r="BG7629" i="6"/>
  <c r="BF7629" i="6"/>
  <c r="BE7629" i="6"/>
  <c r="BD7629" i="6"/>
  <c r="BC7629" i="6"/>
  <c r="CX7628" i="6"/>
  <c r="CW7628" i="6"/>
  <c r="CV7628" i="6"/>
  <c r="CU7628" i="6"/>
  <c r="CT7628" i="6"/>
  <c r="CS7628" i="6"/>
  <c r="CR7628" i="6"/>
  <c r="CQ7628" i="6"/>
  <c r="CP7628" i="6"/>
  <c r="CO7628" i="6"/>
  <c r="CN7628" i="6"/>
  <c r="CM7628" i="6"/>
  <c r="CL7628" i="6"/>
  <c r="CK7628" i="6"/>
  <c r="CJ7628" i="6"/>
  <c r="CI7628" i="6"/>
  <c r="CH7628" i="6"/>
  <c r="CG7628" i="6"/>
  <c r="CF7628" i="6"/>
  <c r="CE7628" i="6"/>
  <c r="CD7628" i="6"/>
  <c r="CC7628" i="6"/>
  <c r="CB7628" i="6"/>
  <c r="CA7628" i="6"/>
  <c r="BZ7628" i="6"/>
  <c r="BY7628" i="6"/>
  <c r="BX7628" i="6"/>
  <c r="BW7628" i="6"/>
  <c r="BV7628" i="6"/>
  <c r="BU7628" i="6"/>
  <c r="BT7628" i="6"/>
  <c r="BS7628" i="6"/>
  <c r="BR7628" i="6"/>
  <c r="BQ7628" i="6"/>
  <c r="BP7628" i="6"/>
  <c r="BO7628" i="6"/>
  <c r="BN7628" i="6"/>
  <c r="BM7628" i="6"/>
  <c r="BL7628" i="6"/>
  <c r="BK7628" i="6"/>
  <c r="BJ7628" i="6"/>
  <c r="BI7628" i="6"/>
  <c r="BH7628" i="6"/>
  <c r="BG7628" i="6"/>
  <c r="BF7628" i="6"/>
  <c r="BE7628" i="6"/>
  <c r="BD7628" i="6"/>
  <c r="BC7628" i="6"/>
  <c r="CX7627" i="6"/>
  <c r="CW7627" i="6"/>
  <c r="CV7627" i="6"/>
  <c r="CU7627" i="6"/>
  <c r="CT7627" i="6"/>
  <c r="CS7627" i="6"/>
  <c r="CR7627" i="6"/>
  <c r="CQ7627" i="6"/>
  <c r="CP7627" i="6"/>
  <c r="CO7627" i="6"/>
  <c r="CN7627" i="6"/>
  <c r="CM7627" i="6"/>
  <c r="CL7627" i="6"/>
  <c r="CK7627" i="6"/>
  <c r="CJ7627" i="6"/>
  <c r="CI7627" i="6"/>
  <c r="CH7627" i="6"/>
  <c r="CG7627" i="6"/>
  <c r="CF7627" i="6"/>
  <c r="CE7627" i="6"/>
  <c r="CD7627" i="6"/>
  <c r="CC7627" i="6"/>
  <c r="CB7627" i="6"/>
  <c r="CA7627" i="6"/>
  <c r="BZ7627" i="6"/>
  <c r="BY7627" i="6"/>
  <c r="BX7627" i="6"/>
  <c r="BW7627" i="6"/>
  <c r="BV7627" i="6"/>
  <c r="BU7627" i="6"/>
  <c r="BT7627" i="6"/>
  <c r="BS7627" i="6"/>
  <c r="BR7627" i="6"/>
  <c r="BQ7627" i="6"/>
  <c r="BP7627" i="6"/>
  <c r="BO7627" i="6"/>
  <c r="BN7627" i="6"/>
  <c r="BM7627" i="6"/>
  <c r="BL7627" i="6"/>
  <c r="BK7627" i="6"/>
  <c r="BJ7627" i="6"/>
  <c r="BI7627" i="6"/>
  <c r="BH7627" i="6"/>
  <c r="BG7627" i="6"/>
  <c r="BF7627" i="6"/>
  <c r="BE7627" i="6"/>
  <c r="BD7627" i="6"/>
  <c r="BC7627" i="6"/>
  <c r="CX7626" i="6"/>
  <c r="CW7626" i="6"/>
  <c r="CV7626" i="6"/>
  <c r="CU7626" i="6"/>
  <c r="CT7626" i="6"/>
  <c r="CS7626" i="6"/>
  <c r="CR7626" i="6"/>
  <c r="CQ7626" i="6"/>
  <c r="CP7626" i="6"/>
  <c r="CO7626" i="6"/>
  <c r="CN7626" i="6"/>
  <c r="CM7626" i="6"/>
  <c r="CL7626" i="6"/>
  <c r="CK7626" i="6"/>
  <c r="CJ7626" i="6"/>
  <c r="CI7626" i="6"/>
  <c r="CH7626" i="6"/>
  <c r="CG7626" i="6"/>
  <c r="CF7626" i="6"/>
  <c r="CE7626" i="6"/>
  <c r="CD7626" i="6"/>
  <c r="CC7626" i="6"/>
  <c r="CB7626" i="6"/>
  <c r="CA7626" i="6"/>
  <c r="BZ7626" i="6"/>
  <c r="BY7626" i="6"/>
  <c r="BX7626" i="6"/>
  <c r="BW7626" i="6"/>
  <c r="BV7626" i="6"/>
  <c r="BU7626" i="6"/>
  <c r="BT7626" i="6"/>
  <c r="BS7626" i="6"/>
  <c r="BR7626" i="6"/>
  <c r="BQ7626" i="6"/>
  <c r="BP7626" i="6"/>
  <c r="BO7626" i="6"/>
  <c r="BN7626" i="6"/>
  <c r="BM7626" i="6"/>
  <c r="BL7626" i="6"/>
  <c r="BK7626" i="6"/>
  <c r="BJ7626" i="6"/>
  <c r="BI7626" i="6"/>
  <c r="BH7626" i="6"/>
  <c r="BG7626" i="6"/>
  <c r="BF7626" i="6"/>
  <c r="BE7626" i="6"/>
  <c r="BD7626" i="6"/>
  <c r="BC7626" i="6"/>
  <c r="CX7625" i="6"/>
  <c r="CW7625" i="6"/>
  <c r="CV7625" i="6"/>
  <c r="CU7625" i="6"/>
  <c r="CT7625" i="6"/>
  <c r="CS7625" i="6"/>
  <c r="CR7625" i="6"/>
  <c r="CQ7625" i="6"/>
  <c r="CP7625" i="6"/>
  <c r="CO7625" i="6"/>
  <c r="CN7625" i="6"/>
  <c r="CM7625" i="6"/>
  <c r="CL7625" i="6"/>
  <c r="CK7625" i="6"/>
  <c r="CJ7625" i="6"/>
  <c r="CI7625" i="6"/>
  <c r="CH7625" i="6"/>
  <c r="CG7625" i="6"/>
  <c r="CF7625" i="6"/>
  <c r="CE7625" i="6"/>
  <c r="CD7625" i="6"/>
  <c r="CC7625" i="6"/>
  <c r="CB7625" i="6"/>
  <c r="CA7625" i="6"/>
  <c r="BZ7625" i="6"/>
  <c r="BY7625" i="6"/>
  <c r="BX7625" i="6"/>
  <c r="BW7625" i="6"/>
  <c r="BV7625" i="6"/>
  <c r="BU7625" i="6"/>
  <c r="BT7625" i="6"/>
  <c r="BS7625" i="6"/>
  <c r="BR7625" i="6"/>
  <c r="BQ7625" i="6"/>
  <c r="BP7625" i="6"/>
  <c r="BO7625" i="6"/>
  <c r="BN7625" i="6"/>
  <c r="BM7625" i="6"/>
  <c r="BL7625" i="6"/>
  <c r="BK7625" i="6"/>
  <c r="BJ7625" i="6"/>
  <c r="BI7625" i="6"/>
  <c r="BH7625" i="6"/>
  <c r="BG7625" i="6"/>
  <c r="BF7625" i="6"/>
  <c r="BE7625" i="6"/>
  <c r="BD7625" i="6"/>
  <c r="BC7625" i="6"/>
  <c r="CX7624" i="6"/>
  <c r="CW7624" i="6"/>
  <c r="CV7624" i="6"/>
  <c r="CU7624" i="6"/>
  <c r="CT7624" i="6"/>
  <c r="CS7624" i="6"/>
  <c r="CR7624" i="6"/>
  <c r="CQ7624" i="6"/>
  <c r="CP7624" i="6"/>
  <c r="CO7624" i="6"/>
  <c r="CN7624" i="6"/>
  <c r="CM7624" i="6"/>
  <c r="CL7624" i="6"/>
  <c r="CK7624" i="6"/>
  <c r="CJ7624" i="6"/>
  <c r="CI7624" i="6"/>
  <c r="CH7624" i="6"/>
  <c r="CG7624" i="6"/>
  <c r="CF7624" i="6"/>
  <c r="CE7624" i="6"/>
  <c r="CD7624" i="6"/>
  <c r="CC7624" i="6"/>
  <c r="CB7624" i="6"/>
  <c r="CA7624" i="6"/>
  <c r="BZ7624" i="6"/>
  <c r="BY7624" i="6"/>
  <c r="BX7624" i="6"/>
  <c r="BW7624" i="6"/>
  <c r="BV7624" i="6"/>
  <c r="BU7624" i="6"/>
  <c r="BT7624" i="6"/>
  <c r="BS7624" i="6"/>
  <c r="BR7624" i="6"/>
  <c r="BQ7624" i="6"/>
  <c r="BP7624" i="6"/>
  <c r="BO7624" i="6"/>
  <c r="BN7624" i="6"/>
  <c r="BM7624" i="6"/>
  <c r="BL7624" i="6"/>
  <c r="BK7624" i="6"/>
  <c r="BJ7624" i="6"/>
  <c r="BI7624" i="6"/>
  <c r="BH7624" i="6"/>
  <c r="BG7624" i="6"/>
  <c r="BF7624" i="6"/>
  <c r="BE7624" i="6"/>
  <c r="BD7624" i="6"/>
  <c r="BC7624" i="6"/>
  <c r="CX7623" i="6"/>
  <c r="CW7623" i="6"/>
  <c r="CV7623" i="6"/>
  <c r="CU7623" i="6"/>
  <c r="CT7623" i="6"/>
  <c r="CS7623" i="6"/>
  <c r="CR7623" i="6"/>
  <c r="CQ7623" i="6"/>
  <c r="CP7623" i="6"/>
  <c r="CO7623" i="6"/>
  <c r="CN7623" i="6"/>
  <c r="CM7623" i="6"/>
  <c r="CL7623" i="6"/>
  <c r="CK7623" i="6"/>
  <c r="CJ7623" i="6"/>
  <c r="CI7623" i="6"/>
  <c r="CH7623" i="6"/>
  <c r="CG7623" i="6"/>
  <c r="CF7623" i="6"/>
  <c r="CE7623" i="6"/>
  <c r="CD7623" i="6"/>
  <c r="CC7623" i="6"/>
  <c r="CB7623" i="6"/>
  <c r="CA7623" i="6"/>
  <c r="BZ7623" i="6"/>
  <c r="BY7623" i="6"/>
  <c r="BX7623" i="6"/>
  <c r="BW7623" i="6"/>
  <c r="BV7623" i="6"/>
  <c r="BU7623" i="6"/>
  <c r="BT7623" i="6"/>
  <c r="BS7623" i="6"/>
  <c r="BR7623" i="6"/>
  <c r="BQ7623" i="6"/>
  <c r="BP7623" i="6"/>
  <c r="BO7623" i="6"/>
  <c r="BN7623" i="6"/>
  <c r="BM7623" i="6"/>
  <c r="BL7623" i="6"/>
  <c r="BK7623" i="6"/>
  <c r="BJ7623" i="6"/>
  <c r="BI7623" i="6"/>
  <c r="BH7623" i="6"/>
  <c r="BG7623" i="6"/>
  <c r="BF7623" i="6"/>
  <c r="BE7623" i="6"/>
  <c r="BD7623" i="6"/>
  <c r="BC7623" i="6"/>
  <c r="CX7622" i="6"/>
  <c r="CW7622" i="6"/>
  <c r="CV7622" i="6"/>
  <c r="CU7622" i="6"/>
  <c r="CT7622" i="6"/>
  <c r="CS7622" i="6"/>
  <c r="CR7622" i="6"/>
  <c r="CQ7622" i="6"/>
  <c r="CP7622" i="6"/>
  <c r="CO7622" i="6"/>
  <c r="CN7622" i="6"/>
  <c r="CM7622" i="6"/>
  <c r="CL7622" i="6"/>
  <c r="CK7622" i="6"/>
  <c r="CJ7622" i="6"/>
  <c r="CI7622" i="6"/>
  <c r="CH7622" i="6"/>
  <c r="CG7622" i="6"/>
  <c r="CF7622" i="6"/>
  <c r="CE7622" i="6"/>
  <c r="CD7622" i="6"/>
  <c r="CC7622" i="6"/>
  <c r="CB7622" i="6"/>
  <c r="CA7622" i="6"/>
  <c r="BZ7622" i="6"/>
  <c r="BY7622" i="6"/>
  <c r="BX7622" i="6"/>
  <c r="BW7622" i="6"/>
  <c r="BV7622" i="6"/>
  <c r="BU7622" i="6"/>
  <c r="BT7622" i="6"/>
  <c r="BS7622" i="6"/>
  <c r="BR7622" i="6"/>
  <c r="BQ7622" i="6"/>
  <c r="BP7622" i="6"/>
  <c r="BO7622" i="6"/>
  <c r="BN7622" i="6"/>
  <c r="BM7622" i="6"/>
  <c r="BL7622" i="6"/>
  <c r="BK7622" i="6"/>
  <c r="BJ7622" i="6"/>
  <c r="BI7622" i="6"/>
  <c r="BH7622" i="6"/>
  <c r="BG7622" i="6"/>
  <c r="BF7622" i="6"/>
  <c r="BE7622" i="6"/>
  <c r="BD7622" i="6"/>
  <c r="BC7622" i="6"/>
  <c r="CX7621" i="6"/>
  <c r="CW7621" i="6"/>
  <c r="CV7621" i="6"/>
  <c r="CU7621" i="6"/>
  <c r="CT7621" i="6"/>
  <c r="CS7621" i="6"/>
  <c r="CR7621" i="6"/>
  <c r="CQ7621" i="6"/>
  <c r="CP7621" i="6"/>
  <c r="CO7621" i="6"/>
  <c r="CN7621" i="6"/>
  <c r="CM7621" i="6"/>
  <c r="CL7621" i="6"/>
  <c r="CK7621" i="6"/>
  <c r="CJ7621" i="6"/>
  <c r="CI7621" i="6"/>
  <c r="CH7621" i="6"/>
  <c r="CG7621" i="6"/>
  <c r="CF7621" i="6"/>
  <c r="CE7621" i="6"/>
  <c r="CD7621" i="6"/>
  <c r="CC7621" i="6"/>
  <c r="CB7621" i="6"/>
  <c r="CA7621" i="6"/>
  <c r="BZ7621" i="6"/>
  <c r="BY7621" i="6"/>
  <c r="BX7621" i="6"/>
  <c r="BW7621" i="6"/>
  <c r="BV7621" i="6"/>
  <c r="BU7621" i="6"/>
  <c r="BT7621" i="6"/>
  <c r="BS7621" i="6"/>
  <c r="BR7621" i="6"/>
  <c r="BQ7621" i="6"/>
  <c r="BP7621" i="6"/>
  <c r="BO7621" i="6"/>
  <c r="BN7621" i="6"/>
  <c r="BM7621" i="6"/>
  <c r="BL7621" i="6"/>
  <c r="BK7621" i="6"/>
  <c r="BJ7621" i="6"/>
  <c r="BI7621" i="6"/>
  <c r="BH7621" i="6"/>
  <c r="BG7621" i="6"/>
  <c r="BF7621" i="6"/>
  <c r="BE7621" i="6"/>
  <c r="BD7621" i="6"/>
  <c r="BC7621" i="6"/>
  <c r="CX7620" i="6"/>
  <c r="CW7620" i="6"/>
  <c r="CV7620" i="6"/>
  <c r="CU7620" i="6"/>
  <c r="CT7620" i="6"/>
  <c r="CS7620" i="6"/>
  <c r="CR7620" i="6"/>
  <c r="CQ7620" i="6"/>
  <c r="CP7620" i="6"/>
  <c r="CO7620" i="6"/>
  <c r="CN7620" i="6"/>
  <c r="CM7620" i="6"/>
  <c r="CL7620" i="6"/>
  <c r="CK7620" i="6"/>
  <c r="CJ7620" i="6"/>
  <c r="CI7620" i="6"/>
  <c r="CH7620" i="6"/>
  <c r="CG7620" i="6"/>
  <c r="CF7620" i="6"/>
  <c r="CE7620" i="6"/>
  <c r="CD7620" i="6"/>
  <c r="CC7620" i="6"/>
  <c r="CB7620" i="6"/>
  <c r="CA7620" i="6"/>
  <c r="BZ7620" i="6"/>
  <c r="BY7620" i="6"/>
  <c r="BX7620" i="6"/>
  <c r="BW7620" i="6"/>
  <c r="BV7620" i="6"/>
  <c r="BU7620" i="6"/>
  <c r="BT7620" i="6"/>
  <c r="BS7620" i="6"/>
  <c r="BR7620" i="6"/>
  <c r="BQ7620" i="6"/>
  <c r="BP7620" i="6"/>
  <c r="BO7620" i="6"/>
  <c r="BN7620" i="6"/>
  <c r="BM7620" i="6"/>
  <c r="BL7620" i="6"/>
  <c r="BK7620" i="6"/>
  <c r="BJ7620" i="6"/>
  <c r="BI7620" i="6"/>
  <c r="BH7620" i="6"/>
  <c r="BG7620" i="6"/>
  <c r="BF7620" i="6"/>
  <c r="BE7620" i="6"/>
  <c r="BD7620" i="6"/>
  <c r="BC7620" i="6"/>
  <c r="CX7619" i="6"/>
  <c r="CW7619" i="6"/>
  <c r="CV7619" i="6"/>
  <c r="CU7619" i="6"/>
  <c r="CT7619" i="6"/>
  <c r="CS7619" i="6"/>
  <c r="CR7619" i="6"/>
  <c r="CQ7619" i="6"/>
  <c r="CP7619" i="6"/>
  <c r="CO7619" i="6"/>
  <c r="CN7619" i="6"/>
  <c r="CM7619" i="6"/>
  <c r="CL7619" i="6"/>
  <c r="CK7619" i="6"/>
  <c r="CJ7619" i="6"/>
  <c r="CI7619" i="6"/>
  <c r="CH7619" i="6"/>
  <c r="CG7619" i="6"/>
  <c r="CF7619" i="6"/>
  <c r="CE7619" i="6"/>
  <c r="CD7619" i="6"/>
  <c r="CC7619" i="6"/>
  <c r="CB7619" i="6"/>
  <c r="CA7619" i="6"/>
  <c r="BZ7619" i="6"/>
  <c r="BY7619" i="6"/>
  <c r="BX7619" i="6"/>
  <c r="BW7619" i="6"/>
  <c r="BV7619" i="6"/>
  <c r="BU7619" i="6"/>
  <c r="BT7619" i="6"/>
  <c r="BS7619" i="6"/>
  <c r="BR7619" i="6"/>
  <c r="BQ7619" i="6"/>
  <c r="BP7619" i="6"/>
  <c r="BO7619" i="6"/>
  <c r="BN7619" i="6"/>
  <c r="BM7619" i="6"/>
  <c r="BL7619" i="6"/>
  <c r="BK7619" i="6"/>
  <c r="BJ7619" i="6"/>
  <c r="BI7619" i="6"/>
  <c r="BH7619" i="6"/>
  <c r="BG7619" i="6"/>
  <c r="BF7619" i="6"/>
  <c r="BE7619" i="6"/>
  <c r="BD7619" i="6"/>
  <c r="BC7619" i="6"/>
  <c r="CX7618" i="6"/>
  <c r="CW7618" i="6"/>
  <c r="CV7618" i="6"/>
  <c r="CU7618" i="6"/>
  <c r="CT7618" i="6"/>
  <c r="CS7618" i="6"/>
  <c r="CR7618" i="6"/>
  <c r="CQ7618" i="6"/>
  <c r="CP7618" i="6"/>
  <c r="CO7618" i="6"/>
  <c r="CN7618" i="6"/>
  <c r="CM7618" i="6"/>
  <c r="CL7618" i="6"/>
  <c r="CK7618" i="6"/>
  <c r="CJ7618" i="6"/>
  <c r="CI7618" i="6"/>
  <c r="CH7618" i="6"/>
  <c r="CG7618" i="6"/>
  <c r="CF7618" i="6"/>
  <c r="CE7618" i="6"/>
  <c r="CD7618" i="6"/>
  <c r="CC7618" i="6"/>
  <c r="CB7618" i="6"/>
  <c r="CA7618" i="6"/>
  <c r="BZ7618" i="6"/>
  <c r="BY7618" i="6"/>
  <c r="BX7618" i="6"/>
  <c r="BW7618" i="6"/>
  <c r="BV7618" i="6"/>
  <c r="BU7618" i="6"/>
  <c r="BT7618" i="6"/>
  <c r="BS7618" i="6"/>
  <c r="BR7618" i="6"/>
  <c r="BQ7618" i="6"/>
  <c r="BP7618" i="6"/>
  <c r="BO7618" i="6"/>
  <c r="BN7618" i="6"/>
  <c r="BM7618" i="6"/>
  <c r="BL7618" i="6"/>
  <c r="BK7618" i="6"/>
  <c r="BJ7618" i="6"/>
  <c r="BI7618" i="6"/>
  <c r="BH7618" i="6"/>
  <c r="BG7618" i="6"/>
  <c r="BF7618" i="6"/>
  <c r="BE7618" i="6"/>
  <c r="BD7618" i="6"/>
  <c r="BC7618" i="6"/>
  <c r="CX7617" i="6"/>
  <c r="CW7617" i="6"/>
  <c r="CV7617" i="6"/>
  <c r="CU7617" i="6"/>
  <c r="CT7617" i="6"/>
  <c r="CS7617" i="6"/>
  <c r="CR7617" i="6"/>
  <c r="CQ7617" i="6"/>
  <c r="CP7617" i="6"/>
  <c r="CO7617" i="6"/>
  <c r="CN7617" i="6"/>
  <c r="CM7617" i="6"/>
  <c r="CL7617" i="6"/>
  <c r="CK7617" i="6"/>
  <c r="CJ7617" i="6"/>
  <c r="CI7617" i="6"/>
  <c r="CH7617" i="6"/>
  <c r="CG7617" i="6"/>
  <c r="CF7617" i="6"/>
  <c r="CE7617" i="6"/>
  <c r="CD7617" i="6"/>
  <c r="CC7617" i="6"/>
  <c r="CB7617" i="6"/>
  <c r="CA7617" i="6"/>
  <c r="BZ7617" i="6"/>
  <c r="BY7617" i="6"/>
  <c r="BX7617" i="6"/>
  <c r="BW7617" i="6"/>
  <c r="BV7617" i="6"/>
  <c r="BU7617" i="6"/>
  <c r="BT7617" i="6"/>
  <c r="BS7617" i="6"/>
  <c r="BR7617" i="6"/>
  <c r="BQ7617" i="6"/>
  <c r="BP7617" i="6"/>
  <c r="BO7617" i="6"/>
  <c r="BN7617" i="6"/>
  <c r="BM7617" i="6"/>
  <c r="BL7617" i="6"/>
  <c r="BK7617" i="6"/>
  <c r="BJ7617" i="6"/>
  <c r="BI7617" i="6"/>
  <c r="BH7617" i="6"/>
  <c r="BG7617" i="6"/>
  <c r="BF7617" i="6"/>
  <c r="BE7617" i="6"/>
  <c r="BD7617" i="6"/>
  <c r="BC7617" i="6"/>
  <c r="CX7616" i="6"/>
  <c r="CW7616" i="6"/>
  <c r="CV7616" i="6"/>
  <c r="CU7616" i="6"/>
  <c r="CT7616" i="6"/>
  <c r="CS7616" i="6"/>
  <c r="CR7616" i="6"/>
  <c r="CQ7616" i="6"/>
  <c r="CP7616" i="6"/>
  <c r="CO7616" i="6"/>
  <c r="CN7616" i="6"/>
  <c r="CM7616" i="6"/>
  <c r="CL7616" i="6"/>
  <c r="CK7616" i="6"/>
  <c r="CJ7616" i="6"/>
  <c r="CI7616" i="6"/>
  <c r="CH7616" i="6"/>
  <c r="CG7616" i="6"/>
  <c r="CF7616" i="6"/>
  <c r="CE7616" i="6"/>
  <c r="CD7616" i="6"/>
  <c r="CC7616" i="6"/>
  <c r="CB7616" i="6"/>
  <c r="CA7616" i="6"/>
  <c r="BZ7616" i="6"/>
  <c r="BY7616" i="6"/>
  <c r="BX7616" i="6"/>
  <c r="BW7616" i="6"/>
  <c r="BV7616" i="6"/>
  <c r="BU7616" i="6"/>
  <c r="BT7616" i="6"/>
  <c r="BS7616" i="6"/>
  <c r="BR7616" i="6"/>
  <c r="BQ7616" i="6"/>
  <c r="BP7616" i="6"/>
  <c r="BO7616" i="6"/>
  <c r="BN7616" i="6"/>
  <c r="BM7616" i="6"/>
  <c r="BL7616" i="6"/>
  <c r="BK7616" i="6"/>
  <c r="BJ7616" i="6"/>
  <c r="BI7616" i="6"/>
  <c r="BH7616" i="6"/>
  <c r="BG7616" i="6"/>
  <c r="BF7616" i="6"/>
  <c r="BE7616" i="6"/>
  <c r="BD7616" i="6"/>
  <c r="BC7616" i="6"/>
  <c r="CX7615" i="6"/>
  <c r="CW7615" i="6"/>
  <c r="CV7615" i="6"/>
  <c r="CU7615" i="6"/>
  <c r="CT7615" i="6"/>
  <c r="CS7615" i="6"/>
  <c r="CR7615" i="6"/>
  <c r="CQ7615" i="6"/>
  <c r="CP7615" i="6"/>
  <c r="CO7615" i="6"/>
  <c r="CN7615" i="6"/>
  <c r="CM7615" i="6"/>
  <c r="CL7615" i="6"/>
  <c r="CK7615" i="6"/>
  <c r="CJ7615" i="6"/>
  <c r="CI7615" i="6"/>
  <c r="CH7615" i="6"/>
  <c r="CG7615" i="6"/>
  <c r="CF7615" i="6"/>
  <c r="CE7615" i="6"/>
  <c r="CD7615" i="6"/>
  <c r="CC7615" i="6"/>
  <c r="CB7615" i="6"/>
  <c r="CA7615" i="6"/>
  <c r="BZ7615" i="6"/>
  <c r="BY7615" i="6"/>
  <c r="BX7615" i="6"/>
  <c r="BW7615" i="6"/>
  <c r="BV7615" i="6"/>
  <c r="BU7615" i="6"/>
  <c r="BT7615" i="6"/>
  <c r="BS7615" i="6"/>
  <c r="BR7615" i="6"/>
  <c r="BQ7615" i="6"/>
  <c r="BP7615" i="6"/>
  <c r="BO7615" i="6"/>
  <c r="BN7615" i="6"/>
  <c r="BM7615" i="6"/>
  <c r="BL7615" i="6"/>
  <c r="BK7615" i="6"/>
  <c r="BJ7615" i="6"/>
  <c r="BI7615" i="6"/>
  <c r="BH7615" i="6"/>
  <c r="BG7615" i="6"/>
  <c r="BF7615" i="6"/>
  <c r="BE7615" i="6"/>
  <c r="BD7615" i="6"/>
  <c r="BC7615" i="6"/>
  <c r="CX7614" i="6"/>
  <c r="CW7614" i="6"/>
  <c r="CV7614" i="6"/>
  <c r="CU7614" i="6"/>
  <c r="CT7614" i="6"/>
  <c r="CS7614" i="6"/>
  <c r="CR7614" i="6"/>
  <c r="CQ7614" i="6"/>
  <c r="CP7614" i="6"/>
  <c r="CO7614" i="6"/>
  <c r="CN7614" i="6"/>
  <c r="CM7614" i="6"/>
  <c r="CL7614" i="6"/>
  <c r="CK7614" i="6"/>
  <c r="CJ7614" i="6"/>
  <c r="CI7614" i="6"/>
  <c r="CH7614" i="6"/>
  <c r="CG7614" i="6"/>
  <c r="CF7614" i="6"/>
  <c r="CE7614" i="6"/>
  <c r="CD7614" i="6"/>
  <c r="CC7614" i="6"/>
  <c r="CB7614" i="6"/>
  <c r="CA7614" i="6"/>
  <c r="BZ7614" i="6"/>
  <c r="BY7614" i="6"/>
  <c r="BX7614" i="6"/>
  <c r="BW7614" i="6"/>
  <c r="BV7614" i="6"/>
  <c r="BU7614" i="6"/>
  <c r="BT7614" i="6"/>
  <c r="BS7614" i="6"/>
  <c r="BR7614" i="6"/>
  <c r="BQ7614" i="6"/>
  <c r="BP7614" i="6"/>
  <c r="BO7614" i="6"/>
  <c r="BN7614" i="6"/>
  <c r="BM7614" i="6"/>
  <c r="BL7614" i="6"/>
  <c r="BK7614" i="6"/>
  <c r="BJ7614" i="6"/>
  <c r="BI7614" i="6"/>
  <c r="BH7614" i="6"/>
  <c r="BG7614" i="6"/>
  <c r="BF7614" i="6"/>
  <c r="BE7614" i="6"/>
  <c r="BD7614" i="6"/>
  <c r="BC7614" i="6"/>
  <c r="CX7613" i="6"/>
  <c r="CW7613" i="6"/>
  <c r="CV7613" i="6"/>
  <c r="CU7613" i="6"/>
  <c r="CT7613" i="6"/>
  <c r="CS7613" i="6"/>
  <c r="CR7613" i="6"/>
  <c r="CQ7613" i="6"/>
  <c r="CP7613" i="6"/>
  <c r="CO7613" i="6"/>
  <c r="CN7613" i="6"/>
  <c r="CM7613" i="6"/>
  <c r="CL7613" i="6"/>
  <c r="CK7613" i="6"/>
  <c r="CJ7613" i="6"/>
  <c r="CI7613" i="6"/>
  <c r="CH7613" i="6"/>
  <c r="CG7613" i="6"/>
  <c r="CF7613" i="6"/>
  <c r="CE7613" i="6"/>
  <c r="CD7613" i="6"/>
  <c r="CC7613" i="6"/>
  <c r="CB7613" i="6"/>
  <c r="CA7613" i="6"/>
  <c r="BZ7613" i="6"/>
  <c r="BY7613" i="6"/>
  <c r="BX7613" i="6"/>
  <c r="BW7613" i="6"/>
  <c r="BV7613" i="6"/>
  <c r="BU7613" i="6"/>
  <c r="BT7613" i="6"/>
  <c r="BS7613" i="6"/>
  <c r="BR7613" i="6"/>
  <c r="BQ7613" i="6"/>
  <c r="BP7613" i="6"/>
  <c r="BO7613" i="6"/>
  <c r="BN7613" i="6"/>
  <c r="BM7613" i="6"/>
  <c r="BL7613" i="6"/>
  <c r="BK7613" i="6"/>
  <c r="BJ7613" i="6"/>
  <c r="BI7613" i="6"/>
  <c r="BH7613" i="6"/>
  <c r="BG7613" i="6"/>
  <c r="BF7613" i="6"/>
  <c r="BE7613" i="6"/>
  <c r="BD7613" i="6"/>
  <c r="BC7613" i="6"/>
  <c r="CX7612" i="6"/>
  <c r="CW7612" i="6"/>
  <c r="CV7612" i="6"/>
  <c r="CU7612" i="6"/>
  <c r="CT7612" i="6"/>
  <c r="CS7612" i="6"/>
  <c r="CR7612" i="6"/>
  <c r="CQ7612" i="6"/>
  <c r="CP7612" i="6"/>
  <c r="CO7612" i="6"/>
  <c r="CN7612" i="6"/>
  <c r="CM7612" i="6"/>
  <c r="CL7612" i="6"/>
  <c r="CK7612" i="6"/>
  <c r="CJ7612" i="6"/>
  <c r="CI7612" i="6"/>
  <c r="CH7612" i="6"/>
  <c r="CG7612" i="6"/>
  <c r="CF7612" i="6"/>
  <c r="CE7612" i="6"/>
  <c r="CD7612" i="6"/>
  <c r="CC7612" i="6"/>
  <c r="CB7612" i="6"/>
  <c r="CA7612" i="6"/>
  <c r="BZ7612" i="6"/>
  <c r="BY7612" i="6"/>
  <c r="BX7612" i="6"/>
  <c r="BW7612" i="6"/>
  <c r="BV7612" i="6"/>
  <c r="BU7612" i="6"/>
  <c r="BT7612" i="6"/>
  <c r="BS7612" i="6"/>
  <c r="BR7612" i="6"/>
  <c r="BQ7612" i="6"/>
  <c r="BP7612" i="6"/>
  <c r="BO7612" i="6"/>
  <c r="BN7612" i="6"/>
  <c r="BM7612" i="6"/>
  <c r="BL7612" i="6"/>
  <c r="BK7612" i="6"/>
  <c r="BJ7612" i="6"/>
  <c r="BI7612" i="6"/>
  <c r="BH7612" i="6"/>
  <c r="BG7612" i="6"/>
  <c r="BF7612" i="6"/>
  <c r="BE7612" i="6"/>
  <c r="BD7612" i="6"/>
  <c r="BC7612" i="6"/>
  <c r="CX7611" i="6"/>
  <c r="CW7611" i="6"/>
  <c r="CV7611" i="6"/>
  <c r="CU7611" i="6"/>
  <c r="CT7611" i="6"/>
  <c r="CS7611" i="6"/>
  <c r="CR7611" i="6"/>
  <c r="CQ7611" i="6"/>
  <c r="CP7611" i="6"/>
  <c r="CO7611" i="6"/>
  <c r="CN7611" i="6"/>
  <c r="CM7611" i="6"/>
  <c r="CL7611" i="6"/>
  <c r="CK7611" i="6"/>
  <c r="CJ7611" i="6"/>
  <c r="CI7611" i="6"/>
  <c r="CH7611" i="6"/>
  <c r="CG7611" i="6"/>
  <c r="CF7611" i="6"/>
  <c r="CE7611" i="6"/>
  <c r="CD7611" i="6"/>
  <c r="CC7611" i="6"/>
  <c r="CB7611" i="6"/>
  <c r="CA7611" i="6"/>
  <c r="BZ7611" i="6"/>
  <c r="BY7611" i="6"/>
  <c r="BX7611" i="6"/>
  <c r="BW7611" i="6"/>
  <c r="BV7611" i="6"/>
  <c r="BU7611" i="6"/>
  <c r="BT7611" i="6"/>
  <c r="BS7611" i="6"/>
  <c r="BR7611" i="6"/>
  <c r="BQ7611" i="6"/>
  <c r="BP7611" i="6"/>
  <c r="BO7611" i="6"/>
  <c r="BN7611" i="6"/>
  <c r="BM7611" i="6"/>
  <c r="BL7611" i="6"/>
  <c r="BK7611" i="6"/>
  <c r="BJ7611" i="6"/>
  <c r="BI7611" i="6"/>
  <c r="BH7611" i="6"/>
  <c r="BG7611" i="6"/>
  <c r="BF7611" i="6"/>
  <c r="BE7611" i="6"/>
  <c r="BD7611" i="6"/>
  <c r="BC7611" i="6"/>
  <c r="CX7610" i="6"/>
  <c r="CW7610" i="6"/>
  <c r="CV7610" i="6"/>
  <c r="CU7610" i="6"/>
  <c r="CT7610" i="6"/>
  <c r="CS7610" i="6"/>
  <c r="CR7610" i="6"/>
  <c r="CQ7610" i="6"/>
  <c r="CP7610" i="6"/>
  <c r="CO7610" i="6"/>
  <c r="CN7610" i="6"/>
  <c r="CM7610" i="6"/>
  <c r="CL7610" i="6"/>
  <c r="CK7610" i="6"/>
  <c r="CJ7610" i="6"/>
  <c r="CI7610" i="6"/>
  <c r="CH7610" i="6"/>
  <c r="CG7610" i="6"/>
  <c r="CF7610" i="6"/>
  <c r="CE7610" i="6"/>
  <c r="CD7610" i="6"/>
  <c r="CC7610" i="6"/>
  <c r="CB7610" i="6"/>
  <c r="CA7610" i="6"/>
  <c r="BZ7610" i="6"/>
  <c r="BY7610" i="6"/>
  <c r="BX7610" i="6"/>
  <c r="BW7610" i="6"/>
  <c r="BV7610" i="6"/>
  <c r="BU7610" i="6"/>
  <c r="BT7610" i="6"/>
  <c r="BS7610" i="6"/>
  <c r="BR7610" i="6"/>
  <c r="BQ7610" i="6"/>
  <c r="BP7610" i="6"/>
  <c r="BO7610" i="6"/>
  <c r="BN7610" i="6"/>
  <c r="BM7610" i="6"/>
  <c r="BL7610" i="6"/>
  <c r="BK7610" i="6"/>
  <c r="BJ7610" i="6"/>
  <c r="BI7610" i="6"/>
  <c r="BH7610" i="6"/>
  <c r="BG7610" i="6"/>
  <c r="BF7610" i="6"/>
  <c r="BE7610" i="6"/>
  <c r="BD7610" i="6"/>
  <c r="BC7610" i="6"/>
  <c r="CX7609" i="6"/>
  <c r="CW7609" i="6"/>
  <c r="CV7609" i="6"/>
  <c r="CU7609" i="6"/>
  <c r="CT7609" i="6"/>
  <c r="CS7609" i="6"/>
  <c r="CR7609" i="6"/>
  <c r="CQ7609" i="6"/>
  <c r="CP7609" i="6"/>
  <c r="CO7609" i="6"/>
  <c r="CN7609" i="6"/>
  <c r="CM7609" i="6"/>
  <c r="CL7609" i="6"/>
  <c r="CK7609" i="6"/>
  <c r="CJ7609" i="6"/>
  <c r="CI7609" i="6"/>
  <c r="CH7609" i="6"/>
  <c r="CG7609" i="6"/>
  <c r="CF7609" i="6"/>
  <c r="CE7609" i="6"/>
  <c r="CD7609" i="6"/>
  <c r="CC7609" i="6"/>
  <c r="CB7609" i="6"/>
  <c r="CA7609" i="6"/>
  <c r="BZ7609" i="6"/>
  <c r="BY7609" i="6"/>
  <c r="BX7609" i="6"/>
  <c r="BW7609" i="6"/>
  <c r="BV7609" i="6"/>
  <c r="BU7609" i="6"/>
  <c r="BT7609" i="6"/>
  <c r="BS7609" i="6"/>
  <c r="BR7609" i="6"/>
  <c r="BQ7609" i="6"/>
  <c r="BP7609" i="6"/>
  <c r="BO7609" i="6"/>
  <c r="BN7609" i="6"/>
  <c r="BM7609" i="6"/>
  <c r="BL7609" i="6"/>
  <c r="BK7609" i="6"/>
  <c r="BJ7609" i="6"/>
  <c r="BI7609" i="6"/>
  <c r="BH7609" i="6"/>
  <c r="BG7609" i="6"/>
  <c r="BF7609" i="6"/>
  <c r="BE7609" i="6"/>
  <c r="BD7609" i="6"/>
  <c r="BC7609" i="6"/>
  <c r="CX7608" i="6"/>
  <c r="CW7608" i="6"/>
  <c r="CV7608" i="6"/>
  <c r="CU7608" i="6"/>
  <c r="CT7608" i="6"/>
  <c r="CS7608" i="6"/>
  <c r="CR7608" i="6"/>
  <c r="CQ7608" i="6"/>
  <c r="CP7608" i="6"/>
  <c r="CO7608" i="6"/>
  <c r="CN7608" i="6"/>
  <c r="CM7608" i="6"/>
  <c r="CL7608" i="6"/>
  <c r="CK7608" i="6"/>
  <c r="CJ7608" i="6"/>
  <c r="CI7608" i="6"/>
  <c r="CH7608" i="6"/>
  <c r="CG7608" i="6"/>
  <c r="CF7608" i="6"/>
  <c r="CE7608" i="6"/>
  <c r="CD7608" i="6"/>
  <c r="CC7608" i="6"/>
  <c r="CB7608" i="6"/>
  <c r="CA7608" i="6"/>
  <c r="BZ7608" i="6"/>
  <c r="BY7608" i="6"/>
  <c r="BX7608" i="6"/>
  <c r="BW7608" i="6"/>
  <c r="BV7608" i="6"/>
  <c r="BU7608" i="6"/>
  <c r="BT7608" i="6"/>
  <c r="BS7608" i="6"/>
  <c r="BR7608" i="6"/>
  <c r="BQ7608" i="6"/>
  <c r="BP7608" i="6"/>
  <c r="BO7608" i="6"/>
  <c r="BN7608" i="6"/>
  <c r="BM7608" i="6"/>
  <c r="BL7608" i="6"/>
  <c r="BK7608" i="6"/>
  <c r="BJ7608" i="6"/>
  <c r="BI7608" i="6"/>
  <c r="BH7608" i="6"/>
  <c r="BG7608" i="6"/>
  <c r="BF7608" i="6"/>
  <c r="BE7608" i="6"/>
  <c r="BD7608" i="6"/>
  <c r="BC7608" i="6"/>
  <c r="CX7607" i="6"/>
  <c r="CW7607" i="6"/>
  <c r="CV7607" i="6"/>
  <c r="CU7607" i="6"/>
  <c r="CT7607" i="6"/>
  <c r="CS7607" i="6"/>
  <c r="CR7607" i="6"/>
  <c r="CQ7607" i="6"/>
  <c r="CP7607" i="6"/>
  <c r="CO7607" i="6"/>
  <c r="CN7607" i="6"/>
  <c r="CM7607" i="6"/>
  <c r="CL7607" i="6"/>
  <c r="CK7607" i="6"/>
  <c r="CJ7607" i="6"/>
  <c r="CI7607" i="6"/>
  <c r="CH7607" i="6"/>
  <c r="CG7607" i="6"/>
  <c r="CF7607" i="6"/>
  <c r="CE7607" i="6"/>
  <c r="CD7607" i="6"/>
  <c r="CC7607" i="6"/>
  <c r="CB7607" i="6"/>
  <c r="CA7607" i="6"/>
  <c r="BZ7607" i="6"/>
  <c r="BY7607" i="6"/>
  <c r="BX7607" i="6"/>
  <c r="BW7607" i="6"/>
  <c r="BV7607" i="6"/>
  <c r="BU7607" i="6"/>
  <c r="BT7607" i="6"/>
  <c r="BS7607" i="6"/>
  <c r="BR7607" i="6"/>
  <c r="BQ7607" i="6"/>
  <c r="BP7607" i="6"/>
  <c r="BO7607" i="6"/>
  <c r="BN7607" i="6"/>
  <c r="BM7607" i="6"/>
  <c r="BL7607" i="6"/>
  <c r="BK7607" i="6"/>
  <c r="BJ7607" i="6"/>
  <c r="BI7607" i="6"/>
  <c r="BH7607" i="6"/>
  <c r="BG7607" i="6"/>
  <c r="BF7607" i="6"/>
  <c r="BE7607" i="6"/>
  <c r="BD7607" i="6"/>
  <c r="BC7607" i="6"/>
  <c r="CX7606" i="6"/>
  <c r="CW7606" i="6"/>
  <c r="CV7606" i="6"/>
  <c r="CU7606" i="6"/>
  <c r="CT7606" i="6"/>
  <c r="CS7606" i="6"/>
  <c r="CR7606" i="6"/>
  <c r="CQ7606" i="6"/>
  <c r="CP7606" i="6"/>
  <c r="CO7606" i="6"/>
  <c r="CN7606" i="6"/>
  <c r="CM7606" i="6"/>
  <c r="CL7606" i="6"/>
  <c r="CK7606" i="6"/>
  <c r="CJ7606" i="6"/>
  <c r="CI7606" i="6"/>
  <c r="CH7606" i="6"/>
  <c r="CG7606" i="6"/>
  <c r="CF7606" i="6"/>
  <c r="CE7606" i="6"/>
  <c r="CD7606" i="6"/>
  <c r="CC7606" i="6"/>
  <c r="CB7606" i="6"/>
  <c r="CA7606" i="6"/>
  <c r="BZ7606" i="6"/>
  <c r="BY7606" i="6"/>
  <c r="BX7606" i="6"/>
  <c r="BW7606" i="6"/>
  <c r="BV7606" i="6"/>
  <c r="BU7606" i="6"/>
  <c r="BT7606" i="6"/>
  <c r="BS7606" i="6"/>
  <c r="BR7606" i="6"/>
  <c r="BQ7606" i="6"/>
  <c r="BP7606" i="6"/>
  <c r="BO7606" i="6"/>
  <c r="BN7606" i="6"/>
  <c r="BM7606" i="6"/>
  <c r="BL7606" i="6"/>
  <c r="BK7606" i="6"/>
  <c r="BJ7606" i="6"/>
  <c r="BI7606" i="6"/>
  <c r="BH7606" i="6"/>
  <c r="BG7606" i="6"/>
  <c r="BF7606" i="6"/>
  <c r="BE7606" i="6"/>
  <c r="BD7606" i="6"/>
  <c r="BC7606" i="6"/>
  <c r="CX7605" i="6"/>
  <c r="CW7605" i="6"/>
  <c r="CV7605" i="6"/>
  <c r="CU7605" i="6"/>
  <c r="CT7605" i="6"/>
  <c r="CS7605" i="6"/>
  <c r="CR7605" i="6"/>
  <c r="CQ7605" i="6"/>
  <c r="CP7605" i="6"/>
  <c r="CO7605" i="6"/>
  <c r="CN7605" i="6"/>
  <c r="CM7605" i="6"/>
  <c r="CL7605" i="6"/>
  <c r="CK7605" i="6"/>
  <c r="CJ7605" i="6"/>
  <c r="CI7605" i="6"/>
  <c r="CH7605" i="6"/>
  <c r="CG7605" i="6"/>
  <c r="CF7605" i="6"/>
  <c r="CE7605" i="6"/>
  <c r="CD7605" i="6"/>
  <c r="CC7605" i="6"/>
  <c r="CB7605" i="6"/>
  <c r="CA7605" i="6"/>
  <c r="BZ7605" i="6"/>
  <c r="BY7605" i="6"/>
  <c r="BX7605" i="6"/>
  <c r="BW7605" i="6"/>
  <c r="BV7605" i="6"/>
  <c r="BU7605" i="6"/>
  <c r="BT7605" i="6"/>
  <c r="BS7605" i="6"/>
  <c r="BR7605" i="6"/>
  <c r="BQ7605" i="6"/>
  <c r="BP7605" i="6"/>
  <c r="BO7605" i="6"/>
  <c r="BN7605" i="6"/>
  <c r="BM7605" i="6"/>
  <c r="BL7605" i="6"/>
  <c r="BK7605" i="6"/>
  <c r="BJ7605" i="6"/>
  <c r="BI7605" i="6"/>
  <c r="BH7605" i="6"/>
  <c r="BG7605" i="6"/>
  <c r="BF7605" i="6"/>
  <c r="BE7605" i="6"/>
  <c r="BD7605" i="6"/>
  <c r="BC7605" i="6"/>
  <c r="CX7604" i="6"/>
  <c r="CW7604" i="6"/>
  <c r="CV7604" i="6"/>
  <c r="CU7604" i="6"/>
  <c r="CT7604" i="6"/>
  <c r="CS7604" i="6"/>
  <c r="CR7604" i="6"/>
  <c r="CQ7604" i="6"/>
  <c r="CP7604" i="6"/>
  <c r="CO7604" i="6"/>
  <c r="CN7604" i="6"/>
  <c r="CM7604" i="6"/>
  <c r="CL7604" i="6"/>
  <c r="CK7604" i="6"/>
  <c r="CJ7604" i="6"/>
  <c r="CI7604" i="6"/>
  <c r="CH7604" i="6"/>
  <c r="CG7604" i="6"/>
  <c r="CF7604" i="6"/>
  <c r="CE7604" i="6"/>
  <c r="CD7604" i="6"/>
  <c r="CC7604" i="6"/>
  <c r="CB7604" i="6"/>
  <c r="CA7604" i="6"/>
  <c r="BZ7604" i="6"/>
  <c r="BY7604" i="6"/>
  <c r="BX7604" i="6"/>
  <c r="BW7604" i="6"/>
  <c r="BV7604" i="6"/>
  <c r="BU7604" i="6"/>
  <c r="BT7604" i="6"/>
  <c r="BS7604" i="6"/>
  <c r="BR7604" i="6"/>
  <c r="BQ7604" i="6"/>
  <c r="BP7604" i="6"/>
  <c r="BO7604" i="6"/>
  <c r="BN7604" i="6"/>
  <c r="BM7604" i="6"/>
  <c r="BL7604" i="6"/>
  <c r="BK7604" i="6"/>
  <c r="BJ7604" i="6"/>
  <c r="BI7604" i="6"/>
  <c r="BH7604" i="6"/>
  <c r="BG7604" i="6"/>
  <c r="BF7604" i="6"/>
  <c r="BE7604" i="6"/>
  <c r="BD7604" i="6"/>
  <c r="BC7604" i="6"/>
  <c r="CX7603" i="6"/>
  <c r="CW7603" i="6"/>
  <c r="CV7603" i="6"/>
  <c r="CU7603" i="6"/>
  <c r="CT7603" i="6"/>
  <c r="CS7603" i="6"/>
  <c r="CR7603" i="6"/>
  <c r="CQ7603" i="6"/>
  <c r="CP7603" i="6"/>
  <c r="CO7603" i="6"/>
  <c r="CN7603" i="6"/>
  <c r="CM7603" i="6"/>
  <c r="CL7603" i="6"/>
  <c r="CK7603" i="6"/>
  <c r="CJ7603" i="6"/>
  <c r="CI7603" i="6"/>
  <c r="CH7603" i="6"/>
  <c r="CG7603" i="6"/>
  <c r="CF7603" i="6"/>
  <c r="CE7603" i="6"/>
  <c r="CD7603" i="6"/>
  <c r="CC7603" i="6"/>
  <c r="CB7603" i="6"/>
  <c r="CA7603" i="6"/>
  <c r="BZ7603" i="6"/>
  <c r="BY7603" i="6"/>
  <c r="BX7603" i="6"/>
  <c r="BW7603" i="6"/>
  <c r="BV7603" i="6"/>
  <c r="BU7603" i="6"/>
  <c r="BT7603" i="6"/>
  <c r="BS7603" i="6"/>
  <c r="BR7603" i="6"/>
  <c r="BQ7603" i="6"/>
  <c r="BP7603" i="6"/>
  <c r="BO7603" i="6"/>
  <c r="BN7603" i="6"/>
  <c r="BM7603" i="6"/>
  <c r="BL7603" i="6"/>
  <c r="BK7603" i="6"/>
  <c r="BJ7603" i="6"/>
  <c r="BI7603" i="6"/>
  <c r="BH7603" i="6"/>
  <c r="BG7603" i="6"/>
  <c r="BF7603" i="6"/>
  <c r="BE7603" i="6"/>
  <c r="BD7603" i="6"/>
  <c r="BC7603" i="6"/>
  <c r="CX7602" i="6"/>
  <c r="CW7602" i="6"/>
  <c r="CV7602" i="6"/>
  <c r="CU7602" i="6"/>
  <c r="CT7602" i="6"/>
  <c r="CS7602" i="6"/>
  <c r="CR7602" i="6"/>
  <c r="CQ7602" i="6"/>
  <c r="CP7602" i="6"/>
  <c r="CO7602" i="6"/>
  <c r="CN7602" i="6"/>
  <c r="CM7602" i="6"/>
  <c r="CL7602" i="6"/>
  <c r="CK7602" i="6"/>
  <c r="CJ7602" i="6"/>
  <c r="CI7602" i="6"/>
  <c r="CH7602" i="6"/>
  <c r="CG7602" i="6"/>
  <c r="CF7602" i="6"/>
  <c r="CE7602" i="6"/>
  <c r="CD7602" i="6"/>
  <c r="CC7602" i="6"/>
  <c r="CB7602" i="6"/>
  <c r="CA7602" i="6"/>
  <c r="BZ7602" i="6"/>
  <c r="BY7602" i="6"/>
  <c r="BX7602" i="6"/>
  <c r="BW7602" i="6"/>
  <c r="BV7602" i="6"/>
  <c r="BU7602" i="6"/>
  <c r="BT7602" i="6"/>
  <c r="BS7602" i="6"/>
  <c r="BR7602" i="6"/>
  <c r="BQ7602" i="6"/>
  <c r="BP7602" i="6"/>
  <c r="BO7602" i="6"/>
  <c r="BN7602" i="6"/>
  <c r="BM7602" i="6"/>
  <c r="BL7602" i="6"/>
  <c r="BK7602" i="6"/>
  <c r="BJ7602" i="6"/>
  <c r="BI7602" i="6"/>
  <c r="BH7602" i="6"/>
  <c r="BG7602" i="6"/>
  <c r="BF7602" i="6"/>
  <c r="BE7602" i="6"/>
  <c r="BD7602" i="6"/>
  <c r="BC7602" i="6"/>
  <c r="CX7601" i="6"/>
  <c r="CW7601" i="6"/>
  <c r="CV7601" i="6"/>
  <c r="CU7601" i="6"/>
  <c r="CT7601" i="6"/>
  <c r="CS7601" i="6"/>
  <c r="CR7601" i="6"/>
  <c r="CQ7601" i="6"/>
  <c r="CP7601" i="6"/>
  <c r="CO7601" i="6"/>
  <c r="CN7601" i="6"/>
  <c r="CM7601" i="6"/>
  <c r="CL7601" i="6"/>
  <c r="CK7601" i="6"/>
  <c r="CJ7601" i="6"/>
  <c r="CI7601" i="6"/>
  <c r="CH7601" i="6"/>
  <c r="CG7601" i="6"/>
  <c r="CF7601" i="6"/>
  <c r="CE7601" i="6"/>
  <c r="CD7601" i="6"/>
  <c r="CC7601" i="6"/>
  <c r="CB7601" i="6"/>
  <c r="CA7601" i="6"/>
  <c r="BZ7601" i="6"/>
  <c r="BY7601" i="6"/>
  <c r="BX7601" i="6"/>
  <c r="BW7601" i="6"/>
  <c r="BV7601" i="6"/>
  <c r="BU7601" i="6"/>
  <c r="BT7601" i="6"/>
  <c r="BS7601" i="6"/>
  <c r="BR7601" i="6"/>
  <c r="BQ7601" i="6"/>
  <c r="BP7601" i="6"/>
  <c r="BO7601" i="6"/>
  <c r="BN7601" i="6"/>
  <c r="BM7601" i="6"/>
  <c r="BL7601" i="6"/>
  <c r="BK7601" i="6"/>
  <c r="BJ7601" i="6"/>
  <c r="BI7601" i="6"/>
  <c r="BH7601" i="6"/>
  <c r="BG7601" i="6"/>
  <c r="BF7601" i="6"/>
  <c r="BE7601" i="6"/>
  <c r="BD7601" i="6"/>
  <c r="BC7601" i="6"/>
  <c r="CX7600" i="6"/>
  <c r="CW7600" i="6"/>
  <c r="CV7600" i="6"/>
  <c r="CU7600" i="6"/>
  <c r="CT7600" i="6"/>
  <c r="CS7600" i="6"/>
  <c r="CR7600" i="6"/>
  <c r="CQ7600" i="6"/>
  <c r="CP7600" i="6"/>
  <c r="CO7600" i="6"/>
  <c r="CN7600" i="6"/>
  <c r="CM7600" i="6"/>
  <c r="CL7600" i="6"/>
  <c r="CK7600" i="6"/>
  <c r="CJ7600" i="6"/>
  <c r="CI7600" i="6"/>
  <c r="CH7600" i="6"/>
  <c r="CG7600" i="6"/>
  <c r="CF7600" i="6"/>
  <c r="CE7600" i="6"/>
  <c r="CD7600" i="6"/>
  <c r="CC7600" i="6"/>
  <c r="CB7600" i="6"/>
  <c r="CA7600" i="6"/>
  <c r="BZ7600" i="6"/>
  <c r="BY7600" i="6"/>
  <c r="BX7600" i="6"/>
  <c r="BW7600" i="6"/>
  <c r="BV7600" i="6"/>
  <c r="BU7600" i="6"/>
  <c r="BT7600" i="6"/>
  <c r="BS7600" i="6"/>
  <c r="BR7600" i="6"/>
  <c r="BQ7600" i="6"/>
  <c r="BP7600" i="6"/>
  <c r="BO7600" i="6"/>
  <c r="BN7600" i="6"/>
  <c r="BM7600" i="6"/>
  <c r="BL7600" i="6"/>
  <c r="BK7600" i="6"/>
  <c r="BJ7600" i="6"/>
  <c r="BI7600" i="6"/>
  <c r="BH7600" i="6"/>
  <c r="BG7600" i="6"/>
  <c r="BF7600" i="6"/>
  <c r="BE7600" i="6"/>
  <c r="BD7600" i="6"/>
  <c r="BC7600" i="6"/>
  <c r="CX7599" i="6"/>
  <c r="CW7599" i="6"/>
  <c r="CV7599" i="6"/>
  <c r="CU7599" i="6"/>
  <c r="CT7599" i="6"/>
  <c r="CS7599" i="6"/>
  <c r="CR7599" i="6"/>
  <c r="CQ7599" i="6"/>
  <c r="CP7599" i="6"/>
  <c r="CO7599" i="6"/>
  <c r="CN7599" i="6"/>
  <c r="CM7599" i="6"/>
  <c r="CL7599" i="6"/>
  <c r="CK7599" i="6"/>
  <c r="CJ7599" i="6"/>
  <c r="CI7599" i="6"/>
  <c r="CH7599" i="6"/>
  <c r="CG7599" i="6"/>
  <c r="CF7599" i="6"/>
  <c r="CE7599" i="6"/>
  <c r="CD7599" i="6"/>
  <c r="CC7599" i="6"/>
  <c r="CB7599" i="6"/>
  <c r="CA7599" i="6"/>
  <c r="BZ7599" i="6"/>
  <c r="BY7599" i="6"/>
  <c r="BX7599" i="6"/>
  <c r="BW7599" i="6"/>
  <c r="BV7599" i="6"/>
  <c r="BU7599" i="6"/>
  <c r="BT7599" i="6"/>
  <c r="BS7599" i="6"/>
  <c r="BR7599" i="6"/>
  <c r="BQ7599" i="6"/>
  <c r="BP7599" i="6"/>
  <c r="BO7599" i="6"/>
  <c r="BN7599" i="6"/>
  <c r="BM7599" i="6"/>
  <c r="BL7599" i="6"/>
  <c r="BK7599" i="6"/>
  <c r="BJ7599" i="6"/>
  <c r="BI7599" i="6"/>
  <c r="BH7599" i="6"/>
  <c r="BG7599" i="6"/>
  <c r="BF7599" i="6"/>
  <c r="BE7599" i="6"/>
  <c r="BD7599" i="6"/>
  <c r="BC7599" i="6"/>
  <c r="CX7598" i="6"/>
  <c r="CW7598" i="6"/>
  <c r="CV7598" i="6"/>
  <c r="CU7598" i="6"/>
  <c r="CT7598" i="6"/>
  <c r="CS7598" i="6"/>
  <c r="CR7598" i="6"/>
  <c r="CQ7598" i="6"/>
  <c r="CP7598" i="6"/>
  <c r="CO7598" i="6"/>
  <c r="CN7598" i="6"/>
  <c r="CM7598" i="6"/>
  <c r="CL7598" i="6"/>
  <c r="CK7598" i="6"/>
  <c r="CJ7598" i="6"/>
  <c r="CI7598" i="6"/>
  <c r="CH7598" i="6"/>
  <c r="CG7598" i="6"/>
  <c r="CF7598" i="6"/>
  <c r="CE7598" i="6"/>
  <c r="CD7598" i="6"/>
  <c r="CC7598" i="6"/>
  <c r="CB7598" i="6"/>
  <c r="CA7598" i="6"/>
  <c r="BZ7598" i="6"/>
  <c r="BY7598" i="6"/>
  <c r="BX7598" i="6"/>
  <c r="BW7598" i="6"/>
  <c r="BV7598" i="6"/>
  <c r="BU7598" i="6"/>
  <c r="BT7598" i="6"/>
  <c r="BS7598" i="6"/>
  <c r="BR7598" i="6"/>
  <c r="BQ7598" i="6"/>
  <c r="BP7598" i="6"/>
  <c r="BO7598" i="6"/>
  <c r="BN7598" i="6"/>
  <c r="BM7598" i="6"/>
  <c r="BL7598" i="6"/>
  <c r="BK7598" i="6"/>
  <c r="BJ7598" i="6"/>
  <c r="BI7598" i="6"/>
  <c r="BH7598" i="6"/>
  <c r="BG7598" i="6"/>
  <c r="BF7598" i="6"/>
  <c r="BE7598" i="6"/>
  <c r="BD7598" i="6"/>
  <c r="BC7598" i="6"/>
  <c r="CX7597" i="6"/>
  <c r="CW7597" i="6"/>
  <c r="CV7597" i="6"/>
  <c r="CU7597" i="6"/>
  <c r="CT7597" i="6"/>
  <c r="CS7597" i="6"/>
  <c r="CR7597" i="6"/>
  <c r="CQ7597" i="6"/>
  <c r="CP7597" i="6"/>
  <c r="CO7597" i="6"/>
  <c r="CN7597" i="6"/>
  <c r="CM7597" i="6"/>
  <c r="CL7597" i="6"/>
  <c r="CK7597" i="6"/>
  <c r="CJ7597" i="6"/>
  <c r="CI7597" i="6"/>
  <c r="CH7597" i="6"/>
  <c r="CG7597" i="6"/>
  <c r="CF7597" i="6"/>
  <c r="CE7597" i="6"/>
  <c r="CD7597" i="6"/>
  <c r="CC7597" i="6"/>
  <c r="CB7597" i="6"/>
  <c r="CA7597" i="6"/>
  <c r="BZ7597" i="6"/>
  <c r="BY7597" i="6"/>
  <c r="BX7597" i="6"/>
  <c r="BW7597" i="6"/>
  <c r="BV7597" i="6"/>
  <c r="BU7597" i="6"/>
  <c r="BT7597" i="6"/>
  <c r="BS7597" i="6"/>
  <c r="BR7597" i="6"/>
  <c r="BQ7597" i="6"/>
  <c r="BP7597" i="6"/>
  <c r="BO7597" i="6"/>
  <c r="BN7597" i="6"/>
  <c r="BM7597" i="6"/>
  <c r="BL7597" i="6"/>
  <c r="BK7597" i="6"/>
  <c r="BJ7597" i="6"/>
  <c r="BI7597" i="6"/>
  <c r="BH7597" i="6"/>
  <c r="BG7597" i="6"/>
  <c r="BF7597" i="6"/>
  <c r="BE7597" i="6"/>
  <c r="BD7597" i="6"/>
  <c r="BC7597" i="6"/>
  <c r="CX7596" i="6"/>
  <c r="CW7596" i="6"/>
  <c r="CV7596" i="6"/>
  <c r="CU7596" i="6"/>
  <c r="CT7596" i="6"/>
  <c r="CS7596" i="6"/>
  <c r="CR7596" i="6"/>
  <c r="CQ7596" i="6"/>
  <c r="CP7596" i="6"/>
  <c r="CO7596" i="6"/>
  <c r="CN7596" i="6"/>
  <c r="CM7596" i="6"/>
  <c r="CL7596" i="6"/>
  <c r="CK7596" i="6"/>
  <c r="CJ7596" i="6"/>
  <c r="CI7596" i="6"/>
  <c r="CH7596" i="6"/>
  <c r="CG7596" i="6"/>
  <c r="CF7596" i="6"/>
  <c r="CE7596" i="6"/>
  <c r="CD7596" i="6"/>
  <c r="CC7596" i="6"/>
  <c r="CB7596" i="6"/>
  <c r="CA7596" i="6"/>
  <c r="BZ7596" i="6"/>
  <c r="BY7596" i="6"/>
  <c r="BX7596" i="6"/>
  <c r="BW7596" i="6"/>
  <c r="BV7596" i="6"/>
  <c r="BU7596" i="6"/>
  <c r="BT7596" i="6"/>
  <c r="BS7596" i="6"/>
  <c r="BR7596" i="6"/>
  <c r="BQ7596" i="6"/>
  <c r="BP7596" i="6"/>
  <c r="BO7596" i="6"/>
  <c r="BN7596" i="6"/>
  <c r="BM7596" i="6"/>
  <c r="BL7596" i="6"/>
  <c r="BK7596" i="6"/>
  <c r="BJ7596" i="6"/>
  <c r="BI7596" i="6"/>
  <c r="BH7596" i="6"/>
  <c r="BG7596" i="6"/>
  <c r="BF7596" i="6"/>
  <c r="BE7596" i="6"/>
  <c r="BD7596" i="6"/>
  <c r="BC7596" i="6"/>
  <c r="CX7595" i="6"/>
  <c r="CW7595" i="6"/>
  <c r="CV7595" i="6"/>
  <c r="CU7595" i="6"/>
  <c r="CT7595" i="6"/>
  <c r="CS7595" i="6"/>
  <c r="CR7595" i="6"/>
  <c r="CQ7595" i="6"/>
  <c r="CP7595" i="6"/>
  <c r="CO7595" i="6"/>
  <c r="CN7595" i="6"/>
  <c r="CM7595" i="6"/>
  <c r="CL7595" i="6"/>
  <c r="CK7595" i="6"/>
  <c r="CJ7595" i="6"/>
  <c r="CI7595" i="6"/>
  <c r="CH7595" i="6"/>
  <c r="CG7595" i="6"/>
  <c r="CF7595" i="6"/>
  <c r="CE7595" i="6"/>
  <c r="CD7595" i="6"/>
  <c r="CC7595" i="6"/>
  <c r="CB7595" i="6"/>
  <c r="CA7595" i="6"/>
  <c r="BZ7595" i="6"/>
  <c r="BY7595" i="6"/>
  <c r="BX7595" i="6"/>
  <c r="BW7595" i="6"/>
  <c r="BV7595" i="6"/>
  <c r="BU7595" i="6"/>
  <c r="BT7595" i="6"/>
  <c r="BS7595" i="6"/>
  <c r="BR7595" i="6"/>
  <c r="BQ7595" i="6"/>
  <c r="BP7595" i="6"/>
  <c r="BO7595" i="6"/>
  <c r="BN7595" i="6"/>
  <c r="BM7595" i="6"/>
  <c r="BL7595" i="6"/>
  <c r="BK7595" i="6"/>
  <c r="BJ7595" i="6"/>
  <c r="BI7595" i="6"/>
  <c r="BH7595" i="6"/>
  <c r="BG7595" i="6"/>
  <c r="BF7595" i="6"/>
  <c r="BE7595" i="6"/>
  <c r="BD7595" i="6"/>
  <c r="BC7595" i="6"/>
  <c r="CX7594" i="6"/>
  <c r="CW7594" i="6"/>
  <c r="CV7594" i="6"/>
  <c r="CU7594" i="6"/>
  <c r="CT7594" i="6"/>
  <c r="CS7594" i="6"/>
  <c r="CR7594" i="6"/>
  <c r="CQ7594" i="6"/>
  <c r="CP7594" i="6"/>
  <c r="CO7594" i="6"/>
  <c r="CN7594" i="6"/>
  <c r="CM7594" i="6"/>
  <c r="CL7594" i="6"/>
  <c r="CK7594" i="6"/>
  <c r="CJ7594" i="6"/>
  <c r="CI7594" i="6"/>
  <c r="CH7594" i="6"/>
  <c r="CG7594" i="6"/>
  <c r="CF7594" i="6"/>
  <c r="CE7594" i="6"/>
  <c r="CD7594" i="6"/>
  <c r="CC7594" i="6"/>
  <c r="CB7594" i="6"/>
  <c r="CA7594" i="6"/>
  <c r="BZ7594" i="6"/>
  <c r="BY7594" i="6"/>
  <c r="BX7594" i="6"/>
  <c r="BW7594" i="6"/>
  <c r="BV7594" i="6"/>
  <c r="BU7594" i="6"/>
  <c r="BT7594" i="6"/>
  <c r="BS7594" i="6"/>
  <c r="BR7594" i="6"/>
  <c r="BQ7594" i="6"/>
  <c r="BP7594" i="6"/>
  <c r="BO7594" i="6"/>
  <c r="BN7594" i="6"/>
  <c r="BM7594" i="6"/>
  <c r="BL7594" i="6"/>
  <c r="BK7594" i="6"/>
  <c r="BJ7594" i="6"/>
  <c r="BI7594" i="6"/>
  <c r="BH7594" i="6"/>
  <c r="BG7594" i="6"/>
  <c r="BF7594" i="6"/>
  <c r="BE7594" i="6"/>
  <c r="BD7594" i="6"/>
  <c r="BC7594" i="6"/>
  <c r="CX7593" i="6"/>
  <c r="CW7593" i="6"/>
  <c r="CV7593" i="6"/>
  <c r="CU7593" i="6"/>
  <c r="CT7593" i="6"/>
  <c r="CS7593" i="6"/>
  <c r="CR7593" i="6"/>
  <c r="CQ7593" i="6"/>
  <c r="CP7593" i="6"/>
  <c r="CO7593" i="6"/>
  <c r="CN7593" i="6"/>
  <c r="CM7593" i="6"/>
  <c r="CL7593" i="6"/>
  <c r="CK7593" i="6"/>
  <c r="CJ7593" i="6"/>
  <c r="CI7593" i="6"/>
  <c r="CH7593" i="6"/>
  <c r="CG7593" i="6"/>
  <c r="CF7593" i="6"/>
  <c r="CE7593" i="6"/>
  <c r="CD7593" i="6"/>
  <c r="CC7593" i="6"/>
  <c r="CB7593" i="6"/>
  <c r="CA7593" i="6"/>
  <c r="BZ7593" i="6"/>
  <c r="BY7593" i="6"/>
  <c r="BX7593" i="6"/>
  <c r="BW7593" i="6"/>
  <c r="BV7593" i="6"/>
  <c r="BU7593" i="6"/>
  <c r="BT7593" i="6"/>
  <c r="BS7593" i="6"/>
  <c r="BR7593" i="6"/>
  <c r="BQ7593" i="6"/>
  <c r="BP7593" i="6"/>
  <c r="BO7593" i="6"/>
  <c r="BN7593" i="6"/>
  <c r="BM7593" i="6"/>
  <c r="BL7593" i="6"/>
  <c r="BK7593" i="6"/>
  <c r="BJ7593" i="6"/>
  <c r="BI7593" i="6"/>
  <c r="BH7593" i="6"/>
  <c r="BG7593" i="6"/>
  <c r="BF7593" i="6"/>
  <c r="BE7593" i="6"/>
  <c r="BD7593" i="6"/>
  <c r="BC7593" i="6"/>
  <c r="CX7592" i="6"/>
  <c r="CW7592" i="6"/>
  <c r="CV7592" i="6"/>
  <c r="CU7592" i="6"/>
  <c r="CT7592" i="6"/>
  <c r="CS7592" i="6"/>
  <c r="CR7592" i="6"/>
  <c r="CQ7592" i="6"/>
  <c r="CP7592" i="6"/>
  <c r="CO7592" i="6"/>
  <c r="CN7592" i="6"/>
  <c r="CM7592" i="6"/>
  <c r="CL7592" i="6"/>
  <c r="CK7592" i="6"/>
  <c r="CJ7592" i="6"/>
  <c r="CI7592" i="6"/>
  <c r="CH7592" i="6"/>
  <c r="CG7592" i="6"/>
  <c r="CF7592" i="6"/>
  <c r="CE7592" i="6"/>
  <c r="CD7592" i="6"/>
  <c r="CC7592" i="6"/>
  <c r="CB7592" i="6"/>
  <c r="CA7592" i="6"/>
  <c r="BZ7592" i="6"/>
  <c r="BY7592" i="6"/>
  <c r="BX7592" i="6"/>
  <c r="BW7592" i="6"/>
  <c r="BV7592" i="6"/>
  <c r="BU7592" i="6"/>
  <c r="BT7592" i="6"/>
  <c r="BS7592" i="6"/>
  <c r="BR7592" i="6"/>
  <c r="BQ7592" i="6"/>
  <c r="BP7592" i="6"/>
  <c r="BO7592" i="6"/>
  <c r="BN7592" i="6"/>
  <c r="BM7592" i="6"/>
  <c r="BL7592" i="6"/>
  <c r="BK7592" i="6"/>
  <c r="BJ7592" i="6"/>
  <c r="BI7592" i="6"/>
  <c r="BH7592" i="6"/>
  <c r="BG7592" i="6"/>
  <c r="BF7592" i="6"/>
  <c r="BE7592" i="6"/>
  <c r="BD7592" i="6"/>
  <c r="BC7592" i="6"/>
  <c r="CX7591" i="6"/>
  <c r="CW7591" i="6"/>
  <c r="CV7591" i="6"/>
  <c r="CU7591" i="6"/>
  <c r="CT7591" i="6"/>
  <c r="CS7591" i="6"/>
  <c r="CR7591" i="6"/>
  <c r="CQ7591" i="6"/>
  <c r="CP7591" i="6"/>
  <c r="CO7591" i="6"/>
  <c r="CN7591" i="6"/>
  <c r="CM7591" i="6"/>
  <c r="CL7591" i="6"/>
  <c r="CK7591" i="6"/>
  <c r="CJ7591" i="6"/>
  <c r="CI7591" i="6"/>
  <c r="CH7591" i="6"/>
  <c r="CG7591" i="6"/>
  <c r="CF7591" i="6"/>
  <c r="CE7591" i="6"/>
  <c r="CD7591" i="6"/>
  <c r="CC7591" i="6"/>
  <c r="CB7591" i="6"/>
  <c r="CA7591" i="6"/>
  <c r="BZ7591" i="6"/>
  <c r="BY7591" i="6"/>
  <c r="BX7591" i="6"/>
  <c r="BW7591" i="6"/>
  <c r="BV7591" i="6"/>
  <c r="BU7591" i="6"/>
  <c r="BT7591" i="6"/>
  <c r="BS7591" i="6"/>
  <c r="BR7591" i="6"/>
  <c r="BQ7591" i="6"/>
  <c r="BP7591" i="6"/>
  <c r="BO7591" i="6"/>
  <c r="BN7591" i="6"/>
  <c r="BM7591" i="6"/>
  <c r="BL7591" i="6"/>
  <c r="BK7591" i="6"/>
  <c r="BJ7591" i="6"/>
  <c r="BI7591" i="6"/>
  <c r="BH7591" i="6"/>
  <c r="BG7591" i="6"/>
  <c r="BF7591" i="6"/>
  <c r="BE7591" i="6"/>
  <c r="BD7591" i="6"/>
  <c r="BC7591" i="6"/>
  <c r="CX7590" i="6"/>
  <c r="CW7590" i="6"/>
  <c r="CV7590" i="6"/>
  <c r="CU7590" i="6"/>
  <c r="CT7590" i="6"/>
  <c r="CS7590" i="6"/>
  <c r="CR7590" i="6"/>
  <c r="CQ7590" i="6"/>
  <c r="CP7590" i="6"/>
  <c r="CO7590" i="6"/>
  <c r="CN7590" i="6"/>
  <c r="CM7590" i="6"/>
  <c r="CL7590" i="6"/>
  <c r="CK7590" i="6"/>
  <c r="CJ7590" i="6"/>
  <c r="CI7590" i="6"/>
  <c r="CH7590" i="6"/>
  <c r="CG7590" i="6"/>
  <c r="CF7590" i="6"/>
  <c r="CE7590" i="6"/>
  <c r="CD7590" i="6"/>
  <c r="CC7590" i="6"/>
  <c r="CB7590" i="6"/>
  <c r="CA7590" i="6"/>
  <c r="BZ7590" i="6"/>
  <c r="BY7590" i="6"/>
  <c r="BX7590" i="6"/>
  <c r="BW7590" i="6"/>
  <c r="BV7590" i="6"/>
  <c r="BU7590" i="6"/>
  <c r="BT7590" i="6"/>
  <c r="BS7590" i="6"/>
  <c r="BR7590" i="6"/>
  <c r="BQ7590" i="6"/>
  <c r="BP7590" i="6"/>
  <c r="BO7590" i="6"/>
  <c r="BN7590" i="6"/>
  <c r="BM7590" i="6"/>
  <c r="BL7590" i="6"/>
  <c r="BK7590" i="6"/>
  <c r="BJ7590" i="6"/>
  <c r="BI7590" i="6"/>
  <c r="BH7590" i="6"/>
  <c r="BG7590" i="6"/>
  <c r="BF7590" i="6"/>
  <c r="BE7590" i="6"/>
  <c r="BD7590" i="6"/>
  <c r="BC7590" i="6"/>
  <c r="CX7589" i="6"/>
  <c r="CW7589" i="6"/>
  <c r="CV7589" i="6"/>
  <c r="CU7589" i="6"/>
  <c r="CT7589" i="6"/>
  <c r="CS7589" i="6"/>
  <c r="CR7589" i="6"/>
  <c r="CQ7589" i="6"/>
  <c r="CP7589" i="6"/>
  <c r="CO7589" i="6"/>
  <c r="CN7589" i="6"/>
  <c r="CM7589" i="6"/>
  <c r="CL7589" i="6"/>
  <c r="CK7589" i="6"/>
  <c r="CJ7589" i="6"/>
  <c r="CI7589" i="6"/>
  <c r="CH7589" i="6"/>
  <c r="CG7589" i="6"/>
  <c r="CF7589" i="6"/>
  <c r="CE7589" i="6"/>
  <c r="CD7589" i="6"/>
  <c r="CC7589" i="6"/>
  <c r="CB7589" i="6"/>
  <c r="CA7589" i="6"/>
  <c r="BZ7589" i="6"/>
  <c r="BY7589" i="6"/>
  <c r="BX7589" i="6"/>
  <c r="BW7589" i="6"/>
  <c r="BV7589" i="6"/>
  <c r="BU7589" i="6"/>
  <c r="BT7589" i="6"/>
  <c r="BS7589" i="6"/>
  <c r="BR7589" i="6"/>
  <c r="BQ7589" i="6"/>
  <c r="BP7589" i="6"/>
  <c r="BO7589" i="6"/>
  <c r="BN7589" i="6"/>
  <c r="BM7589" i="6"/>
  <c r="BL7589" i="6"/>
  <c r="BK7589" i="6"/>
  <c r="BJ7589" i="6"/>
  <c r="BI7589" i="6"/>
  <c r="BH7589" i="6"/>
  <c r="BG7589" i="6"/>
  <c r="BF7589" i="6"/>
  <c r="BE7589" i="6"/>
  <c r="BD7589" i="6"/>
  <c r="BC7589" i="6"/>
  <c r="CX7588" i="6"/>
  <c r="CW7588" i="6"/>
  <c r="CV7588" i="6"/>
  <c r="CU7588" i="6"/>
  <c r="CT7588" i="6"/>
  <c r="CS7588" i="6"/>
  <c r="CR7588" i="6"/>
  <c r="CQ7588" i="6"/>
  <c r="CP7588" i="6"/>
  <c r="CO7588" i="6"/>
  <c r="CN7588" i="6"/>
  <c r="CM7588" i="6"/>
  <c r="CL7588" i="6"/>
  <c r="CK7588" i="6"/>
  <c r="CJ7588" i="6"/>
  <c r="CI7588" i="6"/>
  <c r="CH7588" i="6"/>
  <c r="CG7588" i="6"/>
  <c r="CF7588" i="6"/>
  <c r="CE7588" i="6"/>
  <c r="CD7588" i="6"/>
  <c r="CC7588" i="6"/>
  <c r="CB7588" i="6"/>
  <c r="CA7588" i="6"/>
  <c r="BZ7588" i="6"/>
  <c r="BY7588" i="6"/>
  <c r="BX7588" i="6"/>
  <c r="BW7588" i="6"/>
  <c r="BV7588" i="6"/>
  <c r="BU7588" i="6"/>
  <c r="BT7588" i="6"/>
  <c r="BS7588" i="6"/>
  <c r="BR7588" i="6"/>
  <c r="BQ7588" i="6"/>
  <c r="BP7588" i="6"/>
  <c r="BO7588" i="6"/>
  <c r="BN7588" i="6"/>
  <c r="BM7588" i="6"/>
  <c r="BL7588" i="6"/>
  <c r="BK7588" i="6"/>
  <c r="BJ7588" i="6"/>
  <c r="BI7588" i="6"/>
  <c r="BH7588" i="6"/>
  <c r="BG7588" i="6"/>
  <c r="BF7588" i="6"/>
  <c r="BE7588" i="6"/>
  <c r="BD7588" i="6"/>
  <c r="BC7588" i="6"/>
  <c r="CX7587" i="6"/>
  <c r="CW7587" i="6"/>
  <c r="CV7587" i="6"/>
  <c r="CU7587" i="6"/>
  <c r="CT7587" i="6"/>
  <c r="CS7587" i="6"/>
  <c r="CR7587" i="6"/>
  <c r="CQ7587" i="6"/>
  <c r="CP7587" i="6"/>
  <c r="CO7587" i="6"/>
  <c r="CN7587" i="6"/>
  <c r="CM7587" i="6"/>
  <c r="CL7587" i="6"/>
  <c r="CK7587" i="6"/>
  <c r="CJ7587" i="6"/>
  <c r="CI7587" i="6"/>
  <c r="CH7587" i="6"/>
  <c r="CG7587" i="6"/>
  <c r="CF7587" i="6"/>
  <c r="CE7587" i="6"/>
  <c r="CD7587" i="6"/>
  <c r="CC7587" i="6"/>
  <c r="CB7587" i="6"/>
  <c r="CA7587" i="6"/>
  <c r="BZ7587" i="6"/>
  <c r="BY7587" i="6"/>
  <c r="BX7587" i="6"/>
  <c r="BW7587" i="6"/>
  <c r="BV7587" i="6"/>
  <c r="BU7587" i="6"/>
  <c r="BT7587" i="6"/>
  <c r="BS7587" i="6"/>
  <c r="BR7587" i="6"/>
  <c r="BQ7587" i="6"/>
  <c r="BP7587" i="6"/>
  <c r="BO7587" i="6"/>
  <c r="BN7587" i="6"/>
  <c r="BM7587" i="6"/>
  <c r="BL7587" i="6"/>
  <c r="BK7587" i="6"/>
  <c r="BJ7587" i="6"/>
  <c r="BI7587" i="6"/>
  <c r="BH7587" i="6"/>
  <c r="BG7587" i="6"/>
  <c r="BF7587" i="6"/>
  <c r="BE7587" i="6"/>
  <c r="BD7587" i="6"/>
  <c r="BC7587" i="6"/>
  <c r="CX7586" i="6"/>
  <c r="CW7586" i="6"/>
  <c r="CV7586" i="6"/>
  <c r="CU7586" i="6"/>
  <c r="CT7586" i="6"/>
  <c r="CS7586" i="6"/>
  <c r="CR7586" i="6"/>
  <c r="CQ7586" i="6"/>
  <c r="CP7586" i="6"/>
  <c r="CO7586" i="6"/>
  <c r="CN7586" i="6"/>
  <c r="CM7586" i="6"/>
  <c r="CL7586" i="6"/>
  <c r="CK7586" i="6"/>
  <c r="CJ7586" i="6"/>
  <c r="CI7586" i="6"/>
  <c r="CH7586" i="6"/>
  <c r="CG7586" i="6"/>
  <c r="CF7586" i="6"/>
  <c r="CE7586" i="6"/>
  <c r="CD7586" i="6"/>
  <c r="CC7586" i="6"/>
  <c r="CB7586" i="6"/>
  <c r="CA7586" i="6"/>
  <c r="BZ7586" i="6"/>
  <c r="BY7586" i="6"/>
  <c r="BX7586" i="6"/>
  <c r="BW7586" i="6"/>
  <c r="BV7586" i="6"/>
  <c r="BU7586" i="6"/>
  <c r="BT7586" i="6"/>
  <c r="BS7586" i="6"/>
  <c r="BR7586" i="6"/>
  <c r="BQ7586" i="6"/>
  <c r="BP7586" i="6"/>
  <c r="BO7586" i="6"/>
  <c r="BN7586" i="6"/>
  <c r="BM7586" i="6"/>
  <c r="BL7586" i="6"/>
  <c r="BK7586" i="6"/>
  <c r="BJ7586" i="6"/>
  <c r="BI7586" i="6"/>
  <c r="BH7586" i="6"/>
  <c r="BG7586" i="6"/>
  <c r="BF7586" i="6"/>
  <c r="BE7586" i="6"/>
  <c r="BD7586" i="6"/>
  <c r="BC7586" i="6"/>
  <c r="CX7585" i="6"/>
  <c r="CW7585" i="6"/>
  <c r="CV7585" i="6"/>
  <c r="CU7585" i="6"/>
  <c r="CT7585" i="6"/>
  <c r="CS7585" i="6"/>
  <c r="CR7585" i="6"/>
  <c r="CQ7585" i="6"/>
  <c r="CP7585" i="6"/>
  <c r="CO7585" i="6"/>
  <c r="CN7585" i="6"/>
  <c r="CM7585" i="6"/>
  <c r="CL7585" i="6"/>
  <c r="CK7585" i="6"/>
  <c r="CJ7585" i="6"/>
  <c r="CI7585" i="6"/>
  <c r="CH7585" i="6"/>
  <c r="CG7585" i="6"/>
  <c r="CF7585" i="6"/>
  <c r="CE7585" i="6"/>
  <c r="CD7585" i="6"/>
  <c r="CC7585" i="6"/>
  <c r="CB7585" i="6"/>
  <c r="CA7585" i="6"/>
  <c r="BZ7585" i="6"/>
  <c r="BY7585" i="6"/>
  <c r="BX7585" i="6"/>
  <c r="BW7585" i="6"/>
  <c r="BV7585" i="6"/>
  <c r="BU7585" i="6"/>
  <c r="BT7585" i="6"/>
  <c r="BS7585" i="6"/>
  <c r="BR7585" i="6"/>
  <c r="BQ7585" i="6"/>
  <c r="BP7585" i="6"/>
  <c r="BO7585" i="6"/>
  <c r="BN7585" i="6"/>
  <c r="BM7585" i="6"/>
  <c r="BL7585" i="6"/>
  <c r="BK7585" i="6"/>
  <c r="BJ7585" i="6"/>
  <c r="BI7585" i="6"/>
  <c r="BH7585" i="6"/>
  <c r="BG7585" i="6"/>
  <c r="BF7585" i="6"/>
  <c r="BE7585" i="6"/>
  <c r="BD7585" i="6"/>
  <c r="BC7585" i="6"/>
  <c r="CX7584" i="6"/>
  <c r="CW7584" i="6"/>
  <c r="CV7584" i="6"/>
  <c r="CU7584" i="6"/>
  <c r="CT7584" i="6"/>
  <c r="CS7584" i="6"/>
  <c r="CR7584" i="6"/>
  <c r="CQ7584" i="6"/>
  <c r="CP7584" i="6"/>
  <c r="CO7584" i="6"/>
  <c r="CN7584" i="6"/>
  <c r="CM7584" i="6"/>
  <c r="CL7584" i="6"/>
  <c r="CK7584" i="6"/>
  <c r="CJ7584" i="6"/>
  <c r="CI7584" i="6"/>
  <c r="CH7584" i="6"/>
  <c r="CG7584" i="6"/>
  <c r="CF7584" i="6"/>
  <c r="CE7584" i="6"/>
  <c r="CD7584" i="6"/>
  <c r="CC7584" i="6"/>
  <c r="CB7584" i="6"/>
  <c r="CA7584" i="6"/>
  <c r="BZ7584" i="6"/>
  <c r="BY7584" i="6"/>
  <c r="BX7584" i="6"/>
  <c r="BW7584" i="6"/>
  <c r="BV7584" i="6"/>
  <c r="BU7584" i="6"/>
  <c r="BT7584" i="6"/>
  <c r="BS7584" i="6"/>
  <c r="BR7584" i="6"/>
  <c r="BQ7584" i="6"/>
  <c r="BP7584" i="6"/>
  <c r="BO7584" i="6"/>
  <c r="BN7584" i="6"/>
  <c r="BM7584" i="6"/>
  <c r="BL7584" i="6"/>
  <c r="BK7584" i="6"/>
  <c r="BJ7584" i="6"/>
  <c r="BI7584" i="6"/>
  <c r="BH7584" i="6"/>
  <c r="BG7584" i="6"/>
  <c r="BF7584" i="6"/>
  <c r="BE7584" i="6"/>
  <c r="BD7584" i="6"/>
  <c r="BC7584" i="6"/>
  <c r="CX7583" i="6"/>
  <c r="CW7583" i="6"/>
  <c r="CV7583" i="6"/>
  <c r="CU7583" i="6"/>
  <c r="CT7583" i="6"/>
  <c r="CS7583" i="6"/>
  <c r="CR7583" i="6"/>
  <c r="CQ7583" i="6"/>
  <c r="CP7583" i="6"/>
  <c r="CO7583" i="6"/>
  <c r="CN7583" i="6"/>
  <c r="CM7583" i="6"/>
  <c r="CL7583" i="6"/>
  <c r="CK7583" i="6"/>
  <c r="CJ7583" i="6"/>
  <c r="CI7583" i="6"/>
  <c r="CH7583" i="6"/>
  <c r="CG7583" i="6"/>
  <c r="CF7583" i="6"/>
  <c r="CE7583" i="6"/>
  <c r="CD7583" i="6"/>
  <c r="CC7583" i="6"/>
  <c r="CB7583" i="6"/>
  <c r="CA7583" i="6"/>
  <c r="BZ7583" i="6"/>
  <c r="BY7583" i="6"/>
  <c r="BX7583" i="6"/>
  <c r="BW7583" i="6"/>
  <c r="BV7583" i="6"/>
  <c r="BU7583" i="6"/>
  <c r="BT7583" i="6"/>
  <c r="BS7583" i="6"/>
  <c r="BR7583" i="6"/>
  <c r="BQ7583" i="6"/>
  <c r="BP7583" i="6"/>
  <c r="BO7583" i="6"/>
  <c r="BN7583" i="6"/>
  <c r="BM7583" i="6"/>
  <c r="BL7583" i="6"/>
  <c r="BK7583" i="6"/>
  <c r="BJ7583" i="6"/>
  <c r="BI7583" i="6"/>
  <c r="BH7583" i="6"/>
  <c r="BG7583" i="6"/>
  <c r="BF7583" i="6"/>
  <c r="BE7583" i="6"/>
  <c r="BD7583" i="6"/>
  <c r="BC7583" i="6"/>
  <c r="CX7582" i="6"/>
  <c r="CW7582" i="6"/>
  <c r="CV7582" i="6"/>
  <c r="CU7582" i="6"/>
  <c r="CT7582" i="6"/>
  <c r="CS7582" i="6"/>
  <c r="CR7582" i="6"/>
  <c r="CQ7582" i="6"/>
  <c r="CP7582" i="6"/>
  <c r="CO7582" i="6"/>
  <c r="CN7582" i="6"/>
  <c r="CM7582" i="6"/>
  <c r="CL7582" i="6"/>
  <c r="CK7582" i="6"/>
  <c r="CJ7582" i="6"/>
  <c r="CI7582" i="6"/>
  <c r="CH7582" i="6"/>
  <c r="CG7582" i="6"/>
  <c r="CF7582" i="6"/>
  <c r="CE7582" i="6"/>
  <c r="CD7582" i="6"/>
  <c r="CC7582" i="6"/>
  <c r="CB7582" i="6"/>
  <c r="CA7582" i="6"/>
  <c r="BZ7582" i="6"/>
  <c r="BY7582" i="6"/>
  <c r="BX7582" i="6"/>
  <c r="BW7582" i="6"/>
  <c r="BV7582" i="6"/>
  <c r="BU7582" i="6"/>
  <c r="BT7582" i="6"/>
  <c r="BS7582" i="6"/>
  <c r="BR7582" i="6"/>
  <c r="BQ7582" i="6"/>
  <c r="BP7582" i="6"/>
  <c r="BO7582" i="6"/>
  <c r="BN7582" i="6"/>
  <c r="BM7582" i="6"/>
  <c r="BL7582" i="6"/>
  <c r="BK7582" i="6"/>
  <c r="BJ7582" i="6"/>
  <c r="BI7582" i="6"/>
  <c r="BH7582" i="6"/>
  <c r="BG7582" i="6"/>
  <c r="BF7582" i="6"/>
  <c r="BE7582" i="6"/>
  <c r="BD7582" i="6"/>
  <c r="BC7582" i="6"/>
  <c r="CX7581" i="6"/>
  <c r="CW7581" i="6"/>
  <c r="CV7581" i="6"/>
  <c r="CU7581" i="6"/>
  <c r="CT7581" i="6"/>
  <c r="CS7581" i="6"/>
  <c r="CR7581" i="6"/>
  <c r="CQ7581" i="6"/>
  <c r="CP7581" i="6"/>
  <c r="CO7581" i="6"/>
  <c r="CN7581" i="6"/>
  <c r="CM7581" i="6"/>
  <c r="CL7581" i="6"/>
  <c r="CK7581" i="6"/>
  <c r="CJ7581" i="6"/>
  <c r="CI7581" i="6"/>
  <c r="CH7581" i="6"/>
  <c r="CG7581" i="6"/>
  <c r="CF7581" i="6"/>
  <c r="CE7581" i="6"/>
  <c r="CD7581" i="6"/>
  <c r="CC7581" i="6"/>
  <c r="CB7581" i="6"/>
  <c r="CA7581" i="6"/>
  <c r="BZ7581" i="6"/>
  <c r="BY7581" i="6"/>
  <c r="BX7581" i="6"/>
  <c r="BW7581" i="6"/>
  <c r="BV7581" i="6"/>
  <c r="BU7581" i="6"/>
  <c r="BT7581" i="6"/>
  <c r="BS7581" i="6"/>
  <c r="BR7581" i="6"/>
  <c r="BQ7581" i="6"/>
  <c r="BP7581" i="6"/>
  <c r="BO7581" i="6"/>
  <c r="BN7581" i="6"/>
  <c r="BM7581" i="6"/>
  <c r="BL7581" i="6"/>
  <c r="BK7581" i="6"/>
  <c r="BJ7581" i="6"/>
  <c r="BI7581" i="6"/>
  <c r="BH7581" i="6"/>
  <c r="BG7581" i="6"/>
  <c r="BF7581" i="6"/>
  <c r="BE7581" i="6"/>
  <c r="BD7581" i="6"/>
  <c r="BC7581" i="6"/>
  <c r="CX7580" i="6"/>
  <c r="CW7580" i="6"/>
  <c r="CV7580" i="6"/>
  <c r="CU7580" i="6"/>
  <c r="CT7580" i="6"/>
  <c r="CS7580" i="6"/>
  <c r="CR7580" i="6"/>
  <c r="CQ7580" i="6"/>
  <c r="CP7580" i="6"/>
  <c r="CO7580" i="6"/>
  <c r="CN7580" i="6"/>
  <c r="CM7580" i="6"/>
  <c r="CL7580" i="6"/>
  <c r="CK7580" i="6"/>
  <c r="CJ7580" i="6"/>
  <c r="CI7580" i="6"/>
  <c r="CH7580" i="6"/>
  <c r="CG7580" i="6"/>
  <c r="CF7580" i="6"/>
  <c r="CE7580" i="6"/>
  <c r="CD7580" i="6"/>
  <c r="CC7580" i="6"/>
  <c r="CB7580" i="6"/>
  <c r="CA7580" i="6"/>
  <c r="BZ7580" i="6"/>
  <c r="BY7580" i="6"/>
  <c r="BX7580" i="6"/>
  <c r="BW7580" i="6"/>
  <c r="BV7580" i="6"/>
  <c r="BU7580" i="6"/>
  <c r="BT7580" i="6"/>
  <c r="BS7580" i="6"/>
  <c r="BR7580" i="6"/>
  <c r="BQ7580" i="6"/>
  <c r="BP7580" i="6"/>
  <c r="BO7580" i="6"/>
  <c r="BN7580" i="6"/>
  <c r="BM7580" i="6"/>
  <c r="BL7580" i="6"/>
  <c r="BK7580" i="6"/>
  <c r="BJ7580" i="6"/>
  <c r="BI7580" i="6"/>
  <c r="BH7580" i="6"/>
  <c r="BG7580" i="6"/>
  <c r="BF7580" i="6"/>
  <c r="BE7580" i="6"/>
  <c r="BD7580" i="6"/>
  <c r="BC7580" i="6"/>
  <c r="CX7579" i="6"/>
  <c r="CW7579" i="6"/>
  <c r="CV7579" i="6"/>
  <c r="CU7579" i="6"/>
  <c r="CT7579" i="6"/>
  <c r="CS7579" i="6"/>
  <c r="CR7579" i="6"/>
  <c r="CQ7579" i="6"/>
  <c r="CP7579" i="6"/>
  <c r="CO7579" i="6"/>
  <c r="CN7579" i="6"/>
  <c r="CM7579" i="6"/>
  <c r="CL7579" i="6"/>
  <c r="CK7579" i="6"/>
  <c r="CJ7579" i="6"/>
  <c r="CI7579" i="6"/>
  <c r="CH7579" i="6"/>
  <c r="CG7579" i="6"/>
  <c r="CF7579" i="6"/>
  <c r="CE7579" i="6"/>
  <c r="CD7579" i="6"/>
  <c r="CC7579" i="6"/>
  <c r="CB7579" i="6"/>
  <c r="CA7579" i="6"/>
  <c r="BZ7579" i="6"/>
  <c r="BY7579" i="6"/>
  <c r="BX7579" i="6"/>
  <c r="BW7579" i="6"/>
  <c r="BV7579" i="6"/>
  <c r="BU7579" i="6"/>
  <c r="BT7579" i="6"/>
  <c r="BS7579" i="6"/>
  <c r="BR7579" i="6"/>
  <c r="BQ7579" i="6"/>
  <c r="BP7579" i="6"/>
  <c r="BO7579" i="6"/>
  <c r="BN7579" i="6"/>
  <c r="BM7579" i="6"/>
  <c r="BL7579" i="6"/>
  <c r="BK7579" i="6"/>
  <c r="BJ7579" i="6"/>
  <c r="BI7579" i="6"/>
  <c r="BH7579" i="6"/>
  <c r="BG7579" i="6"/>
  <c r="BF7579" i="6"/>
  <c r="BE7579" i="6"/>
  <c r="BD7579" i="6"/>
  <c r="BC7579" i="6"/>
  <c r="CX7578" i="6"/>
  <c r="CW7578" i="6"/>
  <c r="CV7578" i="6"/>
  <c r="CU7578" i="6"/>
  <c r="CT7578" i="6"/>
  <c r="CS7578" i="6"/>
  <c r="CR7578" i="6"/>
  <c r="CQ7578" i="6"/>
  <c r="CP7578" i="6"/>
  <c r="CO7578" i="6"/>
  <c r="CN7578" i="6"/>
  <c r="CM7578" i="6"/>
  <c r="CL7578" i="6"/>
  <c r="CK7578" i="6"/>
  <c r="CJ7578" i="6"/>
  <c r="CI7578" i="6"/>
  <c r="CH7578" i="6"/>
  <c r="CG7578" i="6"/>
  <c r="CF7578" i="6"/>
  <c r="CE7578" i="6"/>
  <c r="CD7578" i="6"/>
  <c r="CC7578" i="6"/>
  <c r="CB7578" i="6"/>
  <c r="CA7578" i="6"/>
  <c r="BZ7578" i="6"/>
  <c r="BY7578" i="6"/>
  <c r="BX7578" i="6"/>
  <c r="BW7578" i="6"/>
  <c r="BV7578" i="6"/>
  <c r="BU7578" i="6"/>
  <c r="BT7578" i="6"/>
  <c r="BS7578" i="6"/>
  <c r="BR7578" i="6"/>
  <c r="BQ7578" i="6"/>
  <c r="BP7578" i="6"/>
  <c r="BO7578" i="6"/>
  <c r="BN7578" i="6"/>
  <c r="BM7578" i="6"/>
  <c r="BL7578" i="6"/>
  <c r="BK7578" i="6"/>
  <c r="BJ7578" i="6"/>
  <c r="BI7578" i="6"/>
  <c r="BH7578" i="6"/>
  <c r="BG7578" i="6"/>
  <c r="BF7578" i="6"/>
  <c r="BE7578" i="6"/>
  <c r="BD7578" i="6"/>
  <c r="BC7578" i="6"/>
  <c r="CX7577" i="6"/>
  <c r="CW7577" i="6"/>
  <c r="CV7577" i="6"/>
  <c r="CU7577" i="6"/>
  <c r="CT7577" i="6"/>
  <c r="CS7577" i="6"/>
  <c r="CR7577" i="6"/>
  <c r="CQ7577" i="6"/>
  <c r="CP7577" i="6"/>
  <c r="CO7577" i="6"/>
  <c r="CN7577" i="6"/>
  <c r="CM7577" i="6"/>
  <c r="CL7577" i="6"/>
  <c r="CK7577" i="6"/>
  <c r="CJ7577" i="6"/>
  <c r="CI7577" i="6"/>
  <c r="CH7577" i="6"/>
  <c r="CG7577" i="6"/>
  <c r="CF7577" i="6"/>
  <c r="CE7577" i="6"/>
  <c r="CD7577" i="6"/>
  <c r="CC7577" i="6"/>
  <c r="CB7577" i="6"/>
  <c r="CA7577" i="6"/>
  <c r="BZ7577" i="6"/>
  <c r="BY7577" i="6"/>
  <c r="BX7577" i="6"/>
  <c r="BW7577" i="6"/>
  <c r="BV7577" i="6"/>
  <c r="BU7577" i="6"/>
  <c r="BT7577" i="6"/>
  <c r="BS7577" i="6"/>
  <c r="BR7577" i="6"/>
  <c r="BQ7577" i="6"/>
  <c r="BP7577" i="6"/>
  <c r="BO7577" i="6"/>
  <c r="BN7577" i="6"/>
  <c r="BM7577" i="6"/>
  <c r="BL7577" i="6"/>
  <c r="BK7577" i="6"/>
  <c r="BJ7577" i="6"/>
  <c r="BI7577" i="6"/>
  <c r="BH7577" i="6"/>
  <c r="BG7577" i="6"/>
  <c r="BF7577" i="6"/>
  <c r="BE7577" i="6"/>
  <c r="BD7577" i="6"/>
  <c r="BC7577" i="6"/>
  <c r="CX7576" i="6"/>
  <c r="CW7576" i="6"/>
  <c r="CV7576" i="6"/>
  <c r="CU7576" i="6"/>
  <c r="CT7576" i="6"/>
  <c r="CS7576" i="6"/>
  <c r="CR7576" i="6"/>
  <c r="CQ7576" i="6"/>
  <c r="CP7576" i="6"/>
  <c r="CO7576" i="6"/>
  <c r="CN7576" i="6"/>
  <c r="CM7576" i="6"/>
  <c r="CL7576" i="6"/>
  <c r="CK7576" i="6"/>
  <c r="CJ7576" i="6"/>
  <c r="CI7576" i="6"/>
  <c r="CH7576" i="6"/>
  <c r="CG7576" i="6"/>
  <c r="CF7576" i="6"/>
  <c r="CE7576" i="6"/>
  <c r="CD7576" i="6"/>
  <c r="CC7576" i="6"/>
  <c r="CB7576" i="6"/>
  <c r="CA7576" i="6"/>
  <c r="BZ7576" i="6"/>
  <c r="BY7576" i="6"/>
  <c r="BX7576" i="6"/>
  <c r="BW7576" i="6"/>
  <c r="BV7576" i="6"/>
  <c r="BU7576" i="6"/>
  <c r="BT7576" i="6"/>
  <c r="BS7576" i="6"/>
  <c r="BR7576" i="6"/>
  <c r="BQ7576" i="6"/>
  <c r="BP7576" i="6"/>
  <c r="BO7576" i="6"/>
  <c r="BN7576" i="6"/>
  <c r="BM7576" i="6"/>
  <c r="BL7576" i="6"/>
  <c r="BK7576" i="6"/>
  <c r="BJ7576" i="6"/>
  <c r="BI7576" i="6"/>
  <c r="BH7576" i="6"/>
  <c r="BG7576" i="6"/>
  <c r="BF7576" i="6"/>
  <c r="BE7576" i="6"/>
  <c r="BD7576" i="6"/>
  <c r="BC7576" i="6"/>
  <c r="CX7575" i="6"/>
  <c r="CW7575" i="6"/>
  <c r="CV7575" i="6"/>
  <c r="CU7575" i="6"/>
  <c r="CT7575" i="6"/>
  <c r="CS7575" i="6"/>
  <c r="CR7575" i="6"/>
  <c r="CQ7575" i="6"/>
  <c r="CP7575" i="6"/>
  <c r="CO7575" i="6"/>
  <c r="CN7575" i="6"/>
  <c r="CM7575" i="6"/>
  <c r="CL7575" i="6"/>
  <c r="CK7575" i="6"/>
  <c r="CJ7575" i="6"/>
  <c r="CI7575" i="6"/>
  <c r="CH7575" i="6"/>
  <c r="CG7575" i="6"/>
  <c r="CF7575" i="6"/>
  <c r="CE7575" i="6"/>
  <c r="CD7575" i="6"/>
  <c r="CC7575" i="6"/>
  <c r="CB7575" i="6"/>
  <c r="CA7575" i="6"/>
  <c r="BZ7575" i="6"/>
  <c r="BY7575" i="6"/>
  <c r="BX7575" i="6"/>
  <c r="BW7575" i="6"/>
  <c r="BV7575" i="6"/>
  <c r="BU7575" i="6"/>
  <c r="BT7575" i="6"/>
  <c r="BS7575" i="6"/>
  <c r="BR7575" i="6"/>
  <c r="BQ7575" i="6"/>
  <c r="BP7575" i="6"/>
  <c r="BO7575" i="6"/>
  <c r="BN7575" i="6"/>
  <c r="BM7575" i="6"/>
  <c r="BL7575" i="6"/>
  <c r="BK7575" i="6"/>
  <c r="BJ7575" i="6"/>
  <c r="BI7575" i="6"/>
  <c r="BH7575" i="6"/>
  <c r="BG7575" i="6"/>
  <c r="BF7575" i="6"/>
  <c r="BE7575" i="6"/>
  <c r="BD7575" i="6"/>
  <c r="BC7575" i="6"/>
  <c r="CX7574" i="6"/>
  <c r="CW7574" i="6"/>
  <c r="CV7574" i="6"/>
  <c r="CU7574" i="6"/>
  <c r="CT7574" i="6"/>
  <c r="CS7574" i="6"/>
  <c r="CR7574" i="6"/>
  <c r="CQ7574" i="6"/>
  <c r="CP7574" i="6"/>
  <c r="CO7574" i="6"/>
  <c r="CN7574" i="6"/>
  <c r="CM7574" i="6"/>
  <c r="CL7574" i="6"/>
  <c r="CK7574" i="6"/>
  <c r="CJ7574" i="6"/>
  <c r="CI7574" i="6"/>
  <c r="CH7574" i="6"/>
  <c r="CG7574" i="6"/>
  <c r="CF7574" i="6"/>
  <c r="CE7574" i="6"/>
  <c r="CD7574" i="6"/>
  <c r="CC7574" i="6"/>
  <c r="CB7574" i="6"/>
  <c r="CA7574" i="6"/>
  <c r="BZ7574" i="6"/>
  <c r="BY7574" i="6"/>
  <c r="BX7574" i="6"/>
  <c r="BW7574" i="6"/>
  <c r="BV7574" i="6"/>
  <c r="BU7574" i="6"/>
  <c r="BT7574" i="6"/>
  <c r="BS7574" i="6"/>
  <c r="BR7574" i="6"/>
  <c r="BQ7574" i="6"/>
  <c r="BP7574" i="6"/>
  <c r="BO7574" i="6"/>
  <c r="BN7574" i="6"/>
  <c r="BM7574" i="6"/>
  <c r="BL7574" i="6"/>
  <c r="BK7574" i="6"/>
  <c r="BJ7574" i="6"/>
  <c r="BI7574" i="6"/>
  <c r="BH7574" i="6"/>
  <c r="BG7574" i="6"/>
  <c r="BF7574" i="6"/>
  <c r="BE7574" i="6"/>
  <c r="BD7574" i="6"/>
  <c r="BC7574" i="6"/>
  <c r="CX7573" i="6"/>
  <c r="CW7573" i="6"/>
  <c r="CV7573" i="6"/>
  <c r="CU7573" i="6"/>
  <c r="CT7573" i="6"/>
  <c r="CS7573" i="6"/>
  <c r="CR7573" i="6"/>
  <c r="CQ7573" i="6"/>
  <c r="CP7573" i="6"/>
  <c r="CO7573" i="6"/>
  <c r="CN7573" i="6"/>
  <c r="CM7573" i="6"/>
  <c r="CL7573" i="6"/>
  <c r="CK7573" i="6"/>
  <c r="CJ7573" i="6"/>
  <c r="CI7573" i="6"/>
  <c r="CH7573" i="6"/>
  <c r="CG7573" i="6"/>
  <c r="CF7573" i="6"/>
  <c r="CE7573" i="6"/>
  <c r="CD7573" i="6"/>
  <c r="CC7573" i="6"/>
  <c r="CB7573" i="6"/>
  <c r="CA7573" i="6"/>
  <c r="BZ7573" i="6"/>
  <c r="BY7573" i="6"/>
  <c r="BX7573" i="6"/>
  <c r="BW7573" i="6"/>
  <c r="BV7573" i="6"/>
  <c r="BU7573" i="6"/>
  <c r="BT7573" i="6"/>
  <c r="BS7573" i="6"/>
  <c r="BR7573" i="6"/>
  <c r="BQ7573" i="6"/>
  <c r="BP7573" i="6"/>
  <c r="BO7573" i="6"/>
  <c r="BN7573" i="6"/>
  <c r="BM7573" i="6"/>
  <c r="BL7573" i="6"/>
  <c r="BK7573" i="6"/>
  <c r="BJ7573" i="6"/>
  <c r="BI7573" i="6"/>
  <c r="BH7573" i="6"/>
  <c r="BG7573" i="6"/>
  <c r="BF7573" i="6"/>
  <c r="BE7573" i="6"/>
  <c r="BD7573" i="6"/>
  <c r="BC7573" i="6"/>
  <c r="CX7572" i="6"/>
  <c r="CW7572" i="6"/>
  <c r="CV7572" i="6"/>
  <c r="CU7572" i="6"/>
  <c r="CT7572" i="6"/>
  <c r="CS7572" i="6"/>
  <c r="CR7572" i="6"/>
  <c r="CQ7572" i="6"/>
  <c r="CP7572" i="6"/>
  <c r="CO7572" i="6"/>
  <c r="CN7572" i="6"/>
  <c r="CM7572" i="6"/>
  <c r="CL7572" i="6"/>
  <c r="CK7572" i="6"/>
  <c r="CJ7572" i="6"/>
  <c r="CI7572" i="6"/>
  <c r="CH7572" i="6"/>
  <c r="CG7572" i="6"/>
  <c r="CF7572" i="6"/>
  <c r="CE7572" i="6"/>
  <c r="CD7572" i="6"/>
  <c r="CC7572" i="6"/>
  <c r="CB7572" i="6"/>
  <c r="CA7572" i="6"/>
  <c r="BZ7572" i="6"/>
  <c r="BY7572" i="6"/>
  <c r="BX7572" i="6"/>
  <c r="BW7572" i="6"/>
  <c r="BV7572" i="6"/>
  <c r="BU7572" i="6"/>
  <c r="BT7572" i="6"/>
  <c r="BS7572" i="6"/>
  <c r="BR7572" i="6"/>
  <c r="BQ7572" i="6"/>
  <c r="BP7572" i="6"/>
  <c r="BO7572" i="6"/>
  <c r="BN7572" i="6"/>
  <c r="BM7572" i="6"/>
  <c r="BL7572" i="6"/>
  <c r="BK7572" i="6"/>
  <c r="BJ7572" i="6"/>
  <c r="BI7572" i="6"/>
  <c r="BH7572" i="6"/>
  <c r="BG7572" i="6"/>
  <c r="BF7572" i="6"/>
  <c r="BE7572" i="6"/>
  <c r="BD7572" i="6"/>
  <c r="BC7572" i="6"/>
  <c r="CX7571" i="6"/>
  <c r="CW7571" i="6"/>
  <c r="CV7571" i="6"/>
  <c r="CU7571" i="6"/>
  <c r="CT7571" i="6"/>
  <c r="CS7571" i="6"/>
  <c r="CR7571" i="6"/>
  <c r="CQ7571" i="6"/>
  <c r="CP7571" i="6"/>
  <c r="CO7571" i="6"/>
  <c r="CN7571" i="6"/>
  <c r="CM7571" i="6"/>
  <c r="CL7571" i="6"/>
  <c r="CK7571" i="6"/>
  <c r="CJ7571" i="6"/>
  <c r="CI7571" i="6"/>
  <c r="CH7571" i="6"/>
  <c r="CG7571" i="6"/>
  <c r="CF7571" i="6"/>
  <c r="CE7571" i="6"/>
  <c r="CD7571" i="6"/>
  <c r="CC7571" i="6"/>
  <c r="CB7571" i="6"/>
  <c r="CA7571" i="6"/>
  <c r="BZ7571" i="6"/>
  <c r="BY7571" i="6"/>
  <c r="BX7571" i="6"/>
  <c r="BW7571" i="6"/>
  <c r="BV7571" i="6"/>
  <c r="BU7571" i="6"/>
  <c r="BT7571" i="6"/>
  <c r="BS7571" i="6"/>
  <c r="BR7571" i="6"/>
  <c r="BQ7571" i="6"/>
  <c r="BP7571" i="6"/>
  <c r="BO7571" i="6"/>
  <c r="BN7571" i="6"/>
  <c r="BM7571" i="6"/>
  <c r="BL7571" i="6"/>
  <c r="BK7571" i="6"/>
  <c r="BJ7571" i="6"/>
  <c r="BI7571" i="6"/>
  <c r="BH7571" i="6"/>
  <c r="BG7571" i="6"/>
  <c r="BF7571" i="6"/>
  <c r="BE7571" i="6"/>
  <c r="BD7571" i="6"/>
  <c r="BC7571" i="6"/>
  <c r="CX7570" i="6"/>
  <c r="CW7570" i="6"/>
  <c r="CV7570" i="6"/>
  <c r="CU7570" i="6"/>
  <c r="CT7570" i="6"/>
  <c r="CS7570" i="6"/>
  <c r="CR7570" i="6"/>
  <c r="CQ7570" i="6"/>
  <c r="CP7570" i="6"/>
  <c r="CO7570" i="6"/>
  <c r="CN7570" i="6"/>
  <c r="CM7570" i="6"/>
  <c r="CL7570" i="6"/>
  <c r="CK7570" i="6"/>
  <c r="CJ7570" i="6"/>
  <c r="CI7570" i="6"/>
  <c r="CH7570" i="6"/>
  <c r="CG7570" i="6"/>
  <c r="CF7570" i="6"/>
  <c r="CE7570" i="6"/>
  <c r="CD7570" i="6"/>
  <c r="CC7570" i="6"/>
  <c r="CB7570" i="6"/>
  <c r="CA7570" i="6"/>
  <c r="BZ7570" i="6"/>
  <c r="BY7570" i="6"/>
  <c r="BX7570" i="6"/>
  <c r="BW7570" i="6"/>
  <c r="BV7570" i="6"/>
  <c r="BU7570" i="6"/>
  <c r="BT7570" i="6"/>
  <c r="BS7570" i="6"/>
  <c r="BR7570" i="6"/>
  <c r="BQ7570" i="6"/>
  <c r="BP7570" i="6"/>
  <c r="BO7570" i="6"/>
  <c r="BN7570" i="6"/>
  <c r="BM7570" i="6"/>
  <c r="BL7570" i="6"/>
  <c r="BK7570" i="6"/>
  <c r="BJ7570" i="6"/>
  <c r="BI7570" i="6"/>
  <c r="BH7570" i="6"/>
  <c r="BG7570" i="6"/>
  <c r="BF7570" i="6"/>
  <c r="BE7570" i="6"/>
  <c r="BD7570" i="6"/>
  <c r="BC7570" i="6"/>
  <c r="CX7569" i="6"/>
  <c r="CW7569" i="6"/>
  <c r="CV7569" i="6"/>
  <c r="CU7569" i="6"/>
  <c r="CT7569" i="6"/>
  <c r="CS7569" i="6"/>
  <c r="CR7569" i="6"/>
  <c r="CQ7569" i="6"/>
  <c r="CP7569" i="6"/>
  <c r="CO7569" i="6"/>
  <c r="CN7569" i="6"/>
  <c r="CM7569" i="6"/>
  <c r="CL7569" i="6"/>
  <c r="CK7569" i="6"/>
  <c r="CJ7569" i="6"/>
  <c r="CI7569" i="6"/>
  <c r="CH7569" i="6"/>
  <c r="CG7569" i="6"/>
  <c r="CF7569" i="6"/>
  <c r="CE7569" i="6"/>
  <c r="CD7569" i="6"/>
  <c r="CC7569" i="6"/>
  <c r="CB7569" i="6"/>
  <c r="CA7569" i="6"/>
  <c r="BZ7569" i="6"/>
  <c r="BY7569" i="6"/>
  <c r="BX7569" i="6"/>
  <c r="BW7569" i="6"/>
  <c r="BV7569" i="6"/>
  <c r="BU7569" i="6"/>
  <c r="BT7569" i="6"/>
  <c r="BS7569" i="6"/>
  <c r="BR7569" i="6"/>
  <c r="BQ7569" i="6"/>
  <c r="BP7569" i="6"/>
  <c r="BO7569" i="6"/>
  <c r="BN7569" i="6"/>
  <c r="BM7569" i="6"/>
  <c r="BL7569" i="6"/>
  <c r="BK7569" i="6"/>
  <c r="BJ7569" i="6"/>
  <c r="BI7569" i="6"/>
  <c r="BH7569" i="6"/>
  <c r="BG7569" i="6"/>
  <c r="BF7569" i="6"/>
  <c r="BE7569" i="6"/>
  <c r="BD7569" i="6"/>
  <c r="BC7569" i="6"/>
  <c r="CX7568" i="6"/>
  <c r="CW7568" i="6"/>
  <c r="CV7568" i="6"/>
  <c r="CU7568" i="6"/>
  <c r="CT7568" i="6"/>
  <c r="CS7568" i="6"/>
  <c r="CR7568" i="6"/>
  <c r="CQ7568" i="6"/>
  <c r="CP7568" i="6"/>
  <c r="CO7568" i="6"/>
  <c r="CN7568" i="6"/>
  <c r="CM7568" i="6"/>
  <c r="CL7568" i="6"/>
  <c r="CK7568" i="6"/>
  <c r="CJ7568" i="6"/>
  <c r="CI7568" i="6"/>
  <c r="CH7568" i="6"/>
  <c r="CG7568" i="6"/>
  <c r="CF7568" i="6"/>
  <c r="CE7568" i="6"/>
  <c r="CD7568" i="6"/>
  <c r="CC7568" i="6"/>
  <c r="CB7568" i="6"/>
  <c r="CA7568" i="6"/>
  <c r="BZ7568" i="6"/>
  <c r="BY7568" i="6"/>
  <c r="BX7568" i="6"/>
  <c r="BW7568" i="6"/>
  <c r="BV7568" i="6"/>
  <c r="BU7568" i="6"/>
  <c r="BT7568" i="6"/>
  <c r="BS7568" i="6"/>
  <c r="BR7568" i="6"/>
  <c r="BQ7568" i="6"/>
  <c r="BP7568" i="6"/>
  <c r="BO7568" i="6"/>
  <c r="BN7568" i="6"/>
  <c r="BM7568" i="6"/>
  <c r="BL7568" i="6"/>
  <c r="BK7568" i="6"/>
  <c r="BJ7568" i="6"/>
  <c r="BI7568" i="6"/>
  <c r="BH7568" i="6"/>
  <c r="BG7568" i="6"/>
  <c r="BF7568" i="6"/>
  <c r="BE7568" i="6"/>
  <c r="BD7568" i="6"/>
  <c r="BC7568" i="6"/>
  <c r="CX7567" i="6"/>
  <c r="CW7567" i="6"/>
  <c r="CV7567" i="6"/>
  <c r="CU7567" i="6"/>
  <c r="CT7567" i="6"/>
  <c r="CS7567" i="6"/>
  <c r="CR7567" i="6"/>
  <c r="CQ7567" i="6"/>
  <c r="CP7567" i="6"/>
  <c r="CO7567" i="6"/>
  <c r="CN7567" i="6"/>
  <c r="CM7567" i="6"/>
  <c r="CL7567" i="6"/>
  <c r="CK7567" i="6"/>
  <c r="CJ7567" i="6"/>
  <c r="CI7567" i="6"/>
  <c r="CH7567" i="6"/>
  <c r="CG7567" i="6"/>
  <c r="CF7567" i="6"/>
  <c r="CE7567" i="6"/>
  <c r="CD7567" i="6"/>
  <c r="CC7567" i="6"/>
  <c r="CB7567" i="6"/>
  <c r="CA7567" i="6"/>
  <c r="BZ7567" i="6"/>
  <c r="BY7567" i="6"/>
  <c r="BX7567" i="6"/>
  <c r="BW7567" i="6"/>
  <c r="BV7567" i="6"/>
  <c r="BU7567" i="6"/>
  <c r="BT7567" i="6"/>
  <c r="BS7567" i="6"/>
  <c r="BR7567" i="6"/>
  <c r="BQ7567" i="6"/>
  <c r="BP7567" i="6"/>
  <c r="BO7567" i="6"/>
  <c r="BN7567" i="6"/>
  <c r="BM7567" i="6"/>
  <c r="BL7567" i="6"/>
  <c r="BK7567" i="6"/>
  <c r="BJ7567" i="6"/>
  <c r="BI7567" i="6"/>
  <c r="BH7567" i="6"/>
  <c r="BG7567" i="6"/>
  <c r="BF7567" i="6"/>
  <c r="BE7567" i="6"/>
  <c r="BD7567" i="6"/>
  <c r="BC7567" i="6"/>
  <c r="CX7566" i="6"/>
  <c r="CW7566" i="6"/>
  <c r="CV7566" i="6"/>
  <c r="CU7566" i="6"/>
  <c r="CT7566" i="6"/>
  <c r="CS7566" i="6"/>
  <c r="CR7566" i="6"/>
  <c r="CQ7566" i="6"/>
  <c r="CP7566" i="6"/>
  <c r="CO7566" i="6"/>
  <c r="CN7566" i="6"/>
  <c r="CM7566" i="6"/>
  <c r="CL7566" i="6"/>
  <c r="CK7566" i="6"/>
  <c r="CJ7566" i="6"/>
  <c r="CI7566" i="6"/>
  <c r="CH7566" i="6"/>
  <c r="CG7566" i="6"/>
  <c r="CF7566" i="6"/>
  <c r="CE7566" i="6"/>
  <c r="CD7566" i="6"/>
  <c r="CC7566" i="6"/>
  <c r="CB7566" i="6"/>
  <c r="CA7566" i="6"/>
  <c r="BZ7566" i="6"/>
  <c r="BY7566" i="6"/>
  <c r="BX7566" i="6"/>
  <c r="BW7566" i="6"/>
  <c r="BV7566" i="6"/>
  <c r="BU7566" i="6"/>
  <c r="BT7566" i="6"/>
  <c r="BS7566" i="6"/>
  <c r="BR7566" i="6"/>
  <c r="BQ7566" i="6"/>
  <c r="BP7566" i="6"/>
  <c r="BO7566" i="6"/>
  <c r="BN7566" i="6"/>
  <c r="BM7566" i="6"/>
  <c r="BL7566" i="6"/>
  <c r="BK7566" i="6"/>
  <c r="BJ7566" i="6"/>
  <c r="BI7566" i="6"/>
  <c r="BH7566" i="6"/>
  <c r="BG7566" i="6"/>
  <c r="BF7566" i="6"/>
  <c r="BE7566" i="6"/>
  <c r="BD7566" i="6"/>
  <c r="BC7566" i="6"/>
  <c r="CX7565" i="6"/>
  <c r="CW7565" i="6"/>
  <c r="CV7565" i="6"/>
  <c r="CU7565" i="6"/>
  <c r="CT7565" i="6"/>
  <c r="CS7565" i="6"/>
  <c r="CR7565" i="6"/>
  <c r="CQ7565" i="6"/>
  <c r="CP7565" i="6"/>
  <c r="CO7565" i="6"/>
  <c r="CN7565" i="6"/>
  <c r="CM7565" i="6"/>
  <c r="CL7565" i="6"/>
  <c r="CK7565" i="6"/>
  <c r="CJ7565" i="6"/>
  <c r="CI7565" i="6"/>
  <c r="CH7565" i="6"/>
  <c r="CG7565" i="6"/>
  <c r="CF7565" i="6"/>
  <c r="CE7565" i="6"/>
  <c r="CD7565" i="6"/>
  <c r="CC7565" i="6"/>
  <c r="CB7565" i="6"/>
  <c r="CA7565" i="6"/>
  <c r="BZ7565" i="6"/>
  <c r="BY7565" i="6"/>
  <c r="BX7565" i="6"/>
  <c r="BW7565" i="6"/>
  <c r="BV7565" i="6"/>
  <c r="BU7565" i="6"/>
  <c r="BT7565" i="6"/>
  <c r="BS7565" i="6"/>
  <c r="BR7565" i="6"/>
  <c r="BQ7565" i="6"/>
  <c r="BP7565" i="6"/>
  <c r="BO7565" i="6"/>
  <c r="BN7565" i="6"/>
  <c r="BM7565" i="6"/>
  <c r="BL7565" i="6"/>
  <c r="BK7565" i="6"/>
  <c r="BJ7565" i="6"/>
  <c r="BI7565" i="6"/>
  <c r="BH7565" i="6"/>
  <c r="BG7565" i="6"/>
  <c r="BF7565" i="6"/>
  <c r="BE7565" i="6"/>
  <c r="BD7565" i="6"/>
  <c r="BC7565" i="6"/>
  <c r="CX7564" i="6"/>
  <c r="CW7564" i="6"/>
  <c r="CV7564" i="6"/>
  <c r="CU7564" i="6"/>
  <c r="CT7564" i="6"/>
  <c r="CS7564" i="6"/>
  <c r="CR7564" i="6"/>
  <c r="CQ7564" i="6"/>
  <c r="CP7564" i="6"/>
  <c r="CO7564" i="6"/>
  <c r="CN7564" i="6"/>
  <c r="CM7564" i="6"/>
  <c r="CL7564" i="6"/>
  <c r="CK7564" i="6"/>
  <c r="CJ7564" i="6"/>
  <c r="CI7564" i="6"/>
  <c r="CH7564" i="6"/>
  <c r="CG7564" i="6"/>
  <c r="CF7564" i="6"/>
  <c r="CE7564" i="6"/>
  <c r="CD7564" i="6"/>
  <c r="CC7564" i="6"/>
  <c r="CB7564" i="6"/>
  <c r="CA7564" i="6"/>
  <c r="BZ7564" i="6"/>
  <c r="BY7564" i="6"/>
  <c r="BX7564" i="6"/>
  <c r="BW7564" i="6"/>
  <c r="BV7564" i="6"/>
  <c r="BU7564" i="6"/>
  <c r="BT7564" i="6"/>
  <c r="BS7564" i="6"/>
  <c r="BR7564" i="6"/>
  <c r="BQ7564" i="6"/>
  <c r="BP7564" i="6"/>
  <c r="BO7564" i="6"/>
  <c r="BN7564" i="6"/>
  <c r="BM7564" i="6"/>
  <c r="BL7564" i="6"/>
  <c r="BK7564" i="6"/>
  <c r="BJ7564" i="6"/>
  <c r="BI7564" i="6"/>
  <c r="BH7564" i="6"/>
  <c r="BG7564" i="6"/>
  <c r="BF7564" i="6"/>
  <c r="BE7564" i="6"/>
  <c r="BD7564" i="6"/>
  <c r="BC7564" i="6"/>
  <c r="CX7563" i="6"/>
  <c r="CW7563" i="6"/>
  <c r="CV7563" i="6"/>
  <c r="CU7563" i="6"/>
  <c r="CT7563" i="6"/>
  <c r="CS7563" i="6"/>
  <c r="CR7563" i="6"/>
  <c r="CQ7563" i="6"/>
  <c r="CP7563" i="6"/>
  <c r="CO7563" i="6"/>
  <c r="CN7563" i="6"/>
  <c r="CM7563" i="6"/>
  <c r="CL7563" i="6"/>
  <c r="CK7563" i="6"/>
  <c r="CJ7563" i="6"/>
  <c r="CI7563" i="6"/>
  <c r="CH7563" i="6"/>
  <c r="CG7563" i="6"/>
  <c r="CF7563" i="6"/>
  <c r="CE7563" i="6"/>
  <c r="CD7563" i="6"/>
  <c r="CC7563" i="6"/>
  <c r="CB7563" i="6"/>
  <c r="CA7563" i="6"/>
  <c r="BZ7563" i="6"/>
  <c r="BY7563" i="6"/>
  <c r="BX7563" i="6"/>
  <c r="BW7563" i="6"/>
  <c r="BV7563" i="6"/>
  <c r="BU7563" i="6"/>
  <c r="BT7563" i="6"/>
  <c r="BS7563" i="6"/>
  <c r="BR7563" i="6"/>
  <c r="BQ7563" i="6"/>
  <c r="BP7563" i="6"/>
  <c r="BO7563" i="6"/>
  <c r="BN7563" i="6"/>
  <c r="BM7563" i="6"/>
  <c r="BL7563" i="6"/>
  <c r="BK7563" i="6"/>
  <c r="BJ7563" i="6"/>
  <c r="BI7563" i="6"/>
  <c r="BH7563" i="6"/>
  <c r="BG7563" i="6"/>
  <c r="BF7563" i="6"/>
  <c r="BE7563" i="6"/>
  <c r="BD7563" i="6"/>
  <c r="BC7563" i="6"/>
  <c r="CX7562" i="6"/>
  <c r="CW7562" i="6"/>
  <c r="CV7562" i="6"/>
  <c r="CU7562" i="6"/>
  <c r="CT7562" i="6"/>
  <c r="CS7562" i="6"/>
  <c r="CR7562" i="6"/>
  <c r="CQ7562" i="6"/>
  <c r="CP7562" i="6"/>
  <c r="CO7562" i="6"/>
  <c r="CN7562" i="6"/>
  <c r="CM7562" i="6"/>
  <c r="CL7562" i="6"/>
  <c r="CK7562" i="6"/>
  <c r="CJ7562" i="6"/>
  <c r="CI7562" i="6"/>
  <c r="CH7562" i="6"/>
  <c r="CG7562" i="6"/>
  <c r="CF7562" i="6"/>
  <c r="CE7562" i="6"/>
  <c r="CD7562" i="6"/>
  <c r="CC7562" i="6"/>
  <c r="CB7562" i="6"/>
  <c r="CA7562" i="6"/>
  <c r="BZ7562" i="6"/>
  <c r="BY7562" i="6"/>
  <c r="BX7562" i="6"/>
  <c r="BW7562" i="6"/>
  <c r="BV7562" i="6"/>
  <c r="BU7562" i="6"/>
  <c r="BT7562" i="6"/>
  <c r="BS7562" i="6"/>
  <c r="BR7562" i="6"/>
  <c r="BQ7562" i="6"/>
  <c r="BP7562" i="6"/>
  <c r="BO7562" i="6"/>
  <c r="BN7562" i="6"/>
  <c r="BM7562" i="6"/>
  <c r="BL7562" i="6"/>
  <c r="BK7562" i="6"/>
  <c r="BJ7562" i="6"/>
  <c r="BI7562" i="6"/>
  <c r="BH7562" i="6"/>
  <c r="BG7562" i="6"/>
  <c r="BF7562" i="6"/>
  <c r="BE7562" i="6"/>
  <c r="BD7562" i="6"/>
  <c r="BC7562" i="6"/>
  <c r="CX7561" i="6"/>
  <c r="CW7561" i="6"/>
  <c r="CV7561" i="6"/>
  <c r="CU7561" i="6"/>
  <c r="CT7561" i="6"/>
  <c r="CS7561" i="6"/>
  <c r="CR7561" i="6"/>
  <c r="CQ7561" i="6"/>
  <c r="CP7561" i="6"/>
  <c r="CO7561" i="6"/>
  <c r="CN7561" i="6"/>
  <c r="CM7561" i="6"/>
  <c r="CL7561" i="6"/>
  <c r="CK7561" i="6"/>
  <c r="CJ7561" i="6"/>
  <c r="CI7561" i="6"/>
  <c r="CH7561" i="6"/>
  <c r="CG7561" i="6"/>
  <c r="CF7561" i="6"/>
  <c r="CE7561" i="6"/>
  <c r="CD7561" i="6"/>
  <c r="CC7561" i="6"/>
  <c r="CB7561" i="6"/>
  <c r="CA7561" i="6"/>
  <c r="BZ7561" i="6"/>
  <c r="BY7561" i="6"/>
  <c r="BX7561" i="6"/>
  <c r="BW7561" i="6"/>
  <c r="BV7561" i="6"/>
  <c r="BU7561" i="6"/>
  <c r="BT7561" i="6"/>
  <c r="BS7561" i="6"/>
  <c r="BR7561" i="6"/>
  <c r="BQ7561" i="6"/>
  <c r="BP7561" i="6"/>
  <c r="BO7561" i="6"/>
  <c r="BN7561" i="6"/>
  <c r="BM7561" i="6"/>
  <c r="BL7561" i="6"/>
  <c r="BK7561" i="6"/>
  <c r="BJ7561" i="6"/>
  <c r="BI7561" i="6"/>
  <c r="BH7561" i="6"/>
  <c r="BG7561" i="6"/>
  <c r="BF7561" i="6"/>
  <c r="BE7561" i="6"/>
  <c r="BD7561" i="6"/>
  <c r="BC7561" i="6"/>
  <c r="CX7560" i="6"/>
  <c r="CW7560" i="6"/>
  <c r="CV7560" i="6"/>
  <c r="CU7560" i="6"/>
  <c r="CT7560" i="6"/>
  <c r="CS7560" i="6"/>
  <c r="CR7560" i="6"/>
  <c r="CQ7560" i="6"/>
  <c r="CP7560" i="6"/>
  <c r="CO7560" i="6"/>
  <c r="CN7560" i="6"/>
  <c r="CM7560" i="6"/>
  <c r="CL7560" i="6"/>
  <c r="CK7560" i="6"/>
  <c r="CJ7560" i="6"/>
  <c r="CI7560" i="6"/>
  <c r="CH7560" i="6"/>
  <c r="CG7560" i="6"/>
  <c r="CF7560" i="6"/>
  <c r="CE7560" i="6"/>
  <c r="CD7560" i="6"/>
  <c r="CC7560" i="6"/>
  <c r="CB7560" i="6"/>
  <c r="CA7560" i="6"/>
  <c r="BZ7560" i="6"/>
  <c r="BY7560" i="6"/>
  <c r="BX7560" i="6"/>
  <c r="BW7560" i="6"/>
  <c r="BV7560" i="6"/>
  <c r="BU7560" i="6"/>
  <c r="BT7560" i="6"/>
  <c r="BS7560" i="6"/>
  <c r="BR7560" i="6"/>
  <c r="BQ7560" i="6"/>
  <c r="BP7560" i="6"/>
  <c r="BO7560" i="6"/>
  <c r="BN7560" i="6"/>
  <c r="BM7560" i="6"/>
  <c r="BL7560" i="6"/>
  <c r="BK7560" i="6"/>
  <c r="BJ7560" i="6"/>
  <c r="BI7560" i="6"/>
  <c r="BH7560" i="6"/>
  <c r="BG7560" i="6"/>
  <c r="BF7560" i="6"/>
  <c r="BE7560" i="6"/>
  <c r="BD7560" i="6"/>
  <c r="BC7560" i="6"/>
  <c r="CX7559" i="6"/>
  <c r="CW7559" i="6"/>
  <c r="CV7559" i="6"/>
  <c r="CU7559" i="6"/>
  <c r="CT7559" i="6"/>
  <c r="CS7559" i="6"/>
  <c r="CR7559" i="6"/>
  <c r="CQ7559" i="6"/>
  <c r="CP7559" i="6"/>
  <c r="CO7559" i="6"/>
  <c r="CN7559" i="6"/>
  <c r="CM7559" i="6"/>
  <c r="CL7559" i="6"/>
  <c r="CK7559" i="6"/>
  <c r="CJ7559" i="6"/>
  <c r="CI7559" i="6"/>
  <c r="CH7559" i="6"/>
  <c r="CG7559" i="6"/>
  <c r="CF7559" i="6"/>
  <c r="CE7559" i="6"/>
  <c r="CD7559" i="6"/>
  <c r="CC7559" i="6"/>
  <c r="CB7559" i="6"/>
  <c r="CA7559" i="6"/>
  <c r="BZ7559" i="6"/>
  <c r="BY7559" i="6"/>
  <c r="BX7559" i="6"/>
  <c r="BW7559" i="6"/>
  <c r="BV7559" i="6"/>
  <c r="BU7559" i="6"/>
  <c r="BT7559" i="6"/>
  <c r="BS7559" i="6"/>
  <c r="BR7559" i="6"/>
  <c r="BQ7559" i="6"/>
  <c r="BP7559" i="6"/>
  <c r="BO7559" i="6"/>
  <c r="BN7559" i="6"/>
  <c r="BM7559" i="6"/>
  <c r="BL7559" i="6"/>
  <c r="BK7559" i="6"/>
  <c r="BJ7559" i="6"/>
  <c r="BI7559" i="6"/>
  <c r="BH7559" i="6"/>
  <c r="BG7559" i="6"/>
  <c r="BF7559" i="6"/>
  <c r="BE7559" i="6"/>
  <c r="BD7559" i="6"/>
  <c r="BC7559" i="6"/>
  <c r="CX7558" i="6"/>
  <c r="CW7558" i="6"/>
  <c r="CV7558" i="6"/>
  <c r="CU7558" i="6"/>
  <c r="CT7558" i="6"/>
  <c r="CS7558" i="6"/>
  <c r="CR7558" i="6"/>
  <c r="CQ7558" i="6"/>
  <c r="CP7558" i="6"/>
  <c r="CO7558" i="6"/>
  <c r="CN7558" i="6"/>
  <c r="CM7558" i="6"/>
  <c r="CL7558" i="6"/>
  <c r="CK7558" i="6"/>
  <c r="CJ7558" i="6"/>
  <c r="CI7558" i="6"/>
  <c r="CH7558" i="6"/>
  <c r="CG7558" i="6"/>
  <c r="CF7558" i="6"/>
  <c r="CE7558" i="6"/>
  <c r="CD7558" i="6"/>
  <c r="CC7558" i="6"/>
  <c r="CB7558" i="6"/>
  <c r="CA7558" i="6"/>
  <c r="BZ7558" i="6"/>
  <c r="BY7558" i="6"/>
  <c r="BX7558" i="6"/>
  <c r="BW7558" i="6"/>
  <c r="BV7558" i="6"/>
  <c r="BU7558" i="6"/>
  <c r="BT7558" i="6"/>
  <c r="BS7558" i="6"/>
  <c r="BR7558" i="6"/>
  <c r="BQ7558" i="6"/>
  <c r="BP7558" i="6"/>
  <c r="BO7558" i="6"/>
  <c r="BN7558" i="6"/>
  <c r="BM7558" i="6"/>
  <c r="BL7558" i="6"/>
  <c r="BK7558" i="6"/>
  <c r="BJ7558" i="6"/>
  <c r="BI7558" i="6"/>
  <c r="BH7558" i="6"/>
  <c r="BG7558" i="6"/>
  <c r="BF7558" i="6"/>
  <c r="BE7558" i="6"/>
  <c r="BD7558" i="6"/>
  <c r="BC7558" i="6"/>
  <c r="CX7557" i="6"/>
  <c r="CW7557" i="6"/>
  <c r="CV7557" i="6"/>
  <c r="CU7557" i="6"/>
  <c r="CT7557" i="6"/>
  <c r="CS7557" i="6"/>
  <c r="CR7557" i="6"/>
  <c r="CQ7557" i="6"/>
  <c r="CP7557" i="6"/>
  <c r="CO7557" i="6"/>
  <c r="CN7557" i="6"/>
  <c r="CM7557" i="6"/>
  <c r="CL7557" i="6"/>
  <c r="CK7557" i="6"/>
  <c r="CJ7557" i="6"/>
  <c r="CI7557" i="6"/>
  <c r="CH7557" i="6"/>
  <c r="CG7557" i="6"/>
  <c r="CF7557" i="6"/>
  <c r="CE7557" i="6"/>
  <c r="CD7557" i="6"/>
  <c r="CC7557" i="6"/>
  <c r="CB7557" i="6"/>
  <c r="CA7557" i="6"/>
  <c r="BZ7557" i="6"/>
  <c r="BY7557" i="6"/>
  <c r="BX7557" i="6"/>
  <c r="BW7557" i="6"/>
  <c r="BV7557" i="6"/>
  <c r="BU7557" i="6"/>
  <c r="BT7557" i="6"/>
  <c r="BS7557" i="6"/>
  <c r="BR7557" i="6"/>
  <c r="BQ7557" i="6"/>
  <c r="BP7557" i="6"/>
  <c r="BO7557" i="6"/>
  <c r="BN7557" i="6"/>
  <c r="BM7557" i="6"/>
  <c r="BL7557" i="6"/>
  <c r="BK7557" i="6"/>
  <c r="BJ7557" i="6"/>
  <c r="BI7557" i="6"/>
  <c r="BH7557" i="6"/>
  <c r="BG7557" i="6"/>
  <c r="BF7557" i="6"/>
  <c r="BE7557" i="6"/>
  <c r="BD7557" i="6"/>
  <c r="BC7557" i="6"/>
  <c r="CX7556" i="6"/>
  <c r="CW7556" i="6"/>
  <c r="CV7556" i="6"/>
  <c r="CU7556" i="6"/>
  <c r="CT7556" i="6"/>
  <c r="CS7556" i="6"/>
  <c r="CR7556" i="6"/>
  <c r="CQ7556" i="6"/>
  <c r="CP7556" i="6"/>
  <c r="CO7556" i="6"/>
  <c r="CN7556" i="6"/>
  <c r="CM7556" i="6"/>
  <c r="CL7556" i="6"/>
  <c r="CK7556" i="6"/>
  <c r="CJ7556" i="6"/>
  <c r="CI7556" i="6"/>
  <c r="CH7556" i="6"/>
  <c r="CG7556" i="6"/>
  <c r="CF7556" i="6"/>
  <c r="CE7556" i="6"/>
  <c r="CD7556" i="6"/>
  <c r="CC7556" i="6"/>
  <c r="CB7556" i="6"/>
  <c r="CA7556" i="6"/>
  <c r="BZ7556" i="6"/>
  <c r="BY7556" i="6"/>
  <c r="BX7556" i="6"/>
  <c r="BW7556" i="6"/>
  <c r="BV7556" i="6"/>
  <c r="BU7556" i="6"/>
  <c r="BT7556" i="6"/>
  <c r="BS7556" i="6"/>
  <c r="BR7556" i="6"/>
  <c r="BQ7556" i="6"/>
  <c r="BP7556" i="6"/>
  <c r="BO7556" i="6"/>
  <c r="BN7556" i="6"/>
  <c r="BM7556" i="6"/>
  <c r="BL7556" i="6"/>
  <c r="BK7556" i="6"/>
  <c r="BJ7556" i="6"/>
  <c r="BI7556" i="6"/>
  <c r="BH7556" i="6"/>
  <c r="BG7556" i="6"/>
  <c r="BF7556" i="6"/>
  <c r="BE7556" i="6"/>
  <c r="BD7556" i="6"/>
  <c r="BC7556" i="6"/>
  <c r="CX7555" i="6"/>
  <c r="CW7555" i="6"/>
  <c r="CV7555" i="6"/>
  <c r="CU7555" i="6"/>
  <c r="CT7555" i="6"/>
  <c r="CS7555" i="6"/>
  <c r="CR7555" i="6"/>
  <c r="CQ7555" i="6"/>
  <c r="CP7555" i="6"/>
  <c r="CO7555" i="6"/>
  <c r="CN7555" i="6"/>
  <c r="CM7555" i="6"/>
  <c r="CL7555" i="6"/>
  <c r="CK7555" i="6"/>
  <c r="CJ7555" i="6"/>
  <c r="CI7555" i="6"/>
  <c r="CH7555" i="6"/>
  <c r="CG7555" i="6"/>
  <c r="CF7555" i="6"/>
  <c r="CE7555" i="6"/>
  <c r="CD7555" i="6"/>
  <c r="CC7555" i="6"/>
  <c r="CB7555" i="6"/>
  <c r="CA7555" i="6"/>
  <c r="BZ7555" i="6"/>
  <c r="BY7555" i="6"/>
  <c r="BX7555" i="6"/>
  <c r="BW7555" i="6"/>
  <c r="BV7555" i="6"/>
  <c r="BU7555" i="6"/>
  <c r="BT7555" i="6"/>
  <c r="BS7555" i="6"/>
  <c r="BR7555" i="6"/>
  <c r="BQ7555" i="6"/>
  <c r="BP7555" i="6"/>
  <c r="BO7555" i="6"/>
  <c r="BN7555" i="6"/>
  <c r="BM7555" i="6"/>
  <c r="BL7555" i="6"/>
  <c r="BK7555" i="6"/>
  <c r="BJ7555" i="6"/>
  <c r="BI7555" i="6"/>
  <c r="BH7555" i="6"/>
  <c r="BG7555" i="6"/>
  <c r="BF7555" i="6"/>
  <c r="BE7555" i="6"/>
  <c r="BD7555" i="6"/>
  <c r="BC7555" i="6"/>
  <c r="CX7554" i="6"/>
  <c r="CW7554" i="6"/>
  <c r="CV7554" i="6"/>
  <c r="CU7554" i="6"/>
  <c r="CT7554" i="6"/>
  <c r="CS7554" i="6"/>
  <c r="CR7554" i="6"/>
  <c r="CQ7554" i="6"/>
  <c r="CP7554" i="6"/>
  <c r="CO7554" i="6"/>
  <c r="CN7554" i="6"/>
  <c r="CM7554" i="6"/>
  <c r="CL7554" i="6"/>
  <c r="CK7554" i="6"/>
  <c r="CJ7554" i="6"/>
  <c r="CI7554" i="6"/>
  <c r="CH7554" i="6"/>
  <c r="CG7554" i="6"/>
  <c r="CF7554" i="6"/>
  <c r="CE7554" i="6"/>
  <c r="CD7554" i="6"/>
  <c r="CC7554" i="6"/>
  <c r="CB7554" i="6"/>
  <c r="CA7554" i="6"/>
  <c r="BZ7554" i="6"/>
  <c r="BY7554" i="6"/>
  <c r="BX7554" i="6"/>
  <c r="BW7554" i="6"/>
  <c r="BV7554" i="6"/>
  <c r="BU7554" i="6"/>
  <c r="BT7554" i="6"/>
  <c r="BS7554" i="6"/>
  <c r="BR7554" i="6"/>
  <c r="BQ7554" i="6"/>
  <c r="BP7554" i="6"/>
  <c r="BO7554" i="6"/>
  <c r="BN7554" i="6"/>
  <c r="BM7554" i="6"/>
  <c r="BL7554" i="6"/>
  <c r="BK7554" i="6"/>
  <c r="BJ7554" i="6"/>
  <c r="BI7554" i="6"/>
  <c r="BH7554" i="6"/>
  <c r="BG7554" i="6"/>
  <c r="BF7554" i="6"/>
  <c r="BE7554" i="6"/>
  <c r="BD7554" i="6"/>
  <c r="BC7554" i="6"/>
  <c r="CX7553" i="6"/>
  <c r="CW7553" i="6"/>
  <c r="CV7553" i="6"/>
  <c r="CU7553" i="6"/>
  <c r="CT7553" i="6"/>
  <c r="CS7553" i="6"/>
  <c r="CR7553" i="6"/>
  <c r="CQ7553" i="6"/>
  <c r="CP7553" i="6"/>
  <c r="CO7553" i="6"/>
  <c r="CN7553" i="6"/>
  <c r="CM7553" i="6"/>
  <c r="CL7553" i="6"/>
  <c r="CK7553" i="6"/>
  <c r="CJ7553" i="6"/>
  <c r="CI7553" i="6"/>
  <c r="CH7553" i="6"/>
  <c r="CG7553" i="6"/>
  <c r="CF7553" i="6"/>
  <c r="CE7553" i="6"/>
  <c r="CD7553" i="6"/>
  <c r="CC7553" i="6"/>
  <c r="CB7553" i="6"/>
  <c r="CA7553" i="6"/>
  <c r="BZ7553" i="6"/>
  <c r="BY7553" i="6"/>
  <c r="BX7553" i="6"/>
  <c r="BW7553" i="6"/>
  <c r="BV7553" i="6"/>
  <c r="BU7553" i="6"/>
  <c r="BT7553" i="6"/>
  <c r="BS7553" i="6"/>
  <c r="BR7553" i="6"/>
  <c r="BQ7553" i="6"/>
  <c r="BP7553" i="6"/>
  <c r="BO7553" i="6"/>
  <c r="BN7553" i="6"/>
  <c r="BM7553" i="6"/>
  <c r="BL7553" i="6"/>
  <c r="BK7553" i="6"/>
  <c r="BJ7553" i="6"/>
  <c r="BI7553" i="6"/>
  <c r="BH7553" i="6"/>
  <c r="BG7553" i="6"/>
  <c r="BF7553" i="6"/>
  <c r="BE7553" i="6"/>
  <c r="BD7553" i="6"/>
  <c r="BC7553" i="6"/>
  <c r="CX7552" i="6"/>
  <c r="CW7552" i="6"/>
  <c r="CV7552" i="6"/>
  <c r="CU7552" i="6"/>
  <c r="CT7552" i="6"/>
  <c r="CS7552" i="6"/>
  <c r="CR7552" i="6"/>
  <c r="CQ7552" i="6"/>
  <c r="CP7552" i="6"/>
  <c r="CO7552" i="6"/>
  <c r="CN7552" i="6"/>
  <c r="CM7552" i="6"/>
  <c r="CL7552" i="6"/>
  <c r="CK7552" i="6"/>
  <c r="CJ7552" i="6"/>
  <c r="CI7552" i="6"/>
  <c r="CH7552" i="6"/>
  <c r="CG7552" i="6"/>
  <c r="CF7552" i="6"/>
  <c r="CE7552" i="6"/>
  <c r="CD7552" i="6"/>
  <c r="CC7552" i="6"/>
  <c r="CB7552" i="6"/>
  <c r="CA7552" i="6"/>
  <c r="BZ7552" i="6"/>
  <c r="BY7552" i="6"/>
  <c r="BX7552" i="6"/>
  <c r="BW7552" i="6"/>
  <c r="BV7552" i="6"/>
  <c r="BU7552" i="6"/>
  <c r="BT7552" i="6"/>
  <c r="BS7552" i="6"/>
  <c r="BR7552" i="6"/>
  <c r="BQ7552" i="6"/>
  <c r="BP7552" i="6"/>
  <c r="BO7552" i="6"/>
  <c r="BN7552" i="6"/>
  <c r="BM7552" i="6"/>
  <c r="BL7552" i="6"/>
  <c r="BK7552" i="6"/>
  <c r="BJ7552" i="6"/>
  <c r="BI7552" i="6"/>
  <c r="BH7552" i="6"/>
  <c r="BG7552" i="6"/>
  <c r="BF7552" i="6"/>
  <c r="BE7552" i="6"/>
  <c r="BD7552" i="6"/>
  <c r="BC7552" i="6"/>
  <c r="CX7551" i="6"/>
  <c r="CW7551" i="6"/>
  <c r="CV7551" i="6"/>
  <c r="CU7551" i="6"/>
  <c r="CT7551" i="6"/>
  <c r="CS7551" i="6"/>
  <c r="CR7551" i="6"/>
  <c r="CQ7551" i="6"/>
  <c r="CP7551" i="6"/>
  <c r="CO7551" i="6"/>
  <c r="CN7551" i="6"/>
  <c r="CM7551" i="6"/>
  <c r="CL7551" i="6"/>
  <c r="CK7551" i="6"/>
  <c r="CJ7551" i="6"/>
  <c r="CI7551" i="6"/>
  <c r="CH7551" i="6"/>
  <c r="CG7551" i="6"/>
  <c r="CF7551" i="6"/>
  <c r="CE7551" i="6"/>
  <c r="CD7551" i="6"/>
  <c r="CC7551" i="6"/>
  <c r="CB7551" i="6"/>
  <c r="CA7551" i="6"/>
  <c r="BZ7551" i="6"/>
  <c r="BY7551" i="6"/>
  <c r="BX7551" i="6"/>
  <c r="BW7551" i="6"/>
  <c r="BV7551" i="6"/>
  <c r="BU7551" i="6"/>
  <c r="BT7551" i="6"/>
  <c r="BS7551" i="6"/>
  <c r="BR7551" i="6"/>
  <c r="BQ7551" i="6"/>
  <c r="BP7551" i="6"/>
  <c r="BO7551" i="6"/>
  <c r="BN7551" i="6"/>
  <c r="BM7551" i="6"/>
  <c r="BL7551" i="6"/>
  <c r="BK7551" i="6"/>
  <c r="BJ7551" i="6"/>
  <c r="BI7551" i="6"/>
  <c r="BH7551" i="6"/>
  <c r="BG7551" i="6"/>
  <c r="BF7551" i="6"/>
  <c r="BE7551" i="6"/>
  <c r="BD7551" i="6"/>
  <c r="BC7551" i="6"/>
  <c r="CX7550" i="6"/>
  <c r="CW7550" i="6"/>
  <c r="CV7550" i="6"/>
  <c r="CU7550" i="6"/>
  <c r="CT7550" i="6"/>
  <c r="CS7550" i="6"/>
  <c r="CR7550" i="6"/>
  <c r="CQ7550" i="6"/>
  <c r="CP7550" i="6"/>
  <c r="CO7550" i="6"/>
  <c r="CN7550" i="6"/>
  <c r="CM7550" i="6"/>
  <c r="CL7550" i="6"/>
  <c r="CK7550" i="6"/>
  <c r="CJ7550" i="6"/>
  <c r="CI7550" i="6"/>
  <c r="CH7550" i="6"/>
  <c r="CG7550" i="6"/>
  <c r="CF7550" i="6"/>
  <c r="CE7550" i="6"/>
  <c r="CD7550" i="6"/>
  <c r="CC7550" i="6"/>
  <c r="CB7550" i="6"/>
  <c r="CA7550" i="6"/>
  <c r="BZ7550" i="6"/>
  <c r="BY7550" i="6"/>
  <c r="BX7550" i="6"/>
  <c r="BW7550" i="6"/>
  <c r="BV7550" i="6"/>
  <c r="BU7550" i="6"/>
  <c r="BT7550" i="6"/>
  <c r="BS7550" i="6"/>
  <c r="BR7550" i="6"/>
  <c r="BQ7550" i="6"/>
  <c r="BP7550" i="6"/>
  <c r="BO7550" i="6"/>
  <c r="BN7550" i="6"/>
  <c r="BM7550" i="6"/>
  <c r="BL7550" i="6"/>
  <c r="BK7550" i="6"/>
  <c r="BJ7550" i="6"/>
  <c r="BI7550" i="6"/>
  <c r="BH7550" i="6"/>
  <c r="BG7550" i="6"/>
  <c r="BF7550" i="6"/>
  <c r="BE7550" i="6"/>
  <c r="BD7550" i="6"/>
  <c r="BC7550" i="6"/>
  <c r="CX7549" i="6"/>
  <c r="CW7549" i="6"/>
  <c r="CV7549" i="6"/>
  <c r="CU7549" i="6"/>
  <c r="CT7549" i="6"/>
  <c r="CS7549" i="6"/>
  <c r="CR7549" i="6"/>
  <c r="CQ7549" i="6"/>
  <c r="CP7549" i="6"/>
  <c r="CO7549" i="6"/>
  <c r="CN7549" i="6"/>
  <c r="CM7549" i="6"/>
  <c r="CL7549" i="6"/>
  <c r="CK7549" i="6"/>
  <c r="CJ7549" i="6"/>
  <c r="CI7549" i="6"/>
  <c r="CH7549" i="6"/>
  <c r="CG7549" i="6"/>
  <c r="CF7549" i="6"/>
  <c r="CE7549" i="6"/>
  <c r="CD7549" i="6"/>
  <c r="CC7549" i="6"/>
  <c r="CB7549" i="6"/>
  <c r="CA7549" i="6"/>
  <c r="BZ7549" i="6"/>
  <c r="BY7549" i="6"/>
  <c r="BX7549" i="6"/>
  <c r="BW7549" i="6"/>
  <c r="BV7549" i="6"/>
  <c r="BU7549" i="6"/>
  <c r="BT7549" i="6"/>
  <c r="BS7549" i="6"/>
  <c r="BR7549" i="6"/>
  <c r="BQ7549" i="6"/>
  <c r="BP7549" i="6"/>
  <c r="BO7549" i="6"/>
  <c r="BN7549" i="6"/>
  <c r="BM7549" i="6"/>
  <c r="BL7549" i="6"/>
  <c r="BK7549" i="6"/>
  <c r="BJ7549" i="6"/>
  <c r="BI7549" i="6"/>
  <c r="BH7549" i="6"/>
  <c r="BG7549" i="6"/>
  <c r="BF7549" i="6"/>
  <c r="BE7549" i="6"/>
  <c r="BD7549" i="6"/>
  <c r="BC7549" i="6"/>
  <c r="CX7548" i="6"/>
  <c r="CW7548" i="6"/>
  <c r="CV7548" i="6"/>
  <c r="CU7548" i="6"/>
  <c r="CT7548" i="6"/>
  <c r="CS7548" i="6"/>
  <c r="CR7548" i="6"/>
  <c r="CQ7548" i="6"/>
  <c r="CP7548" i="6"/>
  <c r="CO7548" i="6"/>
  <c r="CN7548" i="6"/>
  <c r="CM7548" i="6"/>
  <c r="CL7548" i="6"/>
  <c r="CK7548" i="6"/>
  <c r="CJ7548" i="6"/>
  <c r="CI7548" i="6"/>
  <c r="CH7548" i="6"/>
  <c r="CG7548" i="6"/>
  <c r="CF7548" i="6"/>
  <c r="CE7548" i="6"/>
  <c r="CD7548" i="6"/>
  <c r="CC7548" i="6"/>
  <c r="CB7548" i="6"/>
  <c r="CA7548" i="6"/>
  <c r="BZ7548" i="6"/>
  <c r="BY7548" i="6"/>
  <c r="BX7548" i="6"/>
  <c r="BW7548" i="6"/>
  <c r="BV7548" i="6"/>
  <c r="BU7548" i="6"/>
  <c r="BT7548" i="6"/>
  <c r="BS7548" i="6"/>
  <c r="BR7548" i="6"/>
  <c r="BQ7548" i="6"/>
  <c r="BP7548" i="6"/>
  <c r="BO7548" i="6"/>
  <c r="BN7548" i="6"/>
  <c r="BM7548" i="6"/>
  <c r="BL7548" i="6"/>
  <c r="BK7548" i="6"/>
  <c r="BJ7548" i="6"/>
  <c r="BI7548" i="6"/>
  <c r="BH7548" i="6"/>
  <c r="BG7548" i="6"/>
  <c r="BF7548" i="6"/>
  <c r="BE7548" i="6"/>
  <c r="BD7548" i="6"/>
  <c r="BC7548" i="6"/>
  <c r="CX7547" i="6"/>
  <c r="CW7547" i="6"/>
  <c r="CV7547" i="6"/>
  <c r="CU7547" i="6"/>
  <c r="CT7547" i="6"/>
  <c r="CS7547" i="6"/>
  <c r="CR7547" i="6"/>
  <c r="CQ7547" i="6"/>
  <c r="CP7547" i="6"/>
  <c r="CO7547" i="6"/>
  <c r="CN7547" i="6"/>
  <c r="CM7547" i="6"/>
  <c r="CL7547" i="6"/>
  <c r="CK7547" i="6"/>
  <c r="CJ7547" i="6"/>
  <c r="CI7547" i="6"/>
  <c r="CH7547" i="6"/>
  <c r="CG7547" i="6"/>
  <c r="CF7547" i="6"/>
  <c r="CE7547" i="6"/>
  <c r="CD7547" i="6"/>
  <c r="CC7547" i="6"/>
  <c r="CB7547" i="6"/>
  <c r="CA7547" i="6"/>
  <c r="BZ7547" i="6"/>
  <c r="BY7547" i="6"/>
  <c r="BX7547" i="6"/>
  <c r="BW7547" i="6"/>
  <c r="BV7547" i="6"/>
  <c r="BU7547" i="6"/>
  <c r="BT7547" i="6"/>
  <c r="BS7547" i="6"/>
  <c r="BR7547" i="6"/>
  <c r="BQ7547" i="6"/>
  <c r="BP7547" i="6"/>
  <c r="BO7547" i="6"/>
  <c r="BN7547" i="6"/>
  <c r="BM7547" i="6"/>
  <c r="BL7547" i="6"/>
  <c r="BK7547" i="6"/>
  <c r="BJ7547" i="6"/>
  <c r="BI7547" i="6"/>
  <c r="BH7547" i="6"/>
  <c r="BG7547" i="6"/>
  <c r="BF7547" i="6"/>
  <c r="BE7547" i="6"/>
  <c r="BD7547" i="6"/>
  <c r="BC7547" i="6"/>
  <c r="CX7546" i="6"/>
  <c r="CW7546" i="6"/>
  <c r="CX7649" i="6" s="1"/>
  <c r="CV7546" i="6"/>
  <c r="CW7647" i="6" s="1"/>
  <c r="CU7546" i="6"/>
  <c r="CV7647" i="6" s="1"/>
  <c r="CT7546" i="6"/>
  <c r="CU7649" i="6" s="1"/>
  <c r="CS7546" i="6"/>
  <c r="CT7649" i="6" s="1"/>
  <c r="CR7546" i="6"/>
  <c r="CS7647" i="6" s="1"/>
  <c r="CQ7546" i="6"/>
  <c r="CR7647" i="6" s="1"/>
  <c r="CP7546" i="6"/>
  <c r="CQ7649" i="6" s="1"/>
  <c r="CO7546" i="6"/>
  <c r="CP7649" i="6" s="1"/>
  <c r="CN7546" i="6"/>
  <c r="CO7647" i="6" s="1"/>
  <c r="CM7546" i="6"/>
  <c r="CN7647" i="6" s="1"/>
  <c r="CL7546" i="6"/>
  <c r="CM7649" i="6" s="1"/>
  <c r="CK7546" i="6"/>
  <c r="CL7649" i="6" s="1"/>
  <c r="CJ7546" i="6"/>
  <c r="CK7647" i="6" s="1"/>
  <c r="CI7546" i="6"/>
  <c r="CJ7647" i="6" s="1"/>
  <c r="CH7546" i="6"/>
  <c r="CI7649" i="6" s="1"/>
  <c r="CG7546" i="6"/>
  <c r="CH7649" i="6" s="1"/>
  <c r="CF7546" i="6"/>
  <c r="CG7647" i="6" s="1"/>
  <c r="CE7546" i="6"/>
  <c r="CF7647" i="6" s="1"/>
  <c r="CD7546" i="6"/>
  <c r="CE7649" i="6" s="1"/>
  <c r="CC7546" i="6"/>
  <c r="CD7649" i="6" s="1"/>
  <c r="CB7546" i="6"/>
  <c r="CC7647" i="6" s="1"/>
  <c r="CA7546" i="6"/>
  <c r="CB7647" i="6" s="1"/>
  <c r="BZ7546" i="6"/>
  <c r="CA7649" i="6" s="1"/>
  <c r="BY7546" i="6"/>
  <c r="BZ7649" i="6" s="1"/>
  <c r="BX7546" i="6"/>
  <c r="BY7647" i="6" s="1"/>
  <c r="BW7546" i="6"/>
  <c r="BX7647" i="6" s="1"/>
  <c r="BV7546" i="6"/>
  <c r="BW7649" i="6" s="1"/>
  <c r="BU7546" i="6"/>
  <c r="BV7649" i="6" s="1"/>
  <c r="BT7546" i="6"/>
  <c r="BU7647" i="6" s="1"/>
  <c r="BS7546" i="6"/>
  <c r="BT7647" i="6" s="1"/>
  <c r="BR7546" i="6"/>
  <c r="BS7649" i="6" s="1"/>
  <c r="BQ7546" i="6"/>
  <c r="BR7649" i="6" s="1"/>
  <c r="BP7546" i="6"/>
  <c r="BQ7647" i="6" s="1"/>
  <c r="BO7546" i="6"/>
  <c r="BP7647" i="6" s="1"/>
  <c r="BN7546" i="6"/>
  <c r="BO7649" i="6" s="1"/>
  <c r="BM7546" i="6"/>
  <c r="BN7649" i="6" s="1"/>
  <c r="BL7546" i="6"/>
  <c r="BM7647" i="6" s="1"/>
  <c r="BK7546" i="6"/>
  <c r="BL7647" i="6" s="1"/>
  <c r="BJ7546" i="6"/>
  <c r="BK7649" i="6" s="1"/>
  <c r="BI7546" i="6"/>
  <c r="BJ7649" i="6" s="1"/>
  <c r="BH7546" i="6"/>
  <c r="BI7647" i="6" s="1"/>
  <c r="BG7546" i="6"/>
  <c r="BH7647" i="6" s="1"/>
  <c r="BF7546" i="6"/>
  <c r="BG7648" i="6" s="1"/>
  <c r="BE7546" i="6"/>
  <c r="BF7648" i="6" s="1"/>
  <c r="BD7546" i="6"/>
  <c r="BE7647" i="6" s="1"/>
  <c r="BC7546" i="6"/>
  <c r="BD7648" i="6" s="1"/>
  <c r="AZ7545" i="6"/>
  <c r="AY7545" i="6"/>
  <c r="AZ7544" i="6"/>
  <c r="AY7544" i="6"/>
  <c r="AZ7543" i="6"/>
  <c r="AY7543" i="6"/>
  <c r="AZ7542" i="6"/>
  <c r="AY7542" i="6"/>
  <c r="AZ7541" i="6"/>
  <c r="AY7541" i="6"/>
  <c r="AZ7540" i="6"/>
  <c r="AY7540" i="6"/>
  <c r="AZ7539" i="6"/>
  <c r="AY7539" i="6"/>
  <c r="AZ7538" i="6"/>
  <c r="AY7538" i="6"/>
  <c r="AZ7537" i="6"/>
  <c r="AY7537" i="6"/>
  <c r="AZ7536" i="6"/>
  <c r="AY7536" i="6"/>
  <c r="AZ7535" i="6"/>
  <c r="AY7535" i="6"/>
  <c r="AZ7534" i="6"/>
  <c r="AY7534" i="6"/>
  <c r="AZ7533" i="6"/>
  <c r="AY7533" i="6"/>
  <c r="AZ7532" i="6"/>
  <c r="AY7532" i="6"/>
  <c r="AZ7531" i="6"/>
  <c r="AY7531" i="6"/>
  <c r="AZ7530" i="6"/>
  <c r="AY7530" i="6"/>
  <c r="AZ7529" i="6"/>
  <c r="AY7529" i="6"/>
  <c r="AZ7528" i="6"/>
  <c r="AY7528" i="6"/>
  <c r="AZ7527" i="6"/>
  <c r="AY7527" i="6"/>
  <c r="AZ7526" i="6"/>
  <c r="AY7526" i="6"/>
  <c r="AZ7525" i="6"/>
  <c r="AY7525" i="6"/>
  <c r="AZ7524" i="6"/>
  <c r="AY7524" i="6"/>
  <c r="AZ7523" i="6"/>
  <c r="AY7523" i="6"/>
  <c r="AZ7522" i="6"/>
  <c r="AY7522" i="6"/>
  <c r="AZ7521" i="6"/>
  <c r="AY7521" i="6"/>
  <c r="AZ7520" i="6"/>
  <c r="AY7520" i="6"/>
  <c r="AZ7519" i="6"/>
  <c r="AY7519" i="6"/>
  <c r="AZ7518" i="6"/>
  <c r="AY7518" i="6"/>
  <c r="AZ7517" i="6"/>
  <c r="AY7517" i="6"/>
  <c r="AZ7516" i="6"/>
  <c r="AY7516" i="6"/>
  <c r="AZ7515" i="6"/>
  <c r="AY7515" i="6"/>
  <c r="AZ7514" i="6"/>
  <c r="AY7514" i="6"/>
  <c r="AZ7513" i="6"/>
  <c r="AY7513" i="6"/>
  <c r="AZ7512" i="6"/>
  <c r="AY7512" i="6"/>
  <c r="AZ7511" i="6"/>
  <c r="AY7511" i="6"/>
  <c r="AZ7510" i="6"/>
  <c r="AY7510" i="6"/>
  <c r="AZ7509" i="6"/>
  <c r="AY7509" i="6"/>
  <c r="AZ7508" i="6"/>
  <c r="AY7508" i="6"/>
  <c r="AZ7507" i="6"/>
  <c r="AY7507" i="6"/>
  <c r="AZ7506" i="6"/>
  <c r="AY7506" i="6"/>
  <c r="AZ7505" i="6"/>
  <c r="AY7505" i="6"/>
  <c r="AZ7504" i="6"/>
  <c r="AY7504" i="6"/>
  <c r="AZ7503" i="6"/>
  <c r="AY7503" i="6"/>
  <c r="AZ7502" i="6"/>
  <c r="AY7502" i="6"/>
  <c r="AZ7501" i="6"/>
  <c r="AY7501" i="6"/>
  <c r="AZ7500" i="6"/>
  <c r="AY7500" i="6"/>
  <c r="AZ7499" i="6"/>
  <c r="AY7499" i="6"/>
  <c r="AZ7498" i="6"/>
  <c r="AY7498" i="6"/>
  <c r="AZ7497" i="6"/>
  <c r="AY7497" i="6"/>
  <c r="AZ7496" i="6"/>
  <c r="AY7496" i="6"/>
  <c r="AZ7495" i="6"/>
  <c r="AY7495" i="6"/>
  <c r="AZ7494" i="6"/>
  <c r="AY7494" i="6"/>
  <c r="AZ7493" i="6"/>
  <c r="AY7493" i="6"/>
  <c r="AZ7492" i="6"/>
  <c r="AY7492" i="6"/>
  <c r="AZ7491" i="6"/>
  <c r="AY7491" i="6"/>
  <c r="AZ7490" i="6"/>
  <c r="AY7490" i="6"/>
  <c r="AZ7489" i="6"/>
  <c r="AY7489" i="6"/>
  <c r="AZ7488" i="6"/>
  <c r="AY7488" i="6"/>
  <c r="AZ7487" i="6"/>
  <c r="AY7487" i="6"/>
  <c r="AZ7486" i="6"/>
  <c r="AY7486" i="6"/>
  <c r="AZ7485" i="6"/>
  <c r="AY7485" i="6"/>
  <c r="AZ7484" i="6"/>
  <c r="AY7484" i="6"/>
  <c r="AZ7483" i="6"/>
  <c r="AY7483" i="6"/>
  <c r="AZ7482" i="6"/>
  <c r="AY7482" i="6"/>
  <c r="AZ7481" i="6"/>
  <c r="AY7481" i="6"/>
  <c r="AZ7480" i="6"/>
  <c r="AY7480" i="6"/>
  <c r="AZ7479" i="6"/>
  <c r="AY7479" i="6"/>
  <c r="AZ7478" i="6"/>
  <c r="AY7478" i="6"/>
  <c r="AZ7477" i="6"/>
  <c r="AY7477" i="6"/>
  <c r="AZ7476" i="6"/>
  <c r="AY7476" i="6"/>
  <c r="AZ7475" i="6"/>
  <c r="AY7475" i="6"/>
  <c r="AZ7474" i="6"/>
  <c r="AY7474" i="6"/>
  <c r="AZ7473" i="6"/>
  <c r="AY7473" i="6"/>
  <c r="AZ7472" i="6"/>
  <c r="AY7472" i="6"/>
  <c r="AZ7471" i="6"/>
  <c r="AY7471" i="6"/>
  <c r="AZ7470" i="6"/>
  <c r="AY7470" i="6"/>
  <c r="AZ7469" i="6"/>
  <c r="AY7469" i="6"/>
  <c r="AZ7468" i="6"/>
  <c r="AY7468" i="6"/>
  <c r="AZ7467" i="6"/>
  <c r="AY7467" i="6"/>
  <c r="AZ7466" i="6"/>
  <c r="AY7466" i="6"/>
  <c r="AZ7465" i="6"/>
  <c r="AY7465" i="6"/>
  <c r="AZ7464" i="6"/>
  <c r="AY7464" i="6"/>
  <c r="AZ7463" i="6"/>
  <c r="AY7463" i="6"/>
  <c r="AZ7462" i="6"/>
  <c r="AY7462" i="6"/>
  <c r="AZ7461" i="6"/>
  <c r="AY7461" i="6"/>
  <c r="AZ7460" i="6"/>
  <c r="AY7460" i="6"/>
  <c r="AZ7459" i="6"/>
  <c r="AY7459" i="6"/>
  <c r="AZ7458" i="6"/>
  <c r="AY7458" i="6"/>
  <c r="AZ7457" i="6"/>
  <c r="AY7457" i="6"/>
  <c r="AZ7456" i="6"/>
  <c r="AY7456" i="6"/>
  <c r="AZ7455" i="6"/>
  <c r="AY7455" i="6"/>
  <c r="AZ7454" i="6"/>
  <c r="AY7454" i="6"/>
  <c r="AZ7453" i="6"/>
  <c r="AY7453" i="6"/>
  <c r="AZ7452" i="6"/>
  <c r="AY7452" i="6"/>
  <c r="AZ7451" i="6"/>
  <c r="AY7451" i="6"/>
  <c r="AZ7450" i="6"/>
  <c r="AY7450" i="6"/>
  <c r="AZ7449" i="6"/>
  <c r="AY7449" i="6"/>
  <c r="AZ7448" i="6"/>
  <c r="AY7448" i="6"/>
  <c r="AZ7447" i="6"/>
  <c r="AY7447" i="6"/>
  <c r="AZ7446" i="6"/>
  <c r="AY7446" i="6"/>
  <c r="AZ7445" i="6"/>
  <c r="AY7445" i="6"/>
  <c r="AZ7444" i="6"/>
  <c r="AY7444" i="6"/>
  <c r="AZ7443" i="6"/>
  <c r="AY7443" i="6"/>
  <c r="AZ7442" i="6"/>
  <c r="AY7442" i="6"/>
  <c r="AZ7441" i="6"/>
  <c r="AY7441" i="6"/>
  <c r="AZ7440" i="6"/>
  <c r="AY7440" i="6"/>
  <c r="AZ7439" i="6"/>
  <c r="AY7439" i="6"/>
  <c r="AZ7438" i="6"/>
  <c r="AY7438" i="6"/>
  <c r="AZ7437" i="6"/>
  <c r="AY7437" i="6"/>
  <c r="AZ7436" i="6"/>
  <c r="AY7436" i="6"/>
  <c r="AZ7435" i="6"/>
  <c r="AY7435" i="6"/>
  <c r="AZ7434" i="6"/>
  <c r="AY7434" i="6"/>
  <c r="AZ7433" i="6"/>
  <c r="AY7433" i="6"/>
  <c r="AZ7432" i="6"/>
  <c r="AY7432" i="6"/>
  <c r="AZ7431" i="6"/>
  <c r="AY7431" i="6"/>
  <c r="AZ7430" i="6"/>
  <c r="AY7430" i="6"/>
  <c r="AZ7429" i="6"/>
  <c r="AY7429" i="6"/>
  <c r="AZ7428" i="6"/>
  <c r="AY7428" i="6"/>
  <c r="AZ7427" i="6"/>
  <c r="AY7427" i="6"/>
  <c r="AZ7426" i="6"/>
  <c r="AY7426" i="6"/>
  <c r="AZ7425" i="6"/>
  <c r="AY7425" i="6"/>
  <c r="AZ7424" i="6"/>
  <c r="AY7424" i="6"/>
  <c r="AZ7423" i="6"/>
  <c r="AY7423" i="6"/>
  <c r="AZ7422" i="6"/>
  <c r="AY7422" i="6"/>
  <c r="AZ7421" i="6"/>
  <c r="AY7421" i="6"/>
  <c r="AZ7420" i="6"/>
  <c r="AY7420" i="6"/>
  <c r="AZ7419" i="6"/>
  <c r="AY7419" i="6"/>
  <c r="AZ7418" i="6"/>
  <c r="AY7418" i="6"/>
  <c r="AZ7417" i="6"/>
  <c r="AY7417" i="6"/>
  <c r="AZ7416" i="6"/>
  <c r="AY7416" i="6"/>
  <c r="AZ7415" i="6"/>
  <c r="AY7415" i="6"/>
  <c r="AZ7414" i="6"/>
  <c r="AY7414" i="6"/>
  <c r="AZ7413" i="6"/>
  <c r="AY7413" i="6"/>
  <c r="AZ7412" i="6"/>
  <c r="AY7412" i="6"/>
  <c r="AZ7411" i="6"/>
  <c r="AY7411" i="6"/>
  <c r="AZ7410" i="6"/>
  <c r="AY7410" i="6"/>
  <c r="AZ7409" i="6"/>
  <c r="AY7409" i="6"/>
  <c r="AZ7408" i="6"/>
  <c r="AY7408" i="6"/>
  <c r="AZ7407" i="6"/>
  <c r="AY7407" i="6"/>
  <c r="AZ7406" i="6"/>
  <c r="AY7406" i="6"/>
  <c r="AZ7405" i="6"/>
  <c r="AY7405" i="6"/>
  <c r="AZ7404" i="6"/>
  <c r="AY7404" i="6"/>
  <c r="AZ7403" i="6"/>
  <c r="AY7403" i="6"/>
  <c r="AZ7402" i="6"/>
  <c r="AY7402" i="6"/>
  <c r="AZ7401" i="6"/>
  <c r="AY7401" i="6"/>
  <c r="AZ7400" i="6"/>
  <c r="AY7400" i="6"/>
  <c r="AZ7399" i="6"/>
  <c r="AY7399" i="6"/>
  <c r="AZ7398" i="6"/>
  <c r="AY7398" i="6"/>
  <c r="AZ7397" i="6"/>
  <c r="AY7397" i="6"/>
  <c r="AZ7396" i="6"/>
  <c r="AY7396" i="6"/>
  <c r="AZ7395" i="6"/>
  <c r="AY7395" i="6"/>
  <c r="AZ7394" i="6"/>
  <c r="AY7394" i="6"/>
  <c r="AZ7393" i="6"/>
  <c r="AY7393" i="6"/>
  <c r="AZ7392" i="6"/>
  <c r="AY7392" i="6"/>
  <c r="AZ7391" i="6"/>
  <c r="AY7391" i="6"/>
  <c r="AZ7390" i="6"/>
  <c r="AY7390" i="6"/>
  <c r="AZ7389" i="6"/>
  <c r="AY7389" i="6"/>
  <c r="AZ7388" i="6"/>
  <c r="AY7388" i="6"/>
  <c r="AZ7387" i="6"/>
  <c r="AY7387" i="6"/>
  <c r="AZ7386" i="6"/>
  <c r="AY7386" i="6"/>
  <c r="AZ7385" i="6"/>
  <c r="AY7385" i="6"/>
  <c r="AZ7384" i="6"/>
  <c r="AY7384" i="6"/>
  <c r="AZ7383" i="6"/>
  <c r="AY7383" i="6"/>
  <c r="AZ7382" i="6"/>
  <c r="AY7382" i="6"/>
  <c r="AZ7381" i="6"/>
  <c r="AY7381" i="6"/>
  <c r="AZ7380" i="6"/>
  <c r="AY7380" i="6"/>
  <c r="AZ7379" i="6"/>
  <c r="AY7379" i="6"/>
  <c r="AZ7378" i="6"/>
  <c r="AY7378" i="6"/>
  <c r="AZ7377" i="6"/>
  <c r="AY7377" i="6"/>
  <c r="AZ7376" i="6"/>
  <c r="AY7376" i="6"/>
  <c r="AZ7375" i="6"/>
  <c r="AY7375" i="6"/>
  <c r="AZ7374" i="6"/>
  <c r="AY7374" i="6"/>
  <c r="AZ7373" i="6"/>
  <c r="AY7373" i="6"/>
  <c r="AZ7372" i="6"/>
  <c r="AY7372" i="6"/>
  <c r="AZ7371" i="6"/>
  <c r="AY7371" i="6"/>
  <c r="AZ7370" i="6"/>
  <c r="AY7370" i="6"/>
  <c r="AZ7369" i="6"/>
  <c r="AY7369" i="6"/>
  <c r="AZ7368" i="6"/>
  <c r="AY7368" i="6"/>
  <c r="AZ7367" i="6"/>
  <c r="AY7367" i="6"/>
  <c r="AZ7366" i="6"/>
  <c r="AY7366" i="6"/>
  <c r="AZ7365" i="6"/>
  <c r="AY7365" i="6"/>
  <c r="AZ7364" i="6"/>
  <c r="AY7364" i="6"/>
  <c r="AZ7363" i="6"/>
  <c r="AY7363" i="6"/>
  <c r="AZ7362" i="6"/>
  <c r="AY7362" i="6"/>
  <c r="AZ7361" i="6"/>
  <c r="AY7361" i="6"/>
  <c r="AZ7360" i="6"/>
  <c r="AY7360" i="6"/>
  <c r="AZ7359" i="6"/>
  <c r="AY7359" i="6"/>
  <c r="AZ7358" i="6"/>
  <c r="AY7358" i="6"/>
  <c r="AZ7357" i="6"/>
  <c r="AY7357" i="6"/>
  <c r="AZ7356" i="6"/>
  <c r="AY7356" i="6"/>
  <c r="AZ7355" i="6"/>
  <c r="AY7355" i="6"/>
  <c r="AZ7354" i="6"/>
  <c r="AY7354" i="6"/>
  <c r="AZ7353" i="6"/>
  <c r="AY7353" i="6"/>
  <c r="AZ7352" i="6"/>
  <c r="AY7352" i="6"/>
  <c r="AZ7351" i="6"/>
  <c r="AY7351" i="6"/>
  <c r="AZ7350" i="6"/>
  <c r="AY7350" i="6"/>
  <c r="AZ7349" i="6"/>
  <c r="AY7349" i="6"/>
  <c r="AZ7348" i="6"/>
  <c r="AY7348" i="6"/>
  <c r="AZ7347" i="6"/>
  <c r="AY7347" i="6"/>
  <c r="AZ7346" i="6"/>
  <c r="AY7346" i="6"/>
  <c r="AZ7345" i="6"/>
  <c r="AY7345" i="6"/>
  <c r="AZ7344" i="6"/>
  <c r="AY7344" i="6"/>
  <c r="AZ7343" i="6"/>
  <c r="AY7343" i="6"/>
  <c r="AZ7342" i="6"/>
  <c r="AY7342" i="6"/>
  <c r="AZ7341" i="6"/>
  <c r="AY7341" i="6"/>
  <c r="AZ7340" i="6"/>
  <c r="AY7340" i="6"/>
  <c r="AZ7339" i="6"/>
  <c r="AY7339" i="6"/>
  <c r="AZ7338" i="6"/>
  <c r="AY7338" i="6"/>
  <c r="AZ7337" i="6"/>
  <c r="AY7337" i="6"/>
  <c r="AZ7336" i="6"/>
  <c r="AY7336" i="6"/>
  <c r="AZ7335" i="6"/>
  <c r="AY7335" i="6"/>
  <c r="AZ7334" i="6"/>
  <c r="AY7334" i="6"/>
  <c r="AZ7333" i="6"/>
  <c r="AY7333" i="6"/>
  <c r="AZ7332" i="6"/>
  <c r="AY7332" i="6"/>
  <c r="AZ7331" i="6"/>
  <c r="AY7331" i="6"/>
  <c r="AZ7330" i="6"/>
  <c r="AY7330" i="6"/>
  <c r="AZ7329" i="6"/>
  <c r="AY7329" i="6"/>
  <c r="AZ7328" i="6"/>
  <c r="AY7328" i="6"/>
  <c r="AZ7327" i="6"/>
  <c r="AY7327" i="6"/>
  <c r="AZ7326" i="6"/>
  <c r="AY7326" i="6"/>
  <c r="AZ7325" i="6"/>
  <c r="AY7325" i="6"/>
  <c r="AZ7324" i="6"/>
  <c r="AY7324" i="6"/>
  <c r="AZ7323" i="6"/>
  <c r="AY7323" i="6"/>
  <c r="AZ7322" i="6"/>
  <c r="AY7322" i="6"/>
  <c r="AZ7321" i="6"/>
  <c r="AY7321" i="6"/>
  <c r="AZ7320" i="6"/>
  <c r="AY7320" i="6"/>
  <c r="AZ7319" i="6"/>
  <c r="AY7319" i="6"/>
  <c r="AZ7318" i="6"/>
  <c r="AY7318" i="6"/>
  <c r="AZ7317" i="6"/>
  <c r="AY7317" i="6"/>
  <c r="AZ7316" i="6"/>
  <c r="AY7316" i="6"/>
  <c r="AZ7315" i="6"/>
  <c r="AY7315" i="6"/>
  <c r="AZ7314" i="6"/>
  <c r="AY7314" i="6"/>
  <c r="AZ7313" i="6"/>
  <c r="AY7313" i="6"/>
  <c r="AZ7312" i="6"/>
  <c r="AY7312" i="6"/>
  <c r="AZ7311" i="6"/>
  <c r="AY7311" i="6"/>
  <c r="AZ7310" i="6"/>
  <c r="AY7310" i="6"/>
  <c r="AZ7309" i="6"/>
  <c r="AY7309" i="6"/>
  <c r="AZ7308" i="6"/>
  <c r="AY7308" i="6"/>
  <c r="AZ7307" i="6"/>
  <c r="AY7307" i="6"/>
  <c r="AZ7306" i="6"/>
  <c r="AY7306" i="6"/>
  <c r="AZ7305" i="6"/>
  <c r="AY7305" i="6"/>
  <c r="AZ7304" i="6"/>
  <c r="AY7304" i="6"/>
  <c r="AZ7303" i="6"/>
  <c r="AY7303" i="6"/>
  <c r="AZ7302" i="6"/>
  <c r="AY7302" i="6"/>
  <c r="AZ7301" i="6"/>
  <c r="AY7301" i="6"/>
  <c r="AZ7300" i="6"/>
  <c r="AY7300" i="6"/>
  <c r="AZ7299" i="6"/>
  <c r="AY7299" i="6"/>
  <c r="AZ7298" i="6"/>
  <c r="AY7298" i="6"/>
  <c r="AZ7297" i="6"/>
  <c r="AY7297" i="6"/>
  <c r="AZ7296" i="6"/>
  <c r="AY7296" i="6"/>
  <c r="AZ7295" i="6"/>
  <c r="AY7295" i="6"/>
  <c r="AZ7294" i="6"/>
  <c r="AY7294" i="6"/>
  <c r="AZ7293" i="6"/>
  <c r="AY7293" i="6"/>
  <c r="AZ7292" i="6"/>
  <c r="AY7292" i="6"/>
  <c r="AZ7291" i="6"/>
  <c r="AY7291" i="6"/>
  <c r="AZ7290" i="6"/>
  <c r="AY7290" i="6"/>
  <c r="AZ7289" i="6"/>
  <c r="AY7289" i="6"/>
  <c r="AZ7288" i="6"/>
  <c r="AY7288" i="6"/>
  <c r="AZ7287" i="6"/>
  <c r="AY7287" i="6"/>
  <c r="AZ7286" i="6"/>
  <c r="AY7286" i="6"/>
  <c r="AZ7285" i="6"/>
  <c r="AY7285" i="6"/>
  <c r="AZ7284" i="6"/>
  <c r="AY7284" i="6"/>
  <c r="AZ7283" i="6"/>
  <c r="AY7283" i="6"/>
  <c r="AZ7282" i="6"/>
  <c r="AY7282" i="6"/>
  <c r="AZ7281" i="6"/>
  <c r="AY7281" i="6"/>
  <c r="AZ7280" i="6"/>
  <c r="AY7280" i="6"/>
  <c r="AZ7279" i="6"/>
  <c r="AY7279" i="6"/>
  <c r="AZ7278" i="6"/>
  <c r="AY7278" i="6"/>
  <c r="AZ7277" i="6"/>
  <c r="AY7277" i="6"/>
  <c r="AZ7276" i="6"/>
  <c r="AY7276" i="6"/>
  <c r="AZ7275" i="6"/>
  <c r="AY7275" i="6"/>
  <c r="AZ7274" i="6"/>
  <c r="AY7274" i="6"/>
  <c r="AZ7273" i="6"/>
  <c r="AY7273" i="6"/>
  <c r="AZ7272" i="6"/>
  <c r="AY7272" i="6"/>
  <c r="AZ7271" i="6"/>
  <c r="AY7271" i="6"/>
  <c r="AZ7270" i="6"/>
  <c r="AY7270" i="6"/>
  <c r="AZ7269" i="6"/>
  <c r="AY7269" i="6"/>
  <c r="AZ7268" i="6"/>
  <c r="AY7268" i="6"/>
  <c r="AZ7267" i="6"/>
  <c r="AY7267" i="6"/>
  <c r="AZ7266" i="6"/>
  <c r="AY7266" i="6"/>
  <c r="AZ7265" i="6"/>
  <c r="AY7265" i="6"/>
  <c r="AZ7264" i="6"/>
  <c r="AY7264" i="6"/>
  <c r="AZ7263" i="6"/>
  <c r="AY7263" i="6"/>
  <c r="AZ7262" i="6"/>
  <c r="AY7262" i="6"/>
  <c r="AZ7261" i="6"/>
  <c r="AY7261" i="6"/>
  <c r="AZ7260" i="6"/>
  <c r="AY7260" i="6"/>
  <c r="AZ7259" i="6"/>
  <c r="AY7259" i="6"/>
  <c r="AZ7258" i="6"/>
  <c r="AY7258" i="6"/>
  <c r="AZ7257" i="6"/>
  <c r="AY7257" i="6"/>
  <c r="AZ7256" i="6"/>
  <c r="AY7256" i="6"/>
  <c r="AZ7255" i="6"/>
  <c r="AY7255" i="6"/>
  <c r="AZ7254" i="6"/>
  <c r="AY7254" i="6"/>
  <c r="AZ7253" i="6"/>
  <c r="AY7253" i="6"/>
  <c r="AZ7252" i="6"/>
  <c r="AY7252" i="6"/>
  <c r="AZ7251" i="6"/>
  <c r="AY7251" i="6"/>
  <c r="AZ7250" i="6"/>
  <c r="AY7250" i="6"/>
  <c r="AZ7249" i="6"/>
  <c r="AY7249" i="6"/>
  <c r="AZ7248" i="6"/>
  <c r="AY7248" i="6"/>
  <c r="AZ7247" i="6"/>
  <c r="AY7247" i="6"/>
  <c r="AZ7246" i="6"/>
  <c r="AY7246" i="6"/>
  <c r="AZ7245" i="6"/>
  <c r="AY7245" i="6"/>
  <c r="AZ7244" i="6"/>
  <c r="AY7244" i="6"/>
  <c r="AZ7243" i="6"/>
  <c r="AY7243" i="6"/>
  <c r="AZ7242" i="6"/>
  <c r="AY7242" i="6"/>
  <c r="AZ7241" i="6"/>
  <c r="AY7241" i="6"/>
  <c r="AZ7240" i="6"/>
  <c r="AY7240" i="6"/>
  <c r="AZ7239" i="6"/>
  <c r="AY7239" i="6"/>
  <c r="AZ7238" i="6"/>
  <c r="AY7238" i="6"/>
  <c r="AZ7237" i="6"/>
  <c r="AY7237" i="6"/>
  <c r="AZ7236" i="6"/>
  <c r="AY7236" i="6"/>
  <c r="AZ7235" i="6"/>
  <c r="AY7235" i="6"/>
  <c r="AZ7234" i="6"/>
  <c r="AY7234" i="6"/>
  <c r="AZ7233" i="6"/>
  <c r="AY7233" i="6"/>
  <c r="AZ7232" i="6"/>
  <c r="AY7232" i="6"/>
  <c r="AZ7231" i="6"/>
  <c r="AY7231" i="6"/>
  <c r="AZ7230" i="6"/>
  <c r="AY7230" i="6"/>
  <c r="AZ7229" i="6"/>
  <c r="AY7229" i="6"/>
  <c r="AZ7228" i="6"/>
  <c r="AY7228" i="6"/>
  <c r="AZ7227" i="6"/>
  <c r="AY7227" i="6"/>
  <c r="AZ7226" i="6"/>
  <c r="AY7226" i="6"/>
  <c r="AZ7225" i="6"/>
  <c r="AY7225" i="6"/>
  <c r="AZ7224" i="6"/>
  <c r="AY7224" i="6"/>
  <c r="AZ7223" i="6"/>
  <c r="AY7223" i="6"/>
  <c r="AZ7222" i="6"/>
  <c r="AY7222" i="6"/>
  <c r="AZ7221" i="6"/>
  <c r="AY7221" i="6"/>
  <c r="AZ7220" i="6"/>
  <c r="AY7220" i="6"/>
  <c r="AZ7219" i="6"/>
  <c r="AY7219" i="6"/>
  <c r="AZ7218" i="6"/>
  <c r="AY7218" i="6"/>
  <c r="AZ7217" i="6"/>
  <c r="AY7217" i="6"/>
  <c r="AZ7216" i="6"/>
  <c r="AY7216" i="6"/>
  <c r="AZ7215" i="6"/>
  <c r="AY7215" i="6"/>
  <c r="AZ7214" i="6"/>
  <c r="AY7214" i="6"/>
  <c r="AZ7213" i="6"/>
  <c r="AY7213" i="6"/>
  <c r="AZ7212" i="6"/>
  <c r="AY7212" i="6"/>
  <c r="AZ7211" i="6"/>
  <c r="AY7211" i="6"/>
  <c r="AZ7210" i="6"/>
  <c r="AY7210" i="6"/>
  <c r="AZ7209" i="6"/>
  <c r="AY7209" i="6"/>
  <c r="AZ7208" i="6"/>
  <c r="AY7208" i="6"/>
  <c r="AZ7207" i="6"/>
  <c r="AY7207" i="6"/>
  <c r="AZ7206" i="6"/>
  <c r="AY7206" i="6"/>
  <c r="AZ7205" i="6"/>
  <c r="AY7205" i="6"/>
  <c r="AZ7204" i="6"/>
  <c r="AY7204" i="6"/>
  <c r="AZ7203" i="6"/>
  <c r="AY7203" i="6"/>
  <c r="AZ7202" i="6"/>
  <c r="AY7202" i="6"/>
  <c r="AZ7201" i="6"/>
  <c r="AY7201" i="6"/>
  <c r="AZ7200" i="6"/>
  <c r="AY7200" i="6"/>
  <c r="AZ7199" i="6"/>
  <c r="AY7199" i="6"/>
  <c r="AZ7198" i="6"/>
  <c r="AY7198" i="6"/>
  <c r="AZ7197" i="6"/>
  <c r="AY7197" i="6"/>
  <c r="AZ7196" i="6"/>
  <c r="AY7196" i="6"/>
  <c r="AZ7195" i="6"/>
  <c r="AY7195" i="6"/>
  <c r="AZ7194" i="6"/>
  <c r="AY7194" i="6"/>
  <c r="AZ7193" i="6"/>
  <c r="AY7193" i="6"/>
  <c r="AZ7192" i="6"/>
  <c r="AY7192" i="6"/>
  <c r="AZ7191" i="6"/>
  <c r="AY7191" i="6"/>
  <c r="AZ7190" i="6"/>
  <c r="AY7190" i="6"/>
  <c r="AZ7189" i="6"/>
  <c r="AY7189" i="6"/>
  <c r="AZ7188" i="6"/>
  <c r="AY7188" i="6"/>
  <c r="AZ7187" i="6"/>
  <c r="AY7187" i="6"/>
  <c r="AZ7186" i="6"/>
  <c r="AY7186" i="6"/>
  <c r="AZ7185" i="6"/>
  <c r="AY7185" i="6"/>
  <c r="AZ7184" i="6"/>
  <c r="AY7184" i="6"/>
  <c r="AZ7183" i="6"/>
  <c r="AY7183" i="6"/>
  <c r="AZ7182" i="6"/>
  <c r="AY7182" i="6"/>
  <c r="AZ7181" i="6"/>
  <c r="AY7181" i="6"/>
  <c r="AZ7180" i="6"/>
  <c r="AY7180" i="6"/>
  <c r="AZ7179" i="6"/>
  <c r="AY7179" i="6"/>
  <c r="AZ7178" i="6"/>
  <c r="AY7178" i="6"/>
  <c r="AZ7177" i="6"/>
  <c r="AY7177" i="6"/>
  <c r="AZ7176" i="6"/>
  <c r="AY7176" i="6"/>
  <c r="AZ7175" i="6"/>
  <c r="AY7175" i="6"/>
  <c r="AZ7174" i="6"/>
  <c r="AY7174" i="6"/>
  <c r="AZ7173" i="6"/>
  <c r="AY7173" i="6"/>
  <c r="AZ7172" i="6"/>
  <c r="AY7172" i="6"/>
  <c r="AZ7171" i="6"/>
  <c r="AY7171" i="6"/>
  <c r="AZ7170" i="6"/>
  <c r="AY7170" i="6"/>
  <c r="AZ7169" i="6"/>
  <c r="AY7169" i="6"/>
  <c r="AZ7168" i="6"/>
  <c r="AY7168" i="6"/>
  <c r="AZ7167" i="6"/>
  <c r="AY7167" i="6"/>
  <c r="AZ7166" i="6"/>
  <c r="AY7166" i="6"/>
  <c r="AZ7165" i="6"/>
  <c r="AY7165" i="6"/>
  <c r="AZ7164" i="6"/>
  <c r="AY7164" i="6"/>
  <c r="AZ7163" i="6"/>
  <c r="AY7163" i="6"/>
  <c r="AZ7162" i="6"/>
  <c r="AY7162" i="6"/>
  <c r="AZ7161" i="6"/>
  <c r="AY7161" i="6"/>
  <c r="AZ7160" i="6"/>
  <c r="AY7160" i="6"/>
  <c r="AZ7159" i="6"/>
  <c r="AY7159" i="6"/>
  <c r="AZ7158" i="6"/>
  <c r="AY7158" i="6"/>
  <c r="AZ7157" i="6"/>
  <c r="AY7157" i="6"/>
  <c r="AZ7156" i="6"/>
  <c r="AY7156" i="6"/>
  <c r="AZ7155" i="6"/>
  <c r="AY7155" i="6"/>
  <c r="AZ7154" i="6"/>
  <c r="AY7154" i="6"/>
  <c r="AZ7153" i="6"/>
  <c r="AY7153" i="6"/>
  <c r="AZ7152" i="6"/>
  <c r="AY7152" i="6"/>
  <c r="AZ7151" i="6"/>
  <c r="AY7151" i="6"/>
  <c r="AZ7150" i="6"/>
  <c r="AY7150" i="6"/>
  <c r="AZ7149" i="6"/>
  <c r="AY7149" i="6"/>
  <c r="AZ7148" i="6"/>
  <c r="AY7148" i="6"/>
  <c r="AZ7147" i="6"/>
  <c r="AY7147" i="6"/>
  <c r="AZ7146" i="6"/>
  <c r="AY7146" i="6"/>
  <c r="AZ7145" i="6"/>
  <c r="AY7145" i="6"/>
  <c r="AZ7144" i="6"/>
  <c r="AY7144" i="6"/>
  <c r="AZ7143" i="6"/>
  <c r="AY7143" i="6"/>
  <c r="AZ7142" i="6"/>
  <c r="AY7142" i="6"/>
  <c r="AZ7141" i="6"/>
  <c r="AY7141" i="6"/>
  <c r="AZ7140" i="6"/>
  <c r="AY7140" i="6"/>
  <c r="AZ7139" i="6"/>
  <c r="AY7139" i="6"/>
  <c r="AZ7138" i="6"/>
  <c r="AY7138" i="6"/>
  <c r="AZ7137" i="6"/>
  <c r="AY7137" i="6"/>
  <c r="AZ7136" i="6"/>
  <c r="AY7136" i="6"/>
  <c r="AZ7135" i="6"/>
  <c r="AY7135" i="6"/>
  <c r="AZ7134" i="6"/>
  <c r="AY7134" i="6"/>
  <c r="AZ7133" i="6"/>
  <c r="AY7133" i="6"/>
  <c r="AZ7132" i="6"/>
  <c r="AY7132" i="6"/>
  <c r="AZ7131" i="6"/>
  <c r="AY7131" i="6"/>
  <c r="AZ7130" i="6"/>
  <c r="AY7130" i="6"/>
  <c r="AZ7129" i="6"/>
  <c r="AY7129" i="6"/>
  <c r="AZ7128" i="6"/>
  <c r="AY7128" i="6"/>
  <c r="AZ7127" i="6"/>
  <c r="AY7127" i="6"/>
  <c r="AZ7126" i="6"/>
  <c r="AY7126" i="6"/>
  <c r="AZ7125" i="6"/>
  <c r="AY7125" i="6"/>
  <c r="AZ7124" i="6"/>
  <c r="AY7124" i="6"/>
  <c r="AZ7123" i="6"/>
  <c r="AY7123" i="6"/>
  <c r="AZ7122" i="6"/>
  <c r="AY7122" i="6"/>
  <c r="AZ7121" i="6"/>
  <c r="AY7121" i="6"/>
  <c r="AZ7120" i="6"/>
  <c r="AY7120" i="6"/>
  <c r="AZ7119" i="6"/>
  <c r="AY7119" i="6"/>
  <c r="AZ7118" i="6"/>
  <c r="AY7118" i="6"/>
  <c r="AZ7117" i="6"/>
  <c r="AY7117" i="6"/>
  <c r="AZ7116" i="6"/>
  <c r="AY7116" i="6"/>
  <c r="AZ7115" i="6"/>
  <c r="AY7115" i="6"/>
  <c r="AZ7114" i="6"/>
  <c r="AY7114" i="6"/>
  <c r="AZ7113" i="6"/>
  <c r="AY7113" i="6"/>
  <c r="AZ7112" i="6"/>
  <c r="AY7112" i="6"/>
  <c r="AZ7111" i="6"/>
  <c r="AY7111" i="6"/>
  <c r="AZ7110" i="6"/>
  <c r="AY7110" i="6"/>
  <c r="AZ7109" i="6"/>
  <c r="AY7109" i="6"/>
  <c r="AZ7108" i="6"/>
  <c r="AY7108" i="6"/>
  <c r="AZ7107" i="6"/>
  <c r="AY7107" i="6"/>
  <c r="AZ7106" i="6"/>
  <c r="AY7106" i="6"/>
  <c r="AZ7105" i="6"/>
  <c r="AY7105" i="6"/>
  <c r="AZ7104" i="6"/>
  <c r="AY7104" i="6"/>
  <c r="AZ7103" i="6"/>
  <c r="AY7103" i="6"/>
  <c r="AZ7102" i="6"/>
  <c r="AY7102" i="6"/>
  <c r="AZ7101" i="6"/>
  <c r="AY7101" i="6"/>
  <c r="AZ7100" i="6"/>
  <c r="AY7100" i="6"/>
  <c r="AZ7099" i="6"/>
  <c r="AY7099" i="6"/>
  <c r="AZ7098" i="6"/>
  <c r="AY7098" i="6"/>
  <c r="AZ7097" i="6"/>
  <c r="AY7097" i="6"/>
  <c r="AZ7096" i="6"/>
  <c r="AY7096" i="6"/>
  <c r="AZ7095" i="6"/>
  <c r="AY7095" i="6"/>
  <c r="AZ7094" i="6"/>
  <c r="AY7094" i="6"/>
  <c r="AZ7093" i="6"/>
  <c r="AY7093" i="6"/>
  <c r="AZ7092" i="6"/>
  <c r="AY7092" i="6"/>
  <c r="AZ7091" i="6"/>
  <c r="AY7091" i="6"/>
  <c r="AZ7090" i="6"/>
  <c r="AY7090" i="6"/>
  <c r="AZ7089" i="6"/>
  <c r="AY7089" i="6"/>
  <c r="AZ7088" i="6"/>
  <c r="AY7088" i="6"/>
  <c r="AZ7087" i="6"/>
  <c r="AY7087" i="6"/>
  <c r="AZ7086" i="6"/>
  <c r="AY7086" i="6"/>
  <c r="AZ7085" i="6"/>
  <c r="AY7085" i="6"/>
  <c r="AZ7084" i="6"/>
  <c r="AY7084" i="6"/>
  <c r="AZ7083" i="6"/>
  <c r="AY7083" i="6"/>
  <c r="AZ7082" i="6"/>
  <c r="AY7082" i="6"/>
  <c r="AZ7081" i="6"/>
  <c r="AY7081" i="6"/>
  <c r="AZ7080" i="6"/>
  <c r="AY7080" i="6"/>
  <c r="AZ7079" i="6"/>
  <c r="AY7079" i="6"/>
  <c r="AZ7078" i="6"/>
  <c r="AY7078" i="6"/>
  <c r="AZ7077" i="6"/>
  <c r="AY7077" i="6"/>
  <c r="AZ7076" i="6"/>
  <c r="AY7076" i="6"/>
  <c r="AZ7075" i="6"/>
  <c r="AY7075" i="6"/>
  <c r="AZ7074" i="6"/>
  <c r="AY7074" i="6"/>
  <c r="AZ7073" i="6"/>
  <c r="AY7073" i="6"/>
  <c r="AZ7072" i="6"/>
  <c r="AY7072" i="6"/>
  <c r="AZ7071" i="6"/>
  <c r="AY7071" i="6"/>
  <c r="AZ7070" i="6"/>
  <c r="AY7070" i="6"/>
  <c r="AZ7069" i="6"/>
  <c r="AY7069" i="6"/>
  <c r="AZ7068" i="6"/>
  <c r="AY7068" i="6"/>
  <c r="AZ7067" i="6"/>
  <c r="AY7067" i="6"/>
  <c r="AZ7066" i="6"/>
  <c r="AY7066" i="6"/>
  <c r="AZ7065" i="6"/>
  <c r="AY7065" i="6"/>
  <c r="AZ7064" i="6"/>
  <c r="AY7064" i="6"/>
  <c r="AZ7063" i="6"/>
  <c r="AY7063" i="6"/>
  <c r="AZ7062" i="6"/>
  <c r="AY7062" i="6"/>
  <c r="AZ7061" i="6"/>
  <c r="AY7061" i="6"/>
  <c r="AZ7060" i="6"/>
  <c r="AY7060" i="6"/>
  <c r="AZ7059" i="6"/>
  <c r="AY7059" i="6"/>
  <c r="AZ7058" i="6"/>
  <c r="AY7058" i="6"/>
  <c r="AZ7057" i="6"/>
  <c r="AY7057" i="6"/>
  <c r="AZ7056" i="6"/>
  <c r="AY7056" i="6"/>
  <c r="AZ7055" i="6"/>
  <c r="AY7055" i="6"/>
  <c r="AZ7054" i="6"/>
  <c r="AY7054" i="6"/>
  <c r="AZ7053" i="6"/>
  <c r="AY7053" i="6"/>
  <c r="AZ7052" i="6"/>
  <c r="AY7052" i="6"/>
  <c r="AZ7051" i="6"/>
  <c r="AY7051" i="6"/>
  <c r="AZ7050" i="6"/>
  <c r="AY7050" i="6"/>
  <c r="AZ7049" i="6"/>
  <c r="AY7049" i="6"/>
  <c r="AZ7048" i="6"/>
  <c r="AY7048" i="6"/>
  <c r="AZ7047" i="6"/>
  <c r="AY7047" i="6"/>
  <c r="AZ7046" i="6"/>
  <c r="AY7046" i="6"/>
  <c r="AZ7045" i="6"/>
  <c r="AY7045" i="6"/>
  <c r="AZ7044" i="6"/>
  <c r="AY7044" i="6"/>
  <c r="AZ7043" i="6"/>
  <c r="AY7043" i="6"/>
  <c r="AZ7042" i="6"/>
  <c r="AY7042" i="6"/>
  <c r="AZ7041" i="6"/>
  <c r="AY7041" i="6"/>
  <c r="AZ7040" i="6"/>
  <c r="AY7040" i="6"/>
  <c r="AZ7039" i="6"/>
  <c r="AY7039" i="6"/>
  <c r="AZ7038" i="6"/>
  <c r="AY7038" i="6"/>
  <c r="AZ7037" i="6"/>
  <c r="AY7037" i="6"/>
  <c r="AZ7036" i="6"/>
  <c r="AY7036" i="6"/>
  <c r="AZ7035" i="6"/>
  <c r="AY7035" i="6"/>
  <c r="AZ7034" i="6"/>
  <c r="AY7034" i="6"/>
  <c r="AZ7033" i="6"/>
  <c r="AY7033" i="6"/>
  <c r="AZ7032" i="6"/>
  <c r="AY7032" i="6"/>
  <c r="AZ7031" i="6"/>
  <c r="AY7031" i="6"/>
  <c r="AZ7030" i="6"/>
  <c r="AY7030" i="6"/>
  <c r="AZ7029" i="6"/>
  <c r="AY7029" i="6"/>
  <c r="AZ7028" i="6"/>
  <c r="AY7028" i="6"/>
  <c r="AZ7027" i="6"/>
  <c r="AY7027" i="6"/>
  <c r="AZ7026" i="6"/>
  <c r="AY7026" i="6"/>
  <c r="AZ7025" i="6"/>
  <c r="AY7025" i="6"/>
  <c r="AZ7024" i="6"/>
  <c r="AY7024" i="6"/>
  <c r="AZ7023" i="6"/>
  <c r="AY7023" i="6"/>
  <c r="AZ7022" i="6"/>
  <c r="AY7022" i="6"/>
  <c r="AZ7021" i="6"/>
  <c r="AY7021" i="6"/>
  <c r="AZ7020" i="6"/>
  <c r="AY7020" i="6"/>
  <c r="AZ7019" i="6"/>
  <c r="AY7019" i="6"/>
  <c r="AZ7018" i="6"/>
  <c r="AY7018" i="6"/>
  <c r="AZ7017" i="6"/>
  <c r="AY7017" i="6"/>
  <c r="AZ7016" i="6"/>
  <c r="AY7016" i="6"/>
  <c r="AZ7015" i="6"/>
  <c r="AY7015" i="6"/>
  <c r="AZ7014" i="6"/>
  <c r="AY7014" i="6"/>
  <c r="AZ7013" i="6"/>
  <c r="AY7013" i="6"/>
  <c r="AZ7012" i="6"/>
  <c r="AY7012" i="6"/>
  <c r="AZ7011" i="6"/>
  <c r="AY7011" i="6"/>
  <c r="AZ7010" i="6"/>
  <c r="AY7010" i="6"/>
  <c r="AZ7009" i="6"/>
  <c r="AY7009" i="6"/>
  <c r="AZ7008" i="6"/>
  <c r="AY7008" i="6"/>
  <c r="AZ7007" i="6"/>
  <c r="AY7007" i="6"/>
  <c r="AZ7006" i="6"/>
  <c r="AY7006" i="6"/>
  <c r="AZ7005" i="6"/>
  <c r="AY7005" i="6"/>
  <c r="AZ7004" i="6"/>
  <c r="AY7004" i="6"/>
  <c r="AZ7003" i="6"/>
  <c r="AY7003" i="6"/>
  <c r="AZ7002" i="6"/>
  <c r="AY7002" i="6"/>
  <c r="AZ7001" i="6"/>
  <c r="AY7001" i="6"/>
  <c r="AZ7000" i="6"/>
  <c r="AY7000" i="6"/>
  <c r="AZ6999" i="6"/>
  <c r="AY6999" i="6"/>
  <c r="AZ6998" i="6"/>
  <c r="AY6998" i="6"/>
  <c r="AZ6997" i="6"/>
  <c r="AY6997" i="6"/>
  <c r="AZ6996" i="6"/>
  <c r="AY6996" i="6"/>
  <c r="AZ6995" i="6"/>
  <c r="AY6995" i="6"/>
  <c r="AZ6994" i="6"/>
  <c r="AY6994" i="6"/>
  <c r="AZ6993" i="6"/>
  <c r="AY6993" i="6"/>
  <c r="AZ6992" i="6"/>
  <c r="AY6992" i="6"/>
  <c r="AZ6991" i="6"/>
  <c r="AY6991" i="6"/>
  <c r="AZ6990" i="6"/>
  <c r="AY6990" i="6"/>
  <c r="AZ6989" i="6"/>
  <c r="AY6989" i="6"/>
  <c r="AZ6988" i="6"/>
  <c r="AY6988" i="6"/>
  <c r="AZ6987" i="6"/>
  <c r="AY6987" i="6"/>
  <c r="AZ6986" i="6"/>
  <c r="AY6986" i="6"/>
  <c r="AZ6985" i="6"/>
  <c r="AY6985" i="6"/>
  <c r="AZ6984" i="6"/>
  <c r="AY6984" i="6"/>
  <c r="AZ6983" i="6"/>
  <c r="AY6983" i="6"/>
  <c r="AZ6982" i="6"/>
  <c r="AY6982" i="6"/>
  <c r="AZ6981" i="6"/>
  <c r="AY6981" i="6"/>
  <c r="AZ6980" i="6"/>
  <c r="AY6980" i="6"/>
  <c r="AZ6979" i="6"/>
  <c r="AY6979" i="6"/>
  <c r="AZ6978" i="6"/>
  <c r="AY6978" i="6"/>
  <c r="AZ6977" i="6"/>
  <c r="AY6977" i="6"/>
  <c r="AZ6976" i="6"/>
  <c r="AY6976" i="6"/>
  <c r="AZ6975" i="6"/>
  <c r="AY6975" i="6"/>
  <c r="AZ6974" i="6"/>
  <c r="AY6974" i="6"/>
  <c r="AZ6973" i="6"/>
  <c r="AY6973" i="6"/>
  <c r="AZ6972" i="6"/>
  <c r="AY6972" i="6"/>
  <c r="AZ6971" i="6"/>
  <c r="AY6971" i="6"/>
  <c r="AZ6970" i="6"/>
  <c r="AY6970" i="6"/>
  <c r="AZ6969" i="6"/>
  <c r="AY6969" i="6"/>
  <c r="AZ6968" i="6"/>
  <c r="AY6968" i="6"/>
  <c r="AZ6967" i="6"/>
  <c r="AY6967" i="6"/>
  <c r="AZ6966" i="6"/>
  <c r="AY6966" i="6"/>
  <c r="AZ6965" i="6"/>
  <c r="AY6965" i="6"/>
  <c r="AZ6964" i="6"/>
  <c r="AY6964" i="6"/>
  <c r="AZ6963" i="6"/>
  <c r="AY6963" i="6"/>
  <c r="AZ6962" i="6"/>
  <c r="AY6962" i="6"/>
  <c r="AZ6961" i="6"/>
  <c r="AY6961" i="6"/>
  <c r="AZ6960" i="6"/>
  <c r="AY6960" i="6"/>
  <c r="AZ6959" i="6"/>
  <c r="AY6959" i="6"/>
  <c r="AZ6958" i="6"/>
  <c r="AY6958" i="6"/>
  <c r="AZ6957" i="6"/>
  <c r="AY6957" i="6"/>
  <c r="AZ6956" i="6"/>
  <c r="AY6956" i="6"/>
  <c r="AZ6955" i="6"/>
  <c r="AY6955" i="6"/>
  <c r="AZ6954" i="6"/>
  <c r="AY6954" i="6"/>
  <c r="AZ6953" i="6"/>
  <c r="AY6953" i="6"/>
  <c r="AZ6952" i="6"/>
  <c r="AY6952" i="6"/>
  <c r="AZ6951" i="6"/>
  <c r="AY6951" i="6"/>
  <c r="AZ6950" i="6"/>
  <c r="AY6950" i="6"/>
  <c r="AZ6949" i="6"/>
  <c r="AY6949" i="6"/>
  <c r="AZ6948" i="6"/>
  <c r="AY6948" i="6"/>
  <c r="AZ6947" i="6"/>
  <c r="AY6947" i="6"/>
  <c r="AZ6946" i="6"/>
  <c r="AY6946" i="6"/>
  <c r="AZ6945" i="6"/>
  <c r="AY6945" i="6"/>
  <c r="AZ6944" i="6"/>
  <c r="AY6944" i="6"/>
  <c r="AZ6943" i="6"/>
  <c r="AY6943" i="6"/>
  <c r="AZ6942" i="6"/>
  <c r="AY6942" i="6"/>
  <c r="AZ6941" i="6"/>
  <c r="AY6941" i="6"/>
  <c r="AZ6940" i="6"/>
  <c r="AY6940" i="6"/>
  <c r="AZ6939" i="6"/>
  <c r="AY6939" i="6"/>
  <c r="AZ6938" i="6"/>
  <c r="AY6938" i="6"/>
  <c r="AZ6937" i="6"/>
  <c r="AY6937" i="6"/>
  <c r="AZ6936" i="6"/>
  <c r="AY6936" i="6"/>
  <c r="AZ6935" i="6"/>
  <c r="AY6935" i="6"/>
  <c r="AZ6934" i="6"/>
  <c r="AY6934" i="6"/>
  <c r="AZ6933" i="6"/>
  <c r="AY6933" i="6"/>
  <c r="AZ6932" i="6"/>
  <c r="AY6932" i="6"/>
  <c r="AZ6931" i="6"/>
  <c r="AY6931" i="6"/>
  <c r="AZ6930" i="6"/>
  <c r="AY6930" i="6"/>
  <c r="AZ6929" i="6"/>
  <c r="AY6929" i="6"/>
  <c r="AZ6928" i="6"/>
  <c r="AY6928" i="6"/>
  <c r="AZ6927" i="6"/>
  <c r="AY6927" i="6"/>
  <c r="AZ6926" i="6"/>
  <c r="AY6926" i="6"/>
  <c r="AZ6925" i="6"/>
  <c r="AY6925" i="6"/>
  <c r="AZ6924" i="6"/>
  <c r="AY6924" i="6"/>
  <c r="AZ6923" i="6"/>
  <c r="AY6923" i="6"/>
  <c r="AZ6922" i="6"/>
  <c r="AY6922" i="6"/>
  <c r="AZ6921" i="6"/>
  <c r="AY6921" i="6"/>
  <c r="AZ6920" i="6"/>
  <c r="AY6920" i="6"/>
  <c r="AZ6919" i="6"/>
  <c r="AY6919" i="6"/>
  <c r="AZ6918" i="6"/>
  <c r="AY6918" i="6"/>
  <c r="AZ6917" i="6"/>
  <c r="AY6917" i="6"/>
  <c r="AZ6916" i="6"/>
  <c r="AY6916" i="6"/>
  <c r="AZ6915" i="6"/>
  <c r="AY6915" i="6"/>
  <c r="AZ6914" i="6"/>
  <c r="AY6914" i="6"/>
  <c r="AZ6913" i="6"/>
  <c r="AY6913" i="6"/>
  <c r="AZ6912" i="6"/>
  <c r="AY6912" i="6"/>
  <c r="AZ6911" i="6"/>
  <c r="AY6911" i="6"/>
  <c r="AZ6910" i="6"/>
  <c r="AY6910" i="6"/>
  <c r="AZ6909" i="6"/>
  <c r="AY6909" i="6"/>
  <c r="AZ6908" i="6"/>
  <c r="AY6908" i="6"/>
  <c r="AZ6907" i="6"/>
  <c r="AY6907" i="6"/>
  <c r="AZ6906" i="6"/>
  <c r="AY6906" i="6"/>
  <c r="AZ6905" i="6"/>
  <c r="AY6905" i="6"/>
  <c r="AZ6904" i="6"/>
  <c r="AY6904" i="6"/>
  <c r="AZ6903" i="6"/>
  <c r="AY6903" i="6"/>
  <c r="AZ6902" i="6"/>
  <c r="AY6902" i="6"/>
  <c r="AZ6901" i="6"/>
  <c r="AY6901" i="6"/>
  <c r="AZ6900" i="6"/>
  <c r="AY6900" i="6"/>
  <c r="AZ6899" i="6"/>
  <c r="AY6899" i="6"/>
  <c r="AZ6898" i="6"/>
  <c r="AY6898" i="6"/>
  <c r="AZ6897" i="6"/>
  <c r="AY6897" i="6"/>
  <c r="AZ6896" i="6"/>
  <c r="AY6896" i="6"/>
  <c r="AZ6895" i="6"/>
  <c r="AY6895" i="6"/>
  <c r="AZ6894" i="6"/>
  <c r="AY6894" i="6"/>
  <c r="AZ6893" i="6"/>
  <c r="AY6893" i="6"/>
  <c r="AZ6892" i="6"/>
  <c r="AY6892" i="6"/>
  <c r="AZ6891" i="6"/>
  <c r="AY6891" i="6"/>
  <c r="AZ6890" i="6"/>
  <c r="AY6890" i="6"/>
  <c r="AZ6889" i="6"/>
  <c r="AY6889" i="6"/>
  <c r="AZ6888" i="6"/>
  <c r="AY6888" i="6"/>
  <c r="AZ6887" i="6"/>
  <c r="AY6887" i="6"/>
  <c r="AZ6886" i="6"/>
  <c r="AY6886" i="6"/>
  <c r="AZ6885" i="6"/>
  <c r="AY6885" i="6"/>
  <c r="AZ6884" i="6"/>
  <c r="AY6884" i="6"/>
  <c r="AZ6883" i="6"/>
  <c r="AY6883" i="6"/>
  <c r="AZ6882" i="6"/>
  <c r="AY6882" i="6"/>
  <c r="AZ6881" i="6"/>
  <c r="AY6881" i="6"/>
  <c r="AZ6880" i="6"/>
  <c r="AY6880" i="6"/>
  <c r="AZ6879" i="6"/>
  <c r="AY6879" i="6"/>
  <c r="AZ6878" i="6"/>
  <c r="AY6878" i="6"/>
  <c r="AZ6877" i="6"/>
  <c r="AY6877" i="6"/>
  <c r="AZ6876" i="6"/>
  <c r="AY6876" i="6"/>
  <c r="AZ6875" i="6"/>
  <c r="AY6875" i="6"/>
  <c r="AZ6874" i="6"/>
  <c r="AY6874" i="6"/>
  <c r="AZ6873" i="6"/>
  <c r="AY6873" i="6"/>
  <c r="AZ6872" i="6"/>
  <c r="AY6872" i="6"/>
  <c r="AZ6871" i="6"/>
  <c r="AY6871" i="6"/>
  <c r="AZ6870" i="6"/>
  <c r="AY6870" i="6"/>
  <c r="AZ6869" i="6"/>
  <c r="AY6869" i="6"/>
  <c r="AZ6868" i="6"/>
  <c r="AY6868" i="6"/>
  <c r="AZ6867" i="6"/>
  <c r="AY6867" i="6"/>
  <c r="AZ6866" i="6"/>
  <c r="AY6866" i="6"/>
  <c r="AZ6865" i="6"/>
  <c r="AY6865" i="6"/>
  <c r="AZ6864" i="6"/>
  <c r="AY6864" i="6"/>
  <c r="AZ6863" i="6"/>
  <c r="AY6863" i="6"/>
  <c r="AZ6862" i="6"/>
  <c r="AY6862" i="6"/>
  <c r="AZ6861" i="6"/>
  <c r="AY6861" i="6"/>
  <c r="AZ6860" i="6"/>
  <c r="AY6860" i="6"/>
  <c r="AZ6859" i="6"/>
  <c r="AY6859" i="6"/>
  <c r="AZ6858" i="6"/>
  <c r="AY6858" i="6"/>
  <c r="AZ6857" i="6"/>
  <c r="AY6857" i="6"/>
  <c r="AZ6856" i="6"/>
  <c r="AY6856" i="6"/>
  <c r="AZ6855" i="6"/>
  <c r="AY6855" i="6"/>
  <c r="AZ6854" i="6"/>
  <c r="AY6854" i="6"/>
  <c r="AZ6853" i="6"/>
  <c r="AY6853" i="6"/>
  <c r="AZ6852" i="6"/>
  <c r="AY6852" i="6"/>
  <c r="AZ6851" i="6"/>
  <c r="AY6851" i="6"/>
  <c r="AZ6850" i="6"/>
  <c r="AY6850" i="6"/>
  <c r="AZ6849" i="6"/>
  <c r="AY6849" i="6"/>
  <c r="AZ6848" i="6"/>
  <c r="AY6848" i="6"/>
  <c r="AZ6847" i="6"/>
  <c r="AY6847" i="6"/>
  <c r="AZ6846" i="6"/>
  <c r="AY6846" i="6"/>
  <c r="AZ6845" i="6"/>
  <c r="AY6845" i="6"/>
  <c r="AZ6844" i="6"/>
  <c r="AY6844" i="6"/>
  <c r="AZ6843" i="6"/>
  <c r="AY6843" i="6"/>
  <c r="AZ6842" i="6"/>
  <c r="AY6842" i="6"/>
  <c r="AZ6841" i="6"/>
  <c r="AY6841" i="6"/>
  <c r="AZ6840" i="6"/>
  <c r="AY6840" i="6"/>
  <c r="AZ6839" i="6"/>
  <c r="AY6839" i="6"/>
  <c r="AZ6838" i="6"/>
  <c r="AY6838" i="6"/>
  <c r="AZ6837" i="6"/>
  <c r="AY6837" i="6"/>
  <c r="AZ6836" i="6"/>
  <c r="AY6836" i="6"/>
  <c r="AZ6835" i="6"/>
  <c r="AY6835" i="6"/>
  <c r="AZ6834" i="6"/>
  <c r="AY6834" i="6"/>
  <c r="AZ6833" i="6"/>
  <c r="AY6833" i="6"/>
  <c r="AZ6832" i="6"/>
  <c r="AY6832" i="6"/>
  <c r="AZ6831" i="6"/>
  <c r="AY6831" i="6"/>
  <c r="AZ6830" i="6"/>
  <c r="AY6830" i="6"/>
  <c r="AZ6829" i="6"/>
  <c r="AY6829" i="6"/>
  <c r="AZ6828" i="6"/>
  <c r="AY6828" i="6"/>
  <c r="AZ6827" i="6"/>
  <c r="AY6827" i="6"/>
  <c r="AZ6826" i="6"/>
  <c r="AY6826" i="6"/>
  <c r="AZ6825" i="6"/>
  <c r="AY6825" i="6"/>
  <c r="AZ6824" i="6"/>
  <c r="AY6824" i="6"/>
  <c r="AZ6823" i="6"/>
  <c r="AY6823" i="6"/>
  <c r="AZ6822" i="6"/>
  <c r="AY6822" i="6"/>
  <c r="AZ6821" i="6"/>
  <c r="AY6821" i="6"/>
  <c r="AZ6820" i="6"/>
  <c r="AY6820" i="6"/>
  <c r="AZ6819" i="6"/>
  <c r="AY6819" i="6"/>
  <c r="AZ6818" i="6"/>
  <c r="AY6818" i="6"/>
  <c r="AZ6817" i="6"/>
  <c r="AY6817" i="6"/>
  <c r="AZ6816" i="6"/>
  <c r="AY6816" i="6"/>
  <c r="AZ6815" i="6"/>
  <c r="AY6815" i="6"/>
  <c r="AZ6814" i="6"/>
  <c r="AY6814" i="6"/>
  <c r="AZ6813" i="6"/>
  <c r="AY6813" i="6"/>
  <c r="AZ6812" i="6"/>
  <c r="AY6812" i="6"/>
  <c r="AZ6811" i="6"/>
  <c r="AY6811" i="6"/>
  <c r="AZ6810" i="6"/>
  <c r="AY6810" i="6"/>
  <c r="AZ6809" i="6"/>
  <c r="AY6809" i="6"/>
  <c r="AZ6808" i="6"/>
  <c r="AY6808" i="6"/>
  <c r="AZ6807" i="6"/>
  <c r="AY6807" i="6"/>
  <c r="AZ6806" i="6"/>
  <c r="AY6806" i="6"/>
  <c r="AZ6805" i="6"/>
  <c r="AY6805" i="6"/>
  <c r="AZ6804" i="6"/>
  <c r="AY6804" i="6"/>
  <c r="AZ6803" i="6"/>
  <c r="AY6803" i="6"/>
  <c r="AZ6802" i="6"/>
  <c r="AY6802" i="6"/>
  <c r="AZ6801" i="6"/>
  <c r="AY6801" i="6"/>
  <c r="AZ6800" i="6"/>
  <c r="AY6800" i="6"/>
  <c r="AZ6799" i="6"/>
  <c r="AY6799" i="6"/>
  <c r="AZ6798" i="6"/>
  <c r="AY6798" i="6"/>
  <c r="AZ6797" i="6"/>
  <c r="AY6797" i="6"/>
  <c r="AZ6796" i="6"/>
  <c r="AY6796" i="6"/>
  <c r="AZ6795" i="6"/>
  <c r="AY6795" i="6"/>
  <c r="AZ6794" i="6"/>
  <c r="AY6794" i="6"/>
  <c r="AZ6793" i="6"/>
  <c r="AY6793" i="6"/>
  <c r="AZ6792" i="6"/>
  <c r="AY6792" i="6"/>
  <c r="AZ6791" i="6"/>
  <c r="AY6791" i="6"/>
  <c r="AZ6790" i="6"/>
  <c r="AY6790" i="6"/>
  <c r="AZ6789" i="6"/>
  <c r="AY6789" i="6"/>
  <c r="AZ6788" i="6"/>
  <c r="AY6788" i="6"/>
  <c r="AZ6787" i="6"/>
  <c r="AY6787" i="6"/>
  <c r="AZ6786" i="6"/>
  <c r="AY6786" i="6"/>
  <c r="AZ6785" i="6"/>
  <c r="AY6785" i="6"/>
  <c r="AZ6784" i="6"/>
  <c r="AY6784" i="6"/>
  <c r="AZ6783" i="6"/>
  <c r="AY6783" i="6"/>
  <c r="AZ6782" i="6"/>
  <c r="AY6782" i="6"/>
  <c r="AZ6781" i="6"/>
  <c r="AY6781" i="6"/>
  <c r="AZ6780" i="6"/>
  <c r="AY6780" i="6"/>
  <c r="AZ6779" i="6"/>
  <c r="AY6779" i="6"/>
  <c r="AZ6778" i="6"/>
  <c r="AY6778" i="6"/>
  <c r="AZ6777" i="6"/>
  <c r="AY6777" i="6"/>
  <c r="AZ6776" i="6"/>
  <c r="AY6776" i="6"/>
  <c r="AZ6775" i="6"/>
  <c r="AY6775" i="6"/>
  <c r="AZ6774" i="6"/>
  <c r="AY6774" i="6"/>
  <c r="AZ6773" i="6"/>
  <c r="AY6773" i="6"/>
  <c r="AZ6772" i="6"/>
  <c r="AY6772" i="6"/>
  <c r="AZ6771" i="6"/>
  <c r="AY6771" i="6"/>
  <c r="AZ6770" i="6"/>
  <c r="AY6770" i="6"/>
  <c r="AZ6769" i="6"/>
  <c r="AY6769" i="6"/>
  <c r="AZ6768" i="6"/>
  <c r="AY6768" i="6"/>
  <c r="AZ6767" i="6"/>
  <c r="AY6767" i="6"/>
  <c r="AZ6766" i="6"/>
  <c r="AY6766" i="6"/>
  <c r="AZ6765" i="6"/>
  <c r="AY6765" i="6"/>
  <c r="AZ6764" i="6"/>
  <c r="AY6764" i="6"/>
  <c r="AZ6763" i="6"/>
  <c r="AY6763" i="6"/>
  <c r="AZ6762" i="6"/>
  <c r="AY6762" i="6"/>
  <c r="AZ6761" i="6"/>
  <c r="AY6761" i="6"/>
  <c r="AZ6760" i="6"/>
  <c r="AY6760" i="6"/>
  <c r="AZ6759" i="6"/>
  <c r="AY6759" i="6"/>
  <c r="AZ6758" i="6"/>
  <c r="AY6758" i="6"/>
  <c r="AZ6757" i="6"/>
  <c r="AY6757" i="6"/>
  <c r="AZ6756" i="6"/>
  <c r="AY6756" i="6"/>
  <c r="AZ6755" i="6"/>
  <c r="AY6755" i="6"/>
  <c r="AZ6754" i="6"/>
  <c r="AY6754" i="6"/>
  <c r="AZ6753" i="6"/>
  <c r="AY6753" i="6"/>
  <c r="AZ6752" i="6"/>
  <c r="AY6752" i="6"/>
  <c r="AZ6751" i="6"/>
  <c r="AY6751" i="6"/>
  <c r="AZ6750" i="6"/>
  <c r="AY6750" i="6"/>
  <c r="AZ6749" i="6"/>
  <c r="AY6749" i="6"/>
  <c r="AZ6748" i="6"/>
  <c r="AY6748" i="6"/>
  <c r="AZ6747" i="6"/>
  <c r="AY6747" i="6"/>
  <c r="AZ6746" i="6"/>
  <c r="AY6746" i="6"/>
  <c r="AZ6745" i="6"/>
  <c r="AY6745" i="6"/>
  <c r="AZ6744" i="6"/>
  <c r="AY6744" i="6"/>
  <c r="AZ6743" i="6"/>
  <c r="AY6743" i="6"/>
  <c r="AZ6742" i="6"/>
  <c r="AY6742" i="6"/>
  <c r="AZ6741" i="6"/>
  <c r="AY6741" i="6"/>
  <c r="AZ6740" i="6"/>
  <c r="AY6740" i="6"/>
  <c r="AZ6739" i="6"/>
  <c r="AY6739" i="6"/>
  <c r="AZ6738" i="6"/>
  <c r="AY6738" i="6"/>
  <c r="AZ6737" i="6"/>
  <c r="AY6737" i="6"/>
  <c r="AZ6736" i="6"/>
  <c r="AY6736" i="6"/>
  <c r="AZ6735" i="6"/>
  <c r="AY6735" i="6"/>
  <c r="AZ6734" i="6"/>
  <c r="AY6734" i="6"/>
  <c r="AZ6733" i="6"/>
  <c r="AY6733" i="6"/>
  <c r="AZ6732" i="6"/>
  <c r="AY6732" i="6"/>
  <c r="AZ6731" i="6"/>
  <c r="AY6731" i="6"/>
  <c r="AZ6730" i="6"/>
  <c r="AY6730" i="6"/>
  <c r="AZ6729" i="6"/>
  <c r="AY6729" i="6"/>
  <c r="AZ6728" i="6"/>
  <c r="AY6728" i="6"/>
  <c r="AZ6727" i="6"/>
  <c r="AY6727" i="6"/>
  <c r="AZ6726" i="6"/>
  <c r="AY6726" i="6"/>
  <c r="AZ6725" i="6"/>
  <c r="AY6725" i="6"/>
  <c r="AZ6724" i="6"/>
  <c r="AY6724" i="6"/>
  <c r="AZ6723" i="6"/>
  <c r="AY6723" i="6"/>
  <c r="AZ6722" i="6"/>
  <c r="AY6722" i="6"/>
  <c r="AZ6721" i="6"/>
  <c r="AY6721" i="6"/>
  <c r="AZ6720" i="6"/>
  <c r="AY6720" i="6"/>
  <c r="AZ6719" i="6"/>
  <c r="AY6719" i="6"/>
  <c r="AZ6718" i="6"/>
  <c r="AY6718" i="6"/>
  <c r="AZ6717" i="6"/>
  <c r="AY6717" i="6"/>
  <c r="AZ6716" i="6"/>
  <c r="AY6716" i="6"/>
  <c r="AZ6715" i="6"/>
  <c r="AY6715" i="6"/>
  <c r="AZ6714" i="6"/>
  <c r="AY6714" i="6"/>
  <c r="AZ6713" i="6"/>
  <c r="AY6713" i="6"/>
  <c r="AZ6712" i="6"/>
  <c r="AY6712" i="6"/>
  <c r="AZ6711" i="6"/>
  <c r="AY6711" i="6"/>
  <c r="AZ6710" i="6"/>
  <c r="AY6710" i="6"/>
  <c r="AZ6709" i="6"/>
  <c r="AY6709" i="6"/>
  <c r="AZ6708" i="6"/>
  <c r="AY6708" i="6"/>
  <c r="AZ6707" i="6"/>
  <c r="AY6707" i="6"/>
  <c r="AZ6706" i="6"/>
  <c r="AY6706" i="6"/>
  <c r="AZ6705" i="6"/>
  <c r="AY6705" i="6"/>
  <c r="AZ6704" i="6"/>
  <c r="AY6704" i="6"/>
  <c r="AZ6703" i="6"/>
  <c r="AY6703" i="6"/>
  <c r="AZ6702" i="6"/>
  <c r="AY6702" i="6"/>
  <c r="AZ6701" i="6"/>
  <c r="AY6701" i="6"/>
  <c r="AZ6700" i="6"/>
  <c r="AY6700" i="6"/>
  <c r="AZ6699" i="6"/>
  <c r="AY6699" i="6"/>
  <c r="AZ6698" i="6"/>
  <c r="AY6698" i="6"/>
  <c r="AZ6697" i="6"/>
  <c r="AY6697" i="6"/>
  <c r="AZ6696" i="6"/>
  <c r="AY6696" i="6"/>
  <c r="AZ6695" i="6"/>
  <c r="AY6695" i="6"/>
  <c r="AZ6694" i="6"/>
  <c r="AY6694" i="6"/>
  <c r="AZ6693" i="6"/>
  <c r="AY6693" i="6"/>
  <c r="AZ6692" i="6"/>
  <c r="AY6692" i="6"/>
  <c r="AZ6691" i="6"/>
  <c r="AY6691" i="6"/>
  <c r="AZ6690" i="6"/>
  <c r="AY6690" i="6"/>
  <c r="AZ6689" i="6"/>
  <c r="AY6689" i="6"/>
  <c r="AZ6688" i="6"/>
  <c r="AY6688" i="6"/>
  <c r="AZ6687" i="6"/>
  <c r="AY6687" i="6"/>
  <c r="AZ6686" i="6"/>
  <c r="AY6686" i="6"/>
  <c r="AZ6685" i="6"/>
  <c r="AY6685" i="6"/>
  <c r="AZ6684" i="6"/>
  <c r="AY6684" i="6"/>
  <c r="AZ6683" i="6"/>
  <c r="AY6683" i="6"/>
  <c r="AZ6682" i="6"/>
  <c r="AY6682" i="6"/>
  <c r="AZ6681" i="6"/>
  <c r="AY6681" i="6"/>
  <c r="AZ6680" i="6"/>
  <c r="AY6680" i="6"/>
  <c r="AZ6679" i="6"/>
  <c r="AY6679" i="6"/>
  <c r="AZ6678" i="6"/>
  <c r="AY6678" i="6"/>
  <c r="AZ6677" i="6"/>
  <c r="AY6677" i="6"/>
  <c r="AZ6676" i="6"/>
  <c r="AY6676" i="6"/>
  <c r="AZ6675" i="6"/>
  <c r="AY6675" i="6"/>
  <c r="AZ6674" i="6"/>
  <c r="AY6674" i="6"/>
  <c r="AZ6673" i="6"/>
  <c r="AY6673" i="6"/>
  <c r="AZ6672" i="6"/>
  <c r="AY6672" i="6"/>
  <c r="AZ6671" i="6"/>
  <c r="AY6671" i="6"/>
  <c r="AZ6670" i="6"/>
  <c r="AY6670" i="6"/>
  <c r="AZ6669" i="6"/>
  <c r="AY6669" i="6"/>
  <c r="AZ6668" i="6"/>
  <c r="AY6668" i="6"/>
  <c r="AZ6667" i="6"/>
  <c r="AY6667" i="6"/>
  <c r="AZ6666" i="6"/>
  <c r="AY6666" i="6"/>
  <c r="AZ6665" i="6"/>
  <c r="AY6665" i="6"/>
  <c r="AZ6664" i="6"/>
  <c r="AY6664" i="6"/>
  <c r="AZ6663" i="6"/>
  <c r="AY6663" i="6"/>
  <c r="AZ6662" i="6"/>
  <c r="AY6662" i="6"/>
  <c r="AZ6661" i="6"/>
  <c r="AY6661" i="6"/>
  <c r="AZ6660" i="6"/>
  <c r="AY6660" i="6"/>
  <c r="AZ6659" i="6"/>
  <c r="AY6659" i="6"/>
  <c r="AZ6658" i="6"/>
  <c r="AY6658" i="6"/>
  <c r="AZ6657" i="6"/>
  <c r="AY6657" i="6"/>
  <c r="AZ6656" i="6"/>
  <c r="AY6656" i="6"/>
  <c r="AZ6655" i="6"/>
  <c r="AY6655" i="6"/>
  <c r="AZ6654" i="6"/>
  <c r="AY6654" i="6"/>
  <c r="AZ6653" i="6"/>
  <c r="AY6653" i="6"/>
  <c r="AZ6652" i="6"/>
  <c r="AY6652" i="6"/>
  <c r="AZ6651" i="6"/>
  <c r="AY6651" i="6"/>
  <c r="AZ6650" i="6"/>
  <c r="AY6650" i="6"/>
  <c r="AZ6649" i="6"/>
  <c r="AY6649" i="6"/>
  <c r="AZ6648" i="6"/>
  <c r="AY6648" i="6"/>
  <c r="AZ6647" i="6"/>
  <c r="AY6647" i="6"/>
  <c r="AZ6646" i="6"/>
  <c r="AY6646" i="6"/>
  <c r="AZ6645" i="6"/>
  <c r="AY6645" i="6"/>
  <c r="AZ6644" i="6"/>
  <c r="AY6644" i="6"/>
  <c r="AZ6643" i="6"/>
  <c r="AY6643" i="6"/>
  <c r="AZ6642" i="6"/>
  <c r="AY6642" i="6"/>
  <c r="AZ6641" i="6"/>
  <c r="AY6641" i="6"/>
  <c r="AZ6640" i="6"/>
  <c r="AY6640" i="6"/>
  <c r="AZ6639" i="6"/>
  <c r="AY6639" i="6"/>
  <c r="AZ6638" i="6"/>
  <c r="AY6638" i="6"/>
  <c r="AZ6637" i="6"/>
  <c r="AY6637" i="6"/>
  <c r="AZ6636" i="6"/>
  <c r="AY6636" i="6"/>
  <c r="AZ6635" i="6"/>
  <c r="AY6635" i="6"/>
  <c r="AZ6634" i="6"/>
  <c r="AY6634" i="6"/>
  <c r="AZ6633" i="6"/>
  <c r="AY6633" i="6"/>
  <c r="AZ6632" i="6"/>
  <c r="AY6632" i="6"/>
  <c r="AZ6631" i="6"/>
  <c r="AY6631" i="6"/>
  <c r="AZ6630" i="6"/>
  <c r="AY6630" i="6"/>
  <c r="AZ6629" i="6"/>
  <c r="AY6629" i="6"/>
  <c r="AZ6628" i="6"/>
  <c r="AY6628" i="6"/>
  <c r="AZ6627" i="6"/>
  <c r="AY6627" i="6"/>
  <c r="AZ6626" i="6"/>
  <c r="AY6626" i="6"/>
  <c r="AZ6625" i="6"/>
  <c r="AY6625" i="6"/>
  <c r="AZ6624" i="6"/>
  <c r="AY6624" i="6"/>
  <c r="AZ6623" i="6"/>
  <c r="AY6623" i="6"/>
  <c r="AZ6622" i="6"/>
  <c r="AY6622" i="6"/>
  <c r="AZ6621" i="6"/>
  <c r="AY6621" i="6"/>
  <c r="AZ6620" i="6"/>
  <c r="AY6620" i="6"/>
  <c r="AZ6619" i="6"/>
  <c r="AY6619" i="6"/>
  <c r="AZ6618" i="6"/>
  <c r="AY6618" i="6"/>
  <c r="AZ6617" i="6"/>
  <c r="AY6617" i="6"/>
  <c r="AZ6616" i="6"/>
  <c r="AY6616" i="6"/>
  <c r="AZ6615" i="6"/>
  <c r="AY6615" i="6"/>
  <c r="AZ6614" i="6"/>
  <c r="AY6614" i="6"/>
  <c r="AZ6613" i="6"/>
  <c r="AY6613" i="6"/>
  <c r="AZ6612" i="6"/>
  <c r="AY6612" i="6"/>
  <c r="AZ6611" i="6"/>
  <c r="AY6611" i="6"/>
  <c r="AZ6610" i="6"/>
  <c r="AY6610" i="6"/>
  <c r="AZ6609" i="6"/>
  <c r="AY6609" i="6"/>
  <c r="AZ6608" i="6"/>
  <c r="AY6608" i="6"/>
  <c r="AZ6607" i="6"/>
  <c r="AY6607" i="6"/>
  <c r="AZ6606" i="6"/>
  <c r="AY6606" i="6"/>
  <c r="AZ6605" i="6"/>
  <c r="AY6605" i="6"/>
  <c r="AZ6604" i="6"/>
  <c r="AY6604" i="6"/>
  <c r="AZ6603" i="6"/>
  <c r="AY6603" i="6"/>
  <c r="AZ6602" i="6"/>
  <c r="AY6602" i="6"/>
  <c r="AZ6601" i="6"/>
  <c r="AY6601" i="6"/>
  <c r="AZ6600" i="6"/>
  <c r="AY6600" i="6"/>
  <c r="AZ6599" i="6"/>
  <c r="AY6599" i="6"/>
  <c r="AZ6598" i="6"/>
  <c r="AY6598" i="6"/>
  <c r="AZ6597" i="6"/>
  <c r="AY6597" i="6"/>
  <c r="AZ6596" i="6"/>
  <c r="AY6596" i="6"/>
  <c r="AZ6595" i="6"/>
  <c r="AY6595" i="6"/>
  <c r="AZ6594" i="6"/>
  <c r="AY6594" i="6"/>
  <c r="AZ6593" i="6"/>
  <c r="AY6593" i="6"/>
  <c r="AZ6592" i="6"/>
  <c r="AY6592" i="6"/>
  <c r="AZ6591" i="6"/>
  <c r="AY6591" i="6"/>
  <c r="AZ6590" i="6"/>
  <c r="AY6590" i="6"/>
  <c r="AZ6589" i="6"/>
  <c r="AY6589" i="6"/>
  <c r="AZ6588" i="6"/>
  <c r="AY6588" i="6"/>
  <c r="AZ6587" i="6"/>
  <c r="AY6587" i="6"/>
  <c r="AZ6586" i="6"/>
  <c r="AY6586" i="6"/>
  <c r="AZ6585" i="6"/>
  <c r="AY6585" i="6"/>
  <c r="AZ6584" i="6"/>
  <c r="AY6584" i="6"/>
  <c r="AZ6583" i="6"/>
  <c r="AY6583" i="6"/>
  <c r="AZ6582" i="6"/>
  <c r="AY6582" i="6"/>
  <c r="AZ6581" i="6"/>
  <c r="AY6581" i="6"/>
  <c r="AZ6580" i="6"/>
  <c r="AY6580" i="6"/>
  <c r="AZ6579" i="6"/>
  <c r="AY6579" i="6"/>
  <c r="AZ6578" i="6"/>
  <c r="AY6578" i="6"/>
  <c r="AZ6577" i="6"/>
  <c r="AY6577" i="6"/>
  <c r="AZ6576" i="6"/>
  <c r="AY6576" i="6"/>
  <c r="AZ6575" i="6"/>
  <c r="AY6575" i="6"/>
  <c r="AZ6574" i="6"/>
  <c r="AY6574" i="6"/>
  <c r="AZ6573" i="6"/>
  <c r="AY6573" i="6"/>
  <c r="AZ6572" i="6"/>
  <c r="AY6572" i="6"/>
  <c r="AZ6571" i="6"/>
  <c r="AY6571" i="6"/>
  <c r="AZ6570" i="6"/>
  <c r="AY6570" i="6"/>
  <c r="AZ6569" i="6"/>
  <c r="AY6569" i="6"/>
  <c r="AZ6568" i="6"/>
  <c r="AY6568" i="6"/>
  <c r="AZ6567" i="6"/>
  <c r="AY6567" i="6"/>
  <c r="AZ6566" i="6"/>
  <c r="AY6566" i="6"/>
  <c r="AZ6565" i="6"/>
  <c r="AY6565" i="6"/>
  <c r="AZ6564" i="6"/>
  <c r="AY6564" i="6"/>
  <c r="AZ6563" i="6"/>
  <c r="AY6563" i="6"/>
  <c r="AZ6562" i="6"/>
  <c r="AY6562" i="6"/>
  <c r="AZ6561" i="6"/>
  <c r="AY6561" i="6"/>
  <c r="AZ6560" i="6"/>
  <c r="AY6560" i="6"/>
  <c r="AZ6559" i="6"/>
  <c r="AY6559" i="6"/>
  <c r="AZ6558" i="6"/>
  <c r="AY6558" i="6"/>
  <c r="AZ6557" i="6"/>
  <c r="AY6557" i="6"/>
  <c r="AZ6556" i="6"/>
  <c r="AY6556" i="6"/>
  <c r="AZ6555" i="6"/>
  <c r="AY6555" i="6"/>
  <c r="AZ6554" i="6"/>
  <c r="AY6554" i="6"/>
  <c r="AZ6553" i="6"/>
  <c r="AY6553" i="6"/>
  <c r="AZ6552" i="6"/>
  <c r="AY6552" i="6"/>
  <c r="AZ6551" i="6"/>
  <c r="AY6551" i="6"/>
  <c r="AZ6550" i="6"/>
  <c r="AY6550" i="6"/>
  <c r="AZ6549" i="6"/>
  <c r="AY6549" i="6"/>
  <c r="AZ6548" i="6"/>
  <c r="AY6548" i="6"/>
  <c r="AZ6547" i="6"/>
  <c r="AY6547" i="6"/>
  <c r="AZ6546" i="6"/>
  <c r="AY6546" i="6"/>
  <c r="AZ6545" i="6"/>
  <c r="AY6545" i="6"/>
  <c r="AZ6544" i="6"/>
  <c r="AY6544" i="6"/>
  <c r="AZ6543" i="6"/>
  <c r="AY6543" i="6"/>
  <c r="AZ6542" i="6"/>
  <c r="AY6542" i="6"/>
  <c r="AZ6541" i="6"/>
  <c r="AY6541" i="6"/>
  <c r="AZ6540" i="6"/>
  <c r="AY6540" i="6"/>
  <c r="AZ6539" i="6"/>
  <c r="AY6539" i="6"/>
  <c r="AZ6538" i="6"/>
  <c r="AY6538" i="6"/>
  <c r="AZ6537" i="6"/>
  <c r="AY6537" i="6"/>
  <c r="AZ6536" i="6"/>
  <c r="AY6536" i="6"/>
  <c r="AZ6535" i="6"/>
  <c r="AY6535" i="6"/>
  <c r="AZ6534" i="6"/>
  <c r="AY6534" i="6"/>
  <c r="AZ6533" i="6"/>
  <c r="AY6533" i="6"/>
  <c r="AZ6532" i="6"/>
  <c r="AY6532" i="6"/>
  <c r="AZ6531" i="6"/>
  <c r="AY6531" i="6"/>
  <c r="AZ6530" i="6"/>
  <c r="AY6530" i="6"/>
  <c r="AZ6529" i="6"/>
  <c r="AY6529" i="6"/>
  <c r="AZ6528" i="6"/>
  <c r="AY6528" i="6"/>
  <c r="AZ6527" i="6"/>
  <c r="AY6527" i="6"/>
  <c r="AZ6526" i="6"/>
  <c r="AY6526" i="6"/>
  <c r="AZ6525" i="6"/>
  <c r="AY6525" i="6"/>
  <c r="AZ6524" i="6"/>
  <c r="AY6524" i="6"/>
  <c r="AZ6523" i="6"/>
  <c r="AY6523" i="6"/>
  <c r="AZ6522" i="6"/>
  <c r="AY6522" i="6"/>
  <c r="AZ6521" i="6"/>
  <c r="AY6521" i="6"/>
  <c r="AZ6520" i="6"/>
  <c r="AY6520" i="6"/>
  <c r="AZ6519" i="6"/>
  <c r="AY6519" i="6"/>
  <c r="AZ6518" i="6"/>
  <c r="AY6518" i="6"/>
  <c r="AZ6517" i="6"/>
  <c r="AY6517" i="6"/>
  <c r="AZ6516" i="6"/>
  <c r="AY6516" i="6"/>
  <c r="AZ6515" i="6"/>
  <c r="AY6515" i="6"/>
  <c r="AZ6514" i="6"/>
  <c r="AY6514" i="6"/>
  <c r="AZ6513" i="6"/>
  <c r="AY6513" i="6"/>
  <c r="AZ6512" i="6"/>
  <c r="AY6512" i="6"/>
  <c r="AZ6511" i="6"/>
  <c r="AY6511" i="6"/>
  <c r="AZ6510" i="6"/>
  <c r="AY6510" i="6"/>
  <c r="AZ6509" i="6"/>
  <c r="AY6509" i="6"/>
  <c r="AZ6508" i="6"/>
  <c r="AY6508" i="6"/>
  <c r="AZ6507" i="6"/>
  <c r="AY6507" i="6"/>
  <c r="AZ6506" i="6"/>
  <c r="AY6506" i="6"/>
  <c r="AZ6505" i="6"/>
  <c r="AY6505" i="6"/>
  <c r="AZ6504" i="6"/>
  <c r="AY6504" i="6"/>
  <c r="AZ6503" i="6"/>
  <c r="AY6503" i="6"/>
  <c r="AZ6502" i="6"/>
  <c r="AY6502" i="6"/>
  <c r="AZ6501" i="6"/>
  <c r="AY6501" i="6"/>
  <c r="AZ6500" i="6"/>
  <c r="AY6500" i="6"/>
  <c r="AZ6499" i="6"/>
  <c r="AY6499" i="6"/>
  <c r="AZ6498" i="6"/>
  <c r="AY6498" i="6"/>
  <c r="AZ6497" i="6"/>
  <c r="AY6497" i="6"/>
  <c r="AZ6496" i="6"/>
  <c r="AY6496" i="6"/>
  <c r="AZ6495" i="6"/>
  <c r="AY6495" i="6"/>
  <c r="AZ6494" i="6"/>
  <c r="AY6494" i="6"/>
  <c r="AZ6493" i="6"/>
  <c r="AY6493" i="6"/>
  <c r="AZ6492" i="6"/>
  <c r="AY6492" i="6"/>
  <c r="AZ6491" i="6"/>
  <c r="AY6491" i="6"/>
  <c r="AZ6490" i="6"/>
  <c r="AY6490" i="6"/>
  <c r="AZ6489" i="6"/>
  <c r="AY6489" i="6"/>
  <c r="AZ6488" i="6"/>
  <c r="AY6488" i="6"/>
  <c r="AZ6487" i="6"/>
  <c r="AY6487" i="6"/>
  <c r="AZ6486" i="6"/>
  <c r="AY6486" i="6"/>
  <c r="AZ6485" i="6"/>
  <c r="AY6485" i="6"/>
  <c r="AZ6484" i="6"/>
  <c r="AY6484" i="6"/>
  <c r="AZ6483" i="6"/>
  <c r="AY6483" i="6"/>
  <c r="AZ6482" i="6"/>
  <c r="AY6482" i="6"/>
  <c r="AZ6481" i="6"/>
  <c r="AY6481" i="6"/>
  <c r="AZ6480" i="6"/>
  <c r="AY6480" i="6"/>
  <c r="AZ6479" i="6"/>
  <c r="AY6479" i="6"/>
  <c r="AZ6478" i="6"/>
  <c r="AY6478" i="6"/>
  <c r="AZ6477" i="6"/>
  <c r="AY6477" i="6"/>
  <c r="AZ6476" i="6"/>
  <c r="AY6476" i="6"/>
  <c r="AZ6475" i="6"/>
  <c r="AY6475" i="6"/>
  <c r="AZ6474" i="6"/>
  <c r="AY6474" i="6"/>
  <c r="AZ6473" i="6"/>
  <c r="AY6473" i="6"/>
  <c r="AZ6472" i="6"/>
  <c r="AY6472" i="6"/>
  <c r="AZ6471" i="6"/>
  <c r="AY6471" i="6"/>
  <c r="AZ6470" i="6"/>
  <c r="AY6470" i="6"/>
  <c r="AZ6469" i="6"/>
  <c r="AY6469" i="6"/>
  <c r="AZ6468" i="6"/>
  <c r="AY6468" i="6"/>
  <c r="AZ6467" i="6"/>
  <c r="AY6467" i="6"/>
  <c r="AZ6466" i="6"/>
  <c r="AY6466" i="6"/>
  <c r="AZ6465" i="6"/>
  <c r="AY6465" i="6"/>
  <c r="AZ6464" i="6"/>
  <c r="AY6464" i="6"/>
  <c r="AZ6463" i="6"/>
  <c r="AY6463" i="6"/>
  <c r="AZ6462" i="6"/>
  <c r="AY6462" i="6"/>
  <c r="AZ6461" i="6"/>
  <c r="AY6461" i="6"/>
  <c r="AZ6460" i="6"/>
  <c r="AY6460" i="6"/>
  <c r="AZ6459" i="6"/>
  <c r="AY6459" i="6"/>
  <c r="AZ6458" i="6"/>
  <c r="AY6458" i="6"/>
  <c r="AZ6457" i="6"/>
  <c r="AY6457" i="6"/>
  <c r="AZ6456" i="6"/>
  <c r="AY6456" i="6"/>
  <c r="AZ6455" i="6"/>
  <c r="AY6455" i="6"/>
  <c r="AZ6454" i="6"/>
  <c r="AY6454" i="6"/>
  <c r="AZ6453" i="6"/>
  <c r="AY6453" i="6"/>
  <c r="AZ6452" i="6"/>
  <c r="AY6452" i="6"/>
  <c r="AZ6451" i="6"/>
  <c r="AY6451" i="6"/>
  <c r="AZ6450" i="6"/>
  <c r="AY6450" i="6"/>
  <c r="AZ6449" i="6"/>
  <c r="AY6449" i="6"/>
  <c r="AZ6448" i="6"/>
  <c r="AY6448" i="6"/>
  <c r="AZ6447" i="6"/>
  <c r="AY6447" i="6"/>
  <c r="AZ6446" i="6"/>
  <c r="AY6446" i="6"/>
  <c r="AZ6445" i="6"/>
  <c r="AY6445" i="6"/>
  <c r="AZ6444" i="6"/>
  <c r="AY6444" i="6"/>
  <c r="AZ6443" i="6"/>
  <c r="AY6443" i="6"/>
  <c r="AZ6442" i="6"/>
  <c r="AY6442" i="6"/>
  <c r="AZ6441" i="6"/>
  <c r="AY6441" i="6"/>
  <c r="AZ6440" i="6"/>
  <c r="AY6440" i="6"/>
  <c r="AZ6439" i="6"/>
  <c r="AY6439" i="6"/>
  <c r="AZ6438" i="6"/>
  <c r="AY6438" i="6"/>
  <c r="AZ6437" i="6"/>
  <c r="AY6437" i="6"/>
  <c r="AZ6436" i="6"/>
  <c r="AY6436" i="6"/>
  <c r="AZ6435" i="6"/>
  <c r="AY6435" i="6"/>
  <c r="AZ6434" i="6"/>
  <c r="AY6434" i="6"/>
  <c r="AZ6433" i="6"/>
  <c r="AY6433" i="6"/>
  <c r="AZ6432" i="6"/>
  <c r="AY6432" i="6"/>
  <c r="AZ6431" i="6"/>
  <c r="AY6431" i="6"/>
  <c r="AZ6430" i="6"/>
  <c r="AY6430" i="6"/>
  <c r="AZ6429" i="6"/>
  <c r="AY6429" i="6"/>
  <c r="AZ6428" i="6"/>
  <c r="AY6428" i="6"/>
  <c r="AZ6427" i="6"/>
  <c r="AY6427" i="6"/>
  <c r="AZ6426" i="6"/>
  <c r="AY6426" i="6"/>
  <c r="AZ6425" i="6"/>
  <c r="AY6425" i="6"/>
  <c r="AZ6424" i="6"/>
  <c r="AY6424" i="6"/>
  <c r="AZ6423" i="6"/>
  <c r="AY6423" i="6"/>
  <c r="AZ6422" i="6"/>
  <c r="AY6422" i="6"/>
  <c r="AZ6421" i="6"/>
  <c r="AY6421" i="6"/>
  <c r="AZ6420" i="6"/>
  <c r="AY6420" i="6"/>
  <c r="AZ6419" i="6"/>
  <c r="AY6419" i="6"/>
  <c r="AZ6418" i="6"/>
  <c r="AY6418" i="6"/>
  <c r="AZ6417" i="6"/>
  <c r="AY6417" i="6"/>
  <c r="AZ6416" i="6"/>
  <c r="AY6416" i="6"/>
  <c r="AZ6415" i="6"/>
  <c r="AY6415" i="6"/>
  <c r="AZ6414" i="6"/>
  <c r="AY6414" i="6"/>
  <c r="AZ6413" i="6"/>
  <c r="AY6413" i="6"/>
  <c r="AZ6412" i="6"/>
  <c r="AY6412" i="6"/>
  <c r="AZ6411" i="6"/>
  <c r="AY6411" i="6"/>
  <c r="AZ6410" i="6"/>
  <c r="AY6410" i="6"/>
  <c r="AZ6409" i="6"/>
  <c r="AY6409" i="6"/>
  <c r="AZ6408" i="6"/>
  <c r="AY6408" i="6"/>
  <c r="AZ6407" i="6"/>
  <c r="AY6407" i="6"/>
  <c r="AZ6406" i="6"/>
  <c r="AY6406" i="6"/>
  <c r="AZ6405" i="6"/>
  <c r="AY6405" i="6"/>
  <c r="AZ6404" i="6"/>
  <c r="AY6404" i="6"/>
  <c r="AZ6403" i="6"/>
  <c r="AY6403" i="6"/>
  <c r="AZ6402" i="6"/>
  <c r="AY6402" i="6"/>
  <c r="AZ6401" i="6"/>
  <c r="AY6401" i="6"/>
  <c r="AZ6400" i="6"/>
  <c r="AY6400" i="6"/>
  <c r="AZ6399" i="6"/>
  <c r="AY6399" i="6"/>
  <c r="AZ6398" i="6"/>
  <c r="AY6398" i="6"/>
  <c r="AZ6397" i="6"/>
  <c r="AY6397" i="6"/>
  <c r="AZ6396" i="6"/>
  <c r="AY6396" i="6"/>
  <c r="AZ6395" i="6"/>
  <c r="AY6395" i="6"/>
  <c r="AZ6394" i="6"/>
  <c r="AY6394" i="6"/>
  <c r="AZ6393" i="6"/>
  <c r="AY6393" i="6"/>
  <c r="AZ6392" i="6"/>
  <c r="AY6392" i="6"/>
  <c r="AZ6391" i="6"/>
  <c r="AY6391" i="6"/>
  <c r="AZ6390" i="6"/>
  <c r="AY6390" i="6"/>
  <c r="AZ6389" i="6"/>
  <c r="AY6389" i="6"/>
  <c r="AZ6388" i="6"/>
  <c r="AY6388" i="6"/>
  <c r="AZ6387" i="6"/>
  <c r="AY6387" i="6"/>
  <c r="AZ6386" i="6"/>
  <c r="AY6386" i="6"/>
  <c r="AZ6385" i="6"/>
  <c r="AY6385" i="6"/>
  <c r="AZ6384" i="6"/>
  <c r="AY6384" i="6"/>
  <c r="AZ6383" i="6"/>
  <c r="AY6383" i="6"/>
  <c r="AZ6382" i="6"/>
  <c r="AY6382" i="6"/>
  <c r="AZ6381" i="6"/>
  <c r="AY6381" i="6"/>
  <c r="AZ6380" i="6"/>
  <c r="AY6380" i="6"/>
  <c r="AZ6379" i="6"/>
  <c r="AY6379" i="6"/>
  <c r="AZ6378" i="6"/>
  <c r="AY6378" i="6"/>
  <c r="AZ6377" i="6"/>
  <c r="AY6377" i="6"/>
  <c r="AZ6376" i="6"/>
  <c r="AY6376" i="6"/>
  <c r="AZ6375" i="6"/>
  <c r="AY6375" i="6"/>
  <c r="AZ6374" i="6"/>
  <c r="AY6374" i="6"/>
  <c r="AZ6373" i="6"/>
  <c r="AY6373" i="6"/>
  <c r="AZ6372" i="6"/>
  <c r="AY6372" i="6"/>
  <c r="AZ6371" i="6"/>
  <c r="AY6371" i="6"/>
  <c r="AZ6370" i="6"/>
  <c r="AY6370" i="6"/>
  <c r="AZ6369" i="6"/>
  <c r="AY6369" i="6"/>
  <c r="AZ6368" i="6"/>
  <c r="AY6368" i="6"/>
  <c r="AZ6367" i="6"/>
  <c r="AY6367" i="6"/>
  <c r="AZ6366" i="6"/>
  <c r="AY6366" i="6"/>
  <c r="AZ6365" i="6"/>
  <c r="AY6365" i="6"/>
  <c r="AZ6364" i="6"/>
  <c r="AY6364" i="6"/>
  <c r="AZ6363" i="6"/>
  <c r="AY6363" i="6"/>
  <c r="AZ6362" i="6"/>
  <c r="AY6362" i="6"/>
  <c r="AZ6361" i="6"/>
  <c r="AY6361" i="6"/>
  <c r="AZ6360" i="6"/>
  <c r="AY6360" i="6"/>
  <c r="AZ6359" i="6"/>
  <c r="AY6359" i="6"/>
  <c r="AZ6358" i="6"/>
  <c r="AY6358" i="6"/>
  <c r="AZ6357" i="6"/>
  <c r="AY6357" i="6"/>
  <c r="AZ6356" i="6"/>
  <c r="AY6356" i="6"/>
  <c r="AZ6355" i="6"/>
  <c r="AY6355" i="6"/>
  <c r="AZ6354" i="6"/>
  <c r="AY6354" i="6"/>
  <c r="AZ6353" i="6"/>
  <c r="AY6353" i="6"/>
  <c r="AZ6352" i="6"/>
  <c r="AY6352" i="6"/>
  <c r="AZ6351" i="6"/>
  <c r="AY6351" i="6"/>
  <c r="AZ6350" i="6"/>
  <c r="AY6350" i="6"/>
  <c r="AZ6349" i="6"/>
  <c r="AY6349" i="6"/>
  <c r="AZ6348" i="6"/>
  <c r="AY6348" i="6"/>
  <c r="AZ6347" i="6"/>
  <c r="AY6347" i="6"/>
  <c r="AZ6346" i="6"/>
  <c r="AY6346" i="6"/>
  <c r="AZ6345" i="6"/>
  <c r="AY6345" i="6"/>
  <c r="AZ6344" i="6"/>
  <c r="AY6344" i="6"/>
  <c r="AZ6343" i="6"/>
  <c r="AY6343" i="6"/>
  <c r="AZ6342" i="6"/>
  <c r="AY6342" i="6"/>
  <c r="AZ6341" i="6"/>
  <c r="AY6341" i="6"/>
  <c r="AZ6340" i="6"/>
  <c r="AY6340" i="6"/>
  <c r="AZ6339" i="6"/>
  <c r="AY6339" i="6"/>
  <c r="AZ6338" i="6"/>
  <c r="AY6338" i="6"/>
  <c r="AZ6337" i="6"/>
  <c r="AY6337" i="6"/>
  <c r="AZ6336" i="6"/>
  <c r="AY6336" i="6"/>
  <c r="AZ6335" i="6"/>
  <c r="AY6335" i="6"/>
  <c r="AZ6334" i="6"/>
  <c r="AY6334" i="6"/>
  <c r="AZ6333" i="6"/>
  <c r="AY6333" i="6"/>
  <c r="AZ6332" i="6"/>
  <c r="AY6332" i="6"/>
  <c r="AZ6331" i="6"/>
  <c r="AY6331" i="6"/>
  <c r="AZ6330" i="6"/>
  <c r="AY6330" i="6"/>
  <c r="AZ6329" i="6"/>
  <c r="AY6329" i="6"/>
  <c r="AZ6328" i="6"/>
  <c r="AY6328" i="6"/>
  <c r="AZ6327" i="6"/>
  <c r="AY6327" i="6"/>
  <c r="AZ6326" i="6"/>
  <c r="AY6326" i="6"/>
  <c r="AZ6325" i="6"/>
  <c r="AY6325" i="6"/>
  <c r="AZ6324" i="6"/>
  <c r="AY6324" i="6"/>
  <c r="AZ6323" i="6"/>
  <c r="AY6323" i="6"/>
  <c r="AZ6322" i="6"/>
  <c r="AY6322" i="6"/>
  <c r="AZ6321" i="6"/>
  <c r="AY6321" i="6"/>
  <c r="AZ6320" i="6"/>
  <c r="AY6320" i="6"/>
  <c r="AZ6319" i="6"/>
  <c r="AY6319" i="6"/>
  <c r="AZ6318" i="6"/>
  <c r="AY6318" i="6"/>
  <c r="AZ6317" i="6"/>
  <c r="AY6317" i="6"/>
  <c r="AZ6316" i="6"/>
  <c r="AY6316" i="6"/>
  <c r="AZ6315" i="6"/>
  <c r="AY6315" i="6"/>
  <c r="AZ6314" i="6"/>
  <c r="AY6314" i="6"/>
  <c r="AZ6313" i="6"/>
  <c r="AY6313" i="6"/>
  <c r="AZ6312" i="6"/>
  <c r="AY6312" i="6"/>
  <c r="AZ6311" i="6"/>
  <c r="AY6311" i="6"/>
  <c r="AZ6310" i="6"/>
  <c r="AY6310" i="6"/>
  <c r="AZ6309" i="6"/>
  <c r="AY6309" i="6"/>
  <c r="AZ6308" i="6"/>
  <c r="AY6308" i="6"/>
  <c r="AZ6307" i="6"/>
  <c r="AY6307" i="6"/>
  <c r="AZ6306" i="6"/>
  <c r="AY6306" i="6"/>
  <c r="AZ6305" i="6"/>
  <c r="AY6305" i="6"/>
  <c r="AZ6304" i="6"/>
  <c r="AY6304" i="6"/>
  <c r="AZ6303" i="6"/>
  <c r="AY6303" i="6"/>
  <c r="AZ6302" i="6"/>
  <c r="AY6302" i="6"/>
  <c r="AZ6301" i="6"/>
  <c r="AY6301" i="6"/>
  <c r="AZ6300" i="6"/>
  <c r="AY6300" i="6"/>
  <c r="AZ6299" i="6"/>
  <c r="AY6299" i="6"/>
  <c r="AZ6298" i="6"/>
  <c r="AY6298" i="6"/>
  <c r="AZ6297" i="6"/>
  <c r="AY6297" i="6"/>
  <c r="AZ6296" i="6"/>
  <c r="AY6296" i="6"/>
  <c r="AZ6295" i="6"/>
  <c r="AY6295" i="6"/>
  <c r="AZ6294" i="6"/>
  <c r="AY6294" i="6"/>
  <c r="AZ6293" i="6"/>
  <c r="AY6293" i="6"/>
  <c r="AZ6292" i="6"/>
  <c r="AY6292" i="6"/>
  <c r="AZ6291" i="6"/>
  <c r="AY6291" i="6"/>
  <c r="AZ6290" i="6"/>
  <c r="AY6290" i="6"/>
  <c r="AZ6289" i="6"/>
  <c r="AY6289" i="6"/>
  <c r="AZ6288" i="6"/>
  <c r="AY6288" i="6"/>
  <c r="AZ6287" i="6"/>
  <c r="AY6287" i="6"/>
  <c r="AZ6286" i="6"/>
  <c r="AY6286" i="6"/>
  <c r="AZ6285" i="6"/>
  <c r="AY6285" i="6"/>
  <c r="AZ6284" i="6"/>
  <c r="AY6284" i="6"/>
  <c r="AZ6283" i="6"/>
  <c r="AY6283" i="6"/>
  <c r="AZ6282" i="6"/>
  <c r="AY6282" i="6"/>
  <c r="AZ6281" i="6"/>
  <c r="AY6281" i="6"/>
  <c r="AZ6280" i="6"/>
  <c r="AY6280" i="6"/>
  <c r="AZ6279" i="6"/>
  <c r="AY6279" i="6"/>
  <c r="AZ6278" i="6"/>
  <c r="AY6278" i="6"/>
  <c r="AZ6277" i="6"/>
  <c r="AY6277" i="6"/>
  <c r="AZ6276" i="6"/>
  <c r="AY6276" i="6"/>
  <c r="AZ6275" i="6"/>
  <c r="AY6275" i="6"/>
  <c r="AZ6274" i="6"/>
  <c r="AY6274" i="6"/>
  <c r="AZ6273" i="6"/>
  <c r="AY6273" i="6"/>
  <c r="AZ6272" i="6"/>
  <c r="AY6272" i="6"/>
  <c r="AZ6271" i="6"/>
  <c r="AY6271" i="6"/>
  <c r="AZ6270" i="6"/>
  <c r="AY6270" i="6"/>
  <c r="AZ6269" i="6"/>
  <c r="AY6269" i="6"/>
  <c r="AZ6268" i="6"/>
  <c r="AY6268" i="6"/>
  <c r="AZ6267" i="6"/>
  <c r="AY6267" i="6"/>
  <c r="AZ6266" i="6"/>
  <c r="AY6266" i="6"/>
  <c r="AZ6265" i="6"/>
  <c r="AY6265" i="6"/>
  <c r="AZ6264" i="6"/>
  <c r="AY6264" i="6"/>
  <c r="AZ6263" i="6"/>
  <c r="AY6263" i="6"/>
  <c r="AZ6262" i="6"/>
  <c r="AY6262" i="6"/>
  <c r="AZ6261" i="6"/>
  <c r="AY6261" i="6"/>
  <c r="AZ6260" i="6"/>
  <c r="AY6260" i="6"/>
  <c r="AZ6259" i="6"/>
  <c r="AY6259" i="6"/>
  <c r="AZ6258" i="6"/>
  <c r="AY6258" i="6"/>
  <c r="AZ6257" i="6"/>
  <c r="AY6257" i="6"/>
  <c r="AZ6256" i="6"/>
  <c r="AY6256" i="6"/>
  <c r="AZ6255" i="6"/>
  <c r="AY6255" i="6"/>
  <c r="AZ6254" i="6"/>
  <c r="AY6254" i="6"/>
  <c r="AZ6253" i="6"/>
  <c r="AY6253" i="6"/>
  <c r="AZ6252" i="6"/>
  <c r="AY6252" i="6"/>
  <c r="AZ6251" i="6"/>
  <c r="AY6251" i="6"/>
  <c r="AZ6250" i="6"/>
  <c r="AY6250" i="6"/>
  <c r="AZ6249" i="6"/>
  <c r="AY6249" i="6"/>
  <c r="AZ6248" i="6"/>
  <c r="AY6248" i="6"/>
  <c r="AZ6247" i="6"/>
  <c r="AY6247" i="6"/>
  <c r="AZ6246" i="6"/>
  <c r="AY6246" i="6"/>
  <c r="AZ6245" i="6"/>
  <c r="AY6245" i="6"/>
  <c r="AZ6244" i="6"/>
  <c r="AY6244" i="6"/>
  <c r="AZ6243" i="6"/>
  <c r="AY6243" i="6"/>
  <c r="AZ6242" i="6"/>
  <c r="AY6242" i="6"/>
  <c r="AZ6241" i="6"/>
  <c r="AY6241" i="6"/>
  <c r="AZ6240" i="6"/>
  <c r="AY6240" i="6"/>
  <c r="AZ6239" i="6"/>
  <c r="AY6239" i="6"/>
  <c r="AZ6238" i="6"/>
  <c r="AY6238" i="6"/>
  <c r="AZ6237" i="6"/>
  <c r="AY6237" i="6"/>
  <c r="AZ6236" i="6"/>
  <c r="AY6236" i="6"/>
  <c r="AZ6235" i="6"/>
  <c r="AY6235" i="6"/>
  <c r="AZ6234" i="6"/>
  <c r="AY6234" i="6"/>
  <c r="AZ6233" i="6"/>
  <c r="AY6233" i="6"/>
  <c r="AZ6232" i="6"/>
  <c r="AY6232" i="6"/>
  <c r="AZ6231" i="6"/>
  <c r="AY6231" i="6"/>
  <c r="AZ6230" i="6"/>
  <c r="AY6230" i="6"/>
  <c r="AZ6229" i="6"/>
  <c r="AY6229" i="6"/>
  <c r="AZ6228" i="6"/>
  <c r="AY6228" i="6"/>
  <c r="AZ6227" i="6"/>
  <c r="AY6227" i="6"/>
  <c r="AZ6226" i="6"/>
  <c r="AY6226" i="6"/>
  <c r="AZ6225" i="6"/>
  <c r="AY6225" i="6"/>
  <c r="AZ6224" i="6"/>
  <c r="AY6224" i="6"/>
  <c r="AZ6223" i="6"/>
  <c r="AY6223" i="6"/>
  <c r="AZ6222" i="6"/>
  <c r="AY6222" i="6"/>
  <c r="AZ6221" i="6"/>
  <c r="AY6221" i="6"/>
  <c r="AZ6220" i="6"/>
  <c r="AY6220" i="6"/>
  <c r="AZ6219" i="6"/>
  <c r="AY6219" i="6"/>
  <c r="AZ6218" i="6"/>
  <c r="AY6218" i="6"/>
  <c r="AZ6217" i="6"/>
  <c r="AY6217" i="6"/>
  <c r="AZ6216" i="6"/>
  <c r="AY6216" i="6"/>
  <c r="AZ6215" i="6"/>
  <c r="AY6215" i="6"/>
  <c r="AZ6214" i="6"/>
  <c r="AY6214" i="6"/>
  <c r="AZ6213" i="6"/>
  <c r="AY6213" i="6"/>
  <c r="AZ6212" i="6"/>
  <c r="AY6212" i="6"/>
  <c r="AZ6211" i="6"/>
  <c r="AY6211" i="6"/>
  <c r="AZ6210" i="6"/>
  <c r="AY6210" i="6"/>
  <c r="AZ6209" i="6"/>
  <c r="AY6209" i="6"/>
  <c r="AZ6208" i="6"/>
  <c r="AY6208" i="6"/>
  <c r="AZ6207" i="6"/>
  <c r="AY6207" i="6"/>
  <c r="AZ6206" i="6"/>
  <c r="AY6206" i="6"/>
  <c r="AZ6205" i="6"/>
  <c r="AY6205" i="6"/>
  <c r="AZ6204" i="6"/>
  <c r="AY6204" i="6"/>
  <c r="AZ6203" i="6"/>
  <c r="AY6203" i="6"/>
  <c r="AZ6202" i="6"/>
  <c r="AY6202" i="6"/>
  <c r="AZ6201" i="6"/>
  <c r="AY6201" i="6"/>
  <c r="AZ6200" i="6"/>
  <c r="AY6200" i="6"/>
  <c r="AZ6199" i="6"/>
  <c r="AY6199" i="6"/>
  <c r="AZ6198" i="6"/>
  <c r="AY6198" i="6"/>
  <c r="AZ6197" i="6"/>
  <c r="AY6197" i="6"/>
  <c r="AZ6196" i="6"/>
  <c r="AY6196" i="6"/>
  <c r="AZ6195" i="6"/>
  <c r="AY6195" i="6"/>
  <c r="AZ6194" i="6"/>
  <c r="AY6194" i="6"/>
  <c r="AZ6193" i="6"/>
  <c r="AY6193" i="6"/>
  <c r="AZ6192" i="6"/>
  <c r="AY6192" i="6"/>
  <c r="AZ6191" i="6"/>
  <c r="AY6191" i="6"/>
  <c r="AZ6190" i="6"/>
  <c r="AY6190" i="6"/>
  <c r="AZ6189" i="6"/>
  <c r="AY6189" i="6"/>
  <c r="AZ6188" i="6"/>
  <c r="AY6188" i="6"/>
  <c r="AZ6187" i="6"/>
  <c r="AY6187" i="6"/>
  <c r="AZ6186" i="6"/>
  <c r="AY6186" i="6"/>
  <c r="AZ6185" i="6"/>
  <c r="AY6185" i="6"/>
  <c r="AZ6184" i="6"/>
  <c r="AY6184" i="6"/>
  <c r="AZ6183" i="6"/>
  <c r="AY6183" i="6"/>
  <c r="AZ6182" i="6"/>
  <c r="AY6182" i="6"/>
  <c r="AZ6181" i="6"/>
  <c r="AY6181" i="6"/>
  <c r="AZ6180" i="6"/>
  <c r="AY6180" i="6"/>
  <c r="AZ6179" i="6"/>
  <c r="AY6179" i="6"/>
  <c r="AZ6178" i="6"/>
  <c r="AY6178" i="6"/>
  <c r="AZ6177" i="6"/>
  <c r="AY6177" i="6"/>
  <c r="AZ6176" i="6"/>
  <c r="AY6176" i="6"/>
  <c r="AZ6175" i="6"/>
  <c r="AY6175" i="6"/>
  <c r="AZ6174" i="6"/>
  <c r="AY6174" i="6"/>
  <c r="AZ6173" i="6"/>
  <c r="AY6173" i="6"/>
  <c r="AZ6172" i="6"/>
  <c r="AY6172" i="6"/>
  <c r="AZ6171" i="6"/>
  <c r="AY6171" i="6"/>
  <c r="AZ6170" i="6"/>
  <c r="AY6170" i="6"/>
  <c r="AZ6169" i="6"/>
  <c r="AY6169" i="6"/>
  <c r="AZ6168" i="6"/>
  <c r="AY6168" i="6"/>
  <c r="AZ6167" i="6"/>
  <c r="AY6167" i="6"/>
  <c r="AZ6166" i="6"/>
  <c r="AY6166" i="6"/>
  <c r="AZ6165" i="6"/>
  <c r="AY6165" i="6"/>
  <c r="AZ6164" i="6"/>
  <c r="AY6164" i="6"/>
  <c r="AZ6163" i="6"/>
  <c r="AY6163" i="6"/>
  <c r="AZ6162" i="6"/>
  <c r="AY6162" i="6"/>
  <c r="AZ6161" i="6"/>
  <c r="AY6161" i="6"/>
  <c r="AZ6160" i="6"/>
  <c r="AY6160" i="6"/>
  <c r="AZ6159" i="6"/>
  <c r="AY6159" i="6"/>
  <c r="AZ6158" i="6"/>
  <c r="AY6158" i="6"/>
  <c r="AZ6157" i="6"/>
  <c r="AY6157" i="6"/>
  <c r="AZ6156" i="6"/>
  <c r="AY6156" i="6"/>
  <c r="AZ6155" i="6"/>
  <c r="AY6155" i="6"/>
  <c r="AZ6154" i="6"/>
  <c r="AY6154" i="6"/>
  <c r="AZ6153" i="6"/>
  <c r="AY6153" i="6"/>
  <c r="AZ6152" i="6"/>
  <c r="AY6152" i="6"/>
  <c r="AZ6151" i="6"/>
  <c r="AY6151" i="6"/>
  <c r="AZ6150" i="6"/>
  <c r="AY6150" i="6"/>
  <c r="AZ6149" i="6"/>
  <c r="AY6149" i="6"/>
  <c r="AZ6148" i="6"/>
  <c r="AY6148" i="6"/>
  <c r="AZ6147" i="6"/>
  <c r="AY6147" i="6"/>
  <c r="AZ6146" i="6"/>
  <c r="AY6146" i="6"/>
  <c r="AZ6145" i="6"/>
  <c r="AY6145" i="6"/>
  <c r="AZ6144" i="6"/>
  <c r="AY6144" i="6"/>
  <c r="AZ6143" i="6"/>
  <c r="AY6143" i="6"/>
  <c r="AZ6142" i="6"/>
  <c r="AY6142" i="6"/>
  <c r="AZ6141" i="6"/>
  <c r="AY6141" i="6"/>
  <c r="AZ6140" i="6"/>
  <c r="AY6140" i="6"/>
  <c r="AZ6139" i="6"/>
  <c r="AY6139" i="6"/>
  <c r="AZ6138" i="6"/>
  <c r="AY6138" i="6"/>
  <c r="AZ6137" i="6"/>
  <c r="AY6137" i="6"/>
  <c r="AZ6136" i="6"/>
  <c r="AY6136" i="6"/>
  <c r="AZ6135" i="6"/>
  <c r="AY6135" i="6"/>
  <c r="AZ6134" i="6"/>
  <c r="AY6134" i="6"/>
  <c r="AZ6133" i="6"/>
  <c r="AY6133" i="6"/>
  <c r="AZ6132" i="6"/>
  <c r="AY6132" i="6"/>
  <c r="AZ6131" i="6"/>
  <c r="AY6131" i="6"/>
  <c r="AZ6130" i="6"/>
  <c r="AY6130" i="6"/>
  <c r="AZ6129" i="6"/>
  <c r="AY6129" i="6"/>
  <c r="AZ6128" i="6"/>
  <c r="AY6128" i="6"/>
  <c r="AZ6127" i="6"/>
  <c r="AY6127" i="6"/>
  <c r="AZ6126" i="6"/>
  <c r="AY6126" i="6"/>
  <c r="AZ6125" i="6"/>
  <c r="AY6125" i="6"/>
  <c r="AZ6124" i="6"/>
  <c r="AY6124" i="6"/>
  <c r="AZ6123" i="6"/>
  <c r="AY6123" i="6"/>
  <c r="AZ6122" i="6"/>
  <c r="AY6122" i="6"/>
  <c r="AZ6121" i="6"/>
  <c r="AY6121" i="6"/>
  <c r="AZ6120" i="6"/>
  <c r="AY6120" i="6"/>
  <c r="AZ6119" i="6"/>
  <c r="AY6119" i="6"/>
  <c r="AZ6118" i="6"/>
  <c r="AY6118" i="6"/>
  <c r="AZ6117" i="6"/>
  <c r="AY6117" i="6"/>
  <c r="AZ6116" i="6"/>
  <c r="AY6116" i="6"/>
  <c r="AZ6115" i="6"/>
  <c r="AY6115" i="6"/>
  <c r="AZ6114" i="6"/>
  <c r="AY6114" i="6"/>
  <c r="AZ6113" i="6"/>
  <c r="AY6113" i="6"/>
  <c r="AZ6112" i="6"/>
  <c r="AY6112" i="6"/>
  <c r="AZ6111" i="6"/>
  <c r="AY6111" i="6"/>
  <c r="AZ6110" i="6"/>
  <c r="AY6110" i="6"/>
  <c r="AZ6109" i="6"/>
  <c r="AY6109" i="6"/>
  <c r="AZ6108" i="6"/>
  <c r="AY6108" i="6"/>
  <c r="AZ6107" i="6"/>
  <c r="AY6107" i="6"/>
  <c r="AZ6106" i="6"/>
  <c r="AY6106" i="6"/>
  <c r="AZ6105" i="6"/>
  <c r="AY6105" i="6"/>
  <c r="AZ6104" i="6"/>
  <c r="AY6104" i="6"/>
  <c r="AZ6103" i="6"/>
  <c r="AY6103" i="6"/>
  <c r="AZ6102" i="6"/>
  <c r="AY6102" i="6"/>
  <c r="AZ6101" i="6"/>
  <c r="AY6101" i="6"/>
  <c r="AZ6100" i="6"/>
  <c r="AY6100" i="6"/>
  <c r="AZ6099" i="6"/>
  <c r="AY6099" i="6"/>
  <c r="AZ6098" i="6"/>
  <c r="AY6098" i="6"/>
  <c r="AZ6097" i="6"/>
  <c r="AY6097" i="6"/>
  <c r="AZ6096" i="6"/>
  <c r="AY6096" i="6"/>
  <c r="AZ6095" i="6"/>
  <c r="AY6095" i="6"/>
  <c r="AZ6094" i="6"/>
  <c r="AY6094" i="6"/>
  <c r="AZ6093" i="6"/>
  <c r="AY6093" i="6"/>
  <c r="AZ6092" i="6"/>
  <c r="AY6092" i="6"/>
  <c r="AZ6091" i="6"/>
  <c r="AY6091" i="6"/>
  <c r="AZ6090" i="6"/>
  <c r="AY6090" i="6"/>
  <c r="AZ6089" i="6"/>
  <c r="AY6089" i="6"/>
  <c r="AZ6088" i="6"/>
  <c r="AY6088" i="6"/>
  <c r="AZ6087" i="6"/>
  <c r="AY6087" i="6"/>
  <c r="AZ6086" i="6"/>
  <c r="AY6086" i="6"/>
  <c r="AZ6085" i="6"/>
  <c r="AY6085" i="6"/>
  <c r="AZ6084" i="6"/>
  <c r="AY6084" i="6"/>
  <c r="AZ6083" i="6"/>
  <c r="AY6083" i="6"/>
  <c r="AZ6082" i="6"/>
  <c r="AY6082" i="6"/>
  <c r="AZ6081" i="6"/>
  <c r="AY6081" i="6"/>
  <c r="AZ6080" i="6"/>
  <c r="AY6080" i="6"/>
  <c r="AZ6079" i="6"/>
  <c r="AY6079" i="6"/>
  <c r="AZ6078" i="6"/>
  <c r="AY6078" i="6"/>
  <c r="AZ6077" i="6"/>
  <c r="AY6077" i="6"/>
  <c r="AZ6076" i="6"/>
  <c r="AY6076" i="6"/>
  <c r="AZ6075" i="6"/>
  <c r="AY6075" i="6"/>
  <c r="AZ6074" i="6"/>
  <c r="AY6074" i="6"/>
  <c r="AZ6073" i="6"/>
  <c r="AY6073" i="6"/>
  <c r="AZ6072" i="6"/>
  <c r="AY6072" i="6"/>
  <c r="AZ6071" i="6"/>
  <c r="AY6071" i="6"/>
  <c r="AZ6070" i="6"/>
  <c r="AY6070" i="6"/>
  <c r="AZ6069" i="6"/>
  <c r="AY6069" i="6"/>
  <c r="AZ6068" i="6"/>
  <c r="AY6068" i="6"/>
  <c r="AZ6067" i="6"/>
  <c r="AY6067" i="6"/>
  <c r="AZ6066" i="6"/>
  <c r="AY6066" i="6"/>
  <c r="AZ6065" i="6"/>
  <c r="AY6065" i="6"/>
  <c r="AZ6064" i="6"/>
  <c r="AY6064" i="6"/>
  <c r="AZ6063" i="6"/>
  <c r="AY6063" i="6"/>
  <c r="AZ6062" i="6"/>
  <c r="AY6062" i="6"/>
  <c r="AZ6061" i="6"/>
  <c r="AY6061" i="6"/>
  <c r="AZ6060" i="6"/>
  <c r="AY6060" i="6"/>
  <c r="AZ6059" i="6"/>
  <c r="AY6059" i="6"/>
  <c r="AZ6058" i="6"/>
  <c r="AY6058" i="6"/>
  <c r="AZ6057" i="6"/>
  <c r="AY6057" i="6"/>
  <c r="AZ6056" i="6"/>
  <c r="AY6056" i="6"/>
  <c r="AZ6055" i="6"/>
  <c r="AY6055" i="6"/>
  <c r="AZ6054" i="6"/>
  <c r="AY6054" i="6"/>
  <c r="AZ6053" i="6"/>
  <c r="AY6053" i="6"/>
  <c r="AZ6052" i="6"/>
  <c r="AY6052" i="6"/>
  <c r="AZ6051" i="6"/>
  <c r="AY6051" i="6"/>
  <c r="AZ6050" i="6"/>
  <c r="AY6050" i="6"/>
  <c r="AZ6049" i="6"/>
  <c r="AY6049" i="6"/>
  <c r="AZ6048" i="6"/>
  <c r="AY6048" i="6"/>
  <c r="AZ6047" i="6"/>
  <c r="AY6047" i="6"/>
  <c r="AZ6046" i="6"/>
  <c r="AY6046" i="6"/>
  <c r="AZ6045" i="6"/>
  <c r="AY6045" i="6"/>
  <c r="AZ6044" i="6"/>
  <c r="AY6044" i="6"/>
  <c r="AZ6043" i="6"/>
  <c r="AY6043" i="6"/>
  <c r="AZ6042" i="6"/>
  <c r="AY6042" i="6"/>
  <c r="AZ6041" i="6"/>
  <c r="AY6041" i="6"/>
  <c r="AZ6040" i="6"/>
  <c r="AY6040" i="6"/>
  <c r="AZ6039" i="6"/>
  <c r="AY6039" i="6"/>
  <c r="AZ6038" i="6"/>
  <c r="AY6038" i="6"/>
  <c r="AZ6037" i="6"/>
  <c r="AY6037" i="6"/>
  <c r="AZ6036" i="6"/>
  <c r="AY6036" i="6"/>
  <c r="AZ6035" i="6"/>
  <c r="AY6035" i="6"/>
  <c r="AZ6034" i="6"/>
  <c r="AY6034" i="6"/>
  <c r="AZ6033" i="6"/>
  <c r="AY6033" i="6"/>
  <c r="AZ6032" i="6"/>
  <c r="AY6032" i="6"/>
  <c r="AZ6031" i="6"/>
  <c r="AY6031" i="6"/>
  <c r="AZ6030" i="6"/>
  <c r="AY6030" i="6"/>
  <c r="AZ6029" i="6"/>
  <c r="AY6029" i="6"/>
  <c r="AZ6028" i="6"/>
  <c r="AY6028" i="6"/>
  <c r="AZ6027" i="6"/>
  <c r="AY6027" i="6"/>
  <c r="AZ6026" i="6"/>
  <c r="AY6026" i="6"/>
  <c r="AZ6025" i="6"/>
  <c r="AY6025" i="6"/>
  <c r="AZ6024" i="6"/>
  <c r="AY6024" i="6"/>
  <c r="AZ6023" i="6"/>
  <c r="AY6023" i="6"/>
  <c r="AZ6022" i="6"/>
  <c r="AY6022" i="6"/>
  <c r="AZ6021" i="6"/>
  <c r="AY6021" i="6"/>
  <c r="AZ6020" i="6"/>
  <c r="AY6020" i="6"/>
  <c r="AZ6019" i="6"/>
  <c r="AY6019" i="6"/>
  <c r="AZ6018" i="6"/>
  <c r="AY6018" i="6"/>
  <c r="AZ6017" i="6"/>
  <c r="AY6017" i="6"/>
  <c r="AZ6016" i="6"/>
  <c r="AY6016" i="6"/>
  <c r="AZ6015" i="6"/>
  <c r="AY6015" i="6"/>
  <c r="AZ6014" i="6"/>
  <c r="AY6014" i="6"/>
  <c r="AZ6013" i="6"/>
  <c r="AY6013" i="6"/>
  <c r="AZ6012" i="6"/>
  <c r="AY6012" i="6"/>
  <c r="AZ6011" i="6"/>
  <c r="AY6011" i="6"/>
  <c r="AZ6010" i="6"/>
  <c r="AY6010" i="6"/>
  <c r="AZ6009" i="6"/>
  <c r="AY6009" i="6"/>
  <c r="AZ6008" i="6"/>
  <c r="AY6008" i="6"/>
  <c r="AZ6007" i="6"/>
  <c r="AY6007" i="6"/>
  <c r="AZ6006" i="6"/>
  <c r="AY6006" i="6"/>
  <c r="AZ6005" i="6"/>
  <c r="AY6005" i="6"/>
  <c r="AZ6004" i="6"/>
  <c r="AY6004" i="6"/>
  <c r="AZ6003" i="6"/>
  <c r="AY6003" i="6"/>
  <c r="AZ6002" i="6"/>
  <c r="AY6002" i="6"/>
  <c r="AZ6001" i="6"/>
  <c r="AY6001" i="6"/>
  <c r="AZ6000" i="6"/>
  <c r="AY6000" i="6"/>
  <c r="AZ5999" i="6"/>
  <c r="AY5999" i="6"/>
  <c r="AZ5998" i="6"/>
  <c r="AY5998" i="6"/>
  <c r="AZ5997" i="6"/>
  <c r="AY5997" i="6"/>
  <c r="AZ5996" i="6"/>
  <c r="AY5996" i="6"/>
  <c r="AZ5995" i="6"/>
  <c r="AY5995" i="6"/>
  <c r="AZ5994" i="6"/>
  <c r="AY5994" i="6"/>
  <c r="AZ5993" i="6"/>
  <c r="AY5993" i="6"/>
  <c r="AZ5992" i="6"/>
  <c r="AY5992" i="6"/>
  <c r="AZ5991" i="6"/>
  <c r="AY5991" i="6"/>
  <c r="AZ5990" i="6"/>
  <c r="AY5990" i="6"/>
  <c r="AZ5989" i="6"/>
  <c r="AY5989" i="6"/>
  <c r="AZ5988" i="6"/>
  <c r="AY5988" i="6"/>
  <c r="AZ5987" i="6"/>
  <c r="AY5987" i="6"/>
  <c r="AZ5986" i="6"/>
  <c r="AY5986" i="6"/>
  <c r="AZ5985" i="6"/>
  <c r="AY5985" i="6"/>
  <c r="AZ5984" i="6"/>
  <c r="AY5984" i="6"/>
  <c r="AZ5983" i="6"/>
  <c r="AY5983" i="6"/>
  <c r="AZ5982" i="6"/>
  <c r="AY5982" i="6"/>
  <c r="AZ5981" i="6"/>
  <c r="AY5981" i="6"/>
  <c r="AZ5980" i="6"/>
  <c r="AY5980" i="6"/>
  <c r="AZ5979" i="6"/>
  <c r="AY5979" i="6"/>
  <c r="AZ5978" i="6"/>
  <c r="AY5978" i="6"/>
  <c r="AZ5977" i="6"/>
  <c r="AY5977" i="6"/>
  <c r="AZ5976" i="6"/>
  <c r="AY5976" i="6"/>
  <c r="AZ5975" i="6"/>
  <c r="AY5975" i="6"/>
  <c r="AZ5974" i="6"/>
  <c r="AY5974" i="6"/>
  <c r="AZ5973" i="6"/>
  <c r="AY5973" i="6"/>
  <c r="AZ5972" i="6"/>
  <c r="AY5972" i="6"/>
  <c r="AZ5971" i="6"/>
  <c r="AY5971" i="6"/>
  <c r="AZ5970" i="6"/>
  <c r="AY5970" i="6"/>
  <c r="AZ5969" i="6"/>
  <c r="AY5969" i="6"/>
  <c r="AZ5968" i="6"/>
  <c r="AY5968" i="6"/>
  <c r="AZ5967" i="6"/>
  <c r="AY5967" i="6"/>
  <c r="AZ5966" i="6"/>
  <c r="AY5966" i="6"/>
  <c r="AZ5965" i="6"/>
  <c r="AY5965" i="6"/>
  <c r="AZ5964" i="6"/>
  <c r="AY5964" i="6"/>
  <c r="AZ5963" i="6"/>
  <c r="AY5963" i="6"/>
  <c r="AZ5962" i="6"/>
  <c r="AY5962" i="6"/>
  <c r="AZ5961" i="6"/>
  <c r="AY5961" i="6"/>
  <c r="AZ5960" i="6"/>
  <c r="AY5960" i="6"/>
  <c r="AZ5959" i="6"/>
  <c r="AY5959" i="6"/>
  <c r="AZ5958" i="6"/>
  <c r="AY5958" i="6"/>
  <c r="AZ5957" i="6"/>
  <c r="AY5957" i="6"/>
  <c r="AZ5956" i="6"/>
  <c r="AY5956" i="6"/>
  <c r="AZ5955" i="6"/>
  <c r="AY5955" i="6"/>
  <c r="AZ5954" i="6"/>
  <c r="AY5954" i="6"/>
  <c r="AZ5953" i="6"/>
  <c r="AY5953" i="6"/>
  <c r="AZ5952" i="6"/>
  <c r="AY5952" i="6"/>
  <c r="AZ5951" i="6"/>
  <c r="AY5951" i="6"/>
  <c r="AZ5950" i="6"/>
  <c r="AY5950" i="6"/>
  <c r="AZ5949" i="6"/>
  <c r="AY5949" i="6"/>
  <c r="AZ5948" i="6"/>
  <c r="AY5948" i="6"/>
  <c r="AZ5947" i="6"/>
  <c r="AY5947" i="6"/>
  <c r="AZ5946" i="6"/>
  <c r="AY5946" i="6"/>
  <c r="AZ5945" i="6"/>
  <c r="AY5945" i="6"/>
  <c r="AZ5944" i="6"/>
  <c r="AY5944" i="6"/>
  <c r="AZ5943" i="6"/>
  <c r="AY5943" i="6"/>
  <c r="AZ5942" i="6"/>
  <c r="AY5942" i="6"/>
  <c r="AZ5941" i="6"/>
  <c r="AY5941" i="6"/>
  <c r="AZ5940" i="6"/>
  <c r="AY5940" i="6"/>
  <c r="AZ5939" i="6"/>
  <c r="AY5939" i="6"/>
  <c r="AZ5938" i="6"/>
  <c r="AY5938" i="6"/>
  <c r="AZ5937" i="6"/>
  <c r="AY5937" i="6"/>
  <c r="AZ5936" i="6"/>
  <c r="AY5936" i="6"/>
  <c r="AZ5935" i="6"/>
  <c r="AY5935" i="6"/>
  <c r="AZ5934" i="6"/>
  <c r="AY5934" i="6"/>
  <c r="AZ5933" i="6"/>
  <c r="AY5933" i="6"/>
  <c r="AZ5932" i="6"/>
  <c r="AY5932" i="6"/>
  <c r="AZ5931" i="6"/>
  <c r="AY5931" i="6"/>
  <c r="AZ5930" i="6"/>
  <c r="AY5930" i="6"/>
  <c r="AZ5929" i="6"/>
  <c r="AY5929" i="6"/>
  <c r="AZ5928" i="6"/>
  <c r="AY5928" i="6"/>
  <c r="AZ5927" i="6"/>
  <c r="AY5927" i="6"/>
  <c r="AZ5926" i="6"/>
  <c r="AY5926" i="6"/>
  <c r="AZ5925" i="6"/>
  <c r="AY5925" i="6"/>
  <c r="AZ5924" i="6"/>
  <c r="AY5924" i="6"/>
  <c r="AZ5923" i="6"/>
  <c r="AY5923" i="6"/>
  <c r="AZ5922" i="6"/>
  <c r="AY5922" i="6"/>
  <c r="AZ5921" i="6"/>
  <c r="AY5921" i="6"/>
  <c r="AZ5920" i="6"/>
  <c r="AY5920" i="6"/>
  <c r="AZ5919" i="6"/>
  <c r="AY5919" i="6"/>
  <c r="AZ5918" i="6"/>
  <c r="AY5918" i="6"/>
  <c r="AZ5917" i="6"/>
  <c r="AY5917" i="6"/>
  <c r="AZ5916" i="6"/>
  <c r="AY5916" i="6"/>
  <c r="AZ5915" i="6"/>
  <c r="AY5915" i="6"/>
  <c r="AZ5914" i="6"/>
  <c r="AY5914" i="6"/>
  <c r="AZ5913" i="6"/>
  <c r="AY5913" i="6"/>
  <c r="AZ5912" i="6"/>
  <c r="AY5912" i="6"/>
  <c r="AZ5911" i="6"/>
  <c r="AY5911" i="6"/>
  <c r="AZ5910" i="6"/>
  <c r="AY5910" i="6"/>
  <c r="AZ5909" i="6"/>
  <c r="AY5909" i="6"/>
  <c r="AZ5908" i="6"/>
  <c r="AY5908" i="6"/>
  <c r="AZ5907" i="6"/>
  <c r="AY5907" i="6"/>
  <c r="AZ5906" i="6"/>
  <c r="AY5906" i="6"/>
  <c r="AZ5905" i="6"/>
  <c r="AY5905" i="6"/>
  <c r="AZ5904" i="6"/>
  <c r="AY5904" i="6"/>
  <c r="AZ5903" i="6"/>
  <c r="AY5903" i="6"/>
  <c r="AZ5902" i="6"/>
  <c r="AY5902" i="6"/>
  <c r="AZ5901" i="6"/>
  <c r="AY5901" i="6"/>
  <c r="AZ5900" i="6"/>
  <c r="AY5900" i="6"/>
  <c r="AZ5899" i="6"/>
  <c r="AY5899" i="6"/>
  <c r="AZ5898" i="6"/>
  <c r="AY5898" i="6"/>
  <c r="AZ5897" i="6"/>
  <c r="AY5897" i="6"/>
  <c r="AZ5896" i="6"/>
  <c r="AY5896" i="6"/>
  <c r="AZ5895" i="6"/>
  <c r="AY5895" i="6"/>
  <c r="AZ5894" i="6"/>
  <c r="AY5894" i="6"/>
  <c r="AZ5893" i="6"/>
  <c r="AY5893" i="6"/>
  <c r="AZ5892" i="6"/>
  <c r="AY5892" i="6"/>
  <c r="AZ5891" i="6"/>
  <c r="AY5891" i="6"/>
  <c r="AZ5890" i="6"/>
  <c r="AY5890" i="6"/>
  <c r="AZ5889" i="6"/>
  <c r="AY5889" i="6"/>
  <c r="AZ5888" i="6"/>
  <c r="AY5888" i="6"/>
  <c r="AZ5887" i="6"/>
  <c r="AY5887" i="6"/>
  <c r="AZ5886" i="6"/>
  <c r="AY5886" i="6"/>
  <c r="AZ5885" i="6"/>
  <c r="AY5885" i="6"/>
  <c r="AZ5884" i="6"/>
  <c r="AY5884" i="6"/>
  <c r="AZ5883" i="6"/>
  <c r="AY5883" i="6"/>
  <c r="AZ5882" i="6"/>
  <c r="AY5882" i="6"/>
  <c r="AZ5881" i="6"/>
  <c r="AY5881" i="6"/>
  <c r="AZ5880" i="6"/>
  <c r="AY5880" i="6"/>
  <c r="AZ5879" i="6"/>
  <c r="AY5879" i="6"/>
  <c r="AZ5878" i="6"/>
  <c r="AY5878" i="6"/>
  <c r="AZ5877" i="6"/>
  <c r="AY5877" i="6"/>
  <c r="AZ5876" i="6"/>
  <c r="AY5876" i="6"/>
  <c r="AZ5875" i="6"/>
  <c r="AY5875" i="6"/>
  <c r="AZ5874" i="6"/>
  <c r="AY5874" i="6"/>
  <c r="AZ5873" i="6"/>
  <c r="AY5873" i="6"/>
  <c r="AZ5872" i="6"/>
  <c r="AY5872" i="6"/>
  <c r="AZ5871" i="6"/>
  <c r="AY5871" i="6"/>
  <c r="AZ5870" i="6"/>
  <c r="AY5870" i="6"/>
  <c r="AZ5869" i="6"/>
  <c r="AY5869" i="6"/>
  <c r="AZ5868" i="6"/>
  <c r="AY5868" i="6"/>
  <c r="AZ5867" i="6"/>
  <c r="AY5867" i="6"/>
  <c r="AZ5866" i="6"/>
  <c r="AY5866" i="6"/>
  <c r="AZ5865" i="6"/>
  <c r="AY5865" i="6"/>
  <c r="AZ5864" i="6"/>
  <c r="AY5864" i="6"/>
  <c r="AZ5863" i="6"/>
  <c r="AY5863" i="6"/>
  <c r="AZ5862" i="6"/>
  <c r="AY5862" i="6"/>
  <c r="AZ5861" i="6"/>
  <c r="AY5861" i="6"/>
  <c r="AZ5860" i="6"/>
  <c r="AY5860" i="6"/>
  <c r="AZ5859" i="6"/>
  <c r="AY5859" i="6"/>
  <c r="AZ5858" i="6"/>
  <c r="AY5858" i="6"/>
  <c r="AZ5857" i="6"/>
  <c r="AY5857" i="6"/>
  <c r="AZ5856" i="6"/>
  <c r="AY5856" i="6"/>
  <c r="AZ5855" i="6"/>
  <c r="AY5855" i="6"/>
  <c r="AZ5854" i="6"/>
  <c r="AY5854" i="6"/>
  <c r="AZ5853" i="6"/>
  <c r="AY5853" i="6"/>
  <c r="AZ5852" i="6"/>
  <c r="AY5852" i="6"/>
  <c r="AZ5851" i="6"/>
  <c r="AY5851" i="6"/>
  <c r="AZ5850" i="6"/>
  <c r="AY5850" i="6"/>
  <c r="AZ5849" i="6"/>
  <c r="AY5849" i="6"/>
  <c r="AZ5848" i="6"/>
  <c r="AY5848" i="6"/>
  <c r="AZ5847" i="6"/>
  <c r="AY5847" i="6"/>
  <c r="AZ5846" i="6"/>
  <c r="AY5846" i="6"/>
  <c r="AZ5845" i="6"/>
  <c r="AY5845" i="6"/>
  <c r="AZ5844" i="6"/>
  <c r="AY5844" i="6"/>
  <c r="AZ5843" i="6"/>
  <c r="AY5843" i="6"/>
  <c r="AZ5842" i="6"/>
  <c r="AY5842" i="6"/>
  <c r="AZ5841" i="6"/>
  <c r="AY5841" i="6"/>
  <c r="AZ5840" i="6"/>
  <c r="AY5840" i="6"/>
  <c r="AZ5839" i="6"/>
  <c r="AY5839" i="6"/>
  <c r="AZ5838" i="6"/>
  <c r="AY5838" i="6"/>
  <c r="AZ5837" i="6"/>
  <c r="AY5837" i="6"/>
  <c r="AZ5836" i="6"/>
  <c r="AY5836" i="6"/>
  <c r="AZ5835" i="6"/>
  <c r="AY5835" i="6"/>
  <c r="AZ5834" i="6"/>
  <c r="AY5834" i="6"/>
  <c r="AZ5833" i="6"/>
  <c r="AY5833" i="6"/>
  <c r="AZ5832" i="6"/>
  <c r="AY5832" i="6"/>
  <c r="AZ5831" i="6"/>
  <c r="AY5831" i="6"/>
  <c r="AZ5830" i="6"/>
  <c r="AY5830" i="6"/>
  <c r="AZ5829" i="6"/>
  <c r="AY5829" i="6"/>
  <c r="AZ5828" i="6"/>
  <c r="AY5828" i="6"/>
  <c r="AZ5827" i="6"/>
  <c r="AY5827" i="6"/>
  <c r="AZ5826" i="6"/>
  <c r="AY5826" i="6"/>
  <c r="AZ5825" i="6"/>
  <c r="AY5825" i="6"/>
  <c r="AZ5824" i="6"/>
  <c r="AY5824" i="6"/>
  <c r="AZ5823" i="6"/>
  <c r="AY5823" i="6"/>
  <c r="AZ5822" i="6"/>
  <c r="AY5822" i="6"/>
  <c r="AZ5821" i="6"/>
  <c r="AY5821" i="6"/>
  <c r="AZ5820" i="6"/>
  <c r="AY5820" i="6"/>
  <c r="AZ5819" i="6"/>
  <c r="AY5819" i="6"/>
  <c r="AZ5818" i="6"/>
  <c r="AY5818" i="6"/>
  <c r="AZ5817" i="6"/>
  <c r="AY5817" i="6"/>
  <c r="AZ5816" i="6"/>
  <c r="AY5816" i="6"/>
  <c r="AZ5815" i="6"/>
  <c r="AY5815" i="6"/>
  <c r="AZ5814" i="6"/>
  <c r="AY5814" i="6"/>
  <c r="AZ5813" i="6"/>
  <c r="AY5813" i="6"/>
  <c r="AZ5812" i="6"/>
  <c r="AY5812" i="6"/>
  <c r="AZ5811" i="6"/>
  <c r="AY5811" i="6"/>
  <c r="AZ5810" i="6"/>
  <c r="AY5810" i="6"/>
  <c r="AZ5809" i="6"/>
  <c r="AY5809" i="6"/>
  <c r="AZ5808" i="6"/>
  <c r="AY5808" i="6"/>
  <c r="AZ5807" i="6"/>
  <c r="AY5807" i="6"/>
  <c r="AZ5806" i="6"/>
  <c r="AY5806" i="6"/>
  <c r="AZ5805" i="6"/>
  <c r="AY5805" i="6"/>
  <c r="AZ5804" i="6"/>
  <c r="AY5804" i="6"/>
  <c r="AZ5803" i="6"/>
  <c r="AY5803" i="6"/>
  <c r="AZ5802" i="6"/>
  <c r="AY5802" i="6"/>
  <c r="AZ5801" i="6"/>
  <c r="AY5801" i="6"/>
  <c r="AZ5800" i="6"/>
  <c r="AY5800" i="6"/>
  <c r="AZ5799" i="6"/>
  <c r="AY5799" i="6"/>
  <c r="AZ5798" i="6"/>
  <c r="AY5798" i="6"/>
  <c r="AZ5797" i="6"/>
  <c r="AY5797" i="6"/>
  <c r="AZ5796" i="6"/>
  <c r="AY5796" i="6"/>
  <c r="AZ5795" i="6"/>
  <c r="AY5795" i="6"/>
  <c r="AZ5794" i="6"/>
  <c r="AY5794" i="6"/>
  <c r="AZ5793" i="6"/>
  <c r="AY5793" i="6"/>
  <c r="AZ5792" i="6"/>
  <c r="AY5792" i="6"/>
  <c r="AZ5791" i="6"/>
  <c r="AY5791" i="6"/>
  <c r="AZ5790" i="6"/>
  <c r="AY5790" i="6"/>
  <c r="AZ5789" i="6"/>
  <c r="AY5789" i="6"/>
  <c r="AZ5788" i="6"/>
  <c r="AY5788" i="6"/>
  <c r="AZ5787" i="6"/>
  <c r="AY5787" i="6"/>
  <c r="AZ5786" i="6"/>
  <c r="AY5786" i="6"/>
  <c r="AZ5785" i="6"/>
  <c r="AY5785" i="6"/>
  <c r="AZ5784" i="6"/>
  <c r="AY5784" i="6"/>
  <c r="AZ5783" i="6"/>
  <c r="AY5783" i="6"/>
  <c r="AZ5782" i="6"/>
  <c r="AY5782" i="6"/>
  <c r="AZ5781" i="6"/>
  <c r="AY5781" i="6"/>
  <c r="AZ5780" i="6"/>
  <c r="AY5780" i="6"/>
  <c r="AZ5779" i="6"/>
  <c r="AY5779" i="6"/>
  <c r="AZ5778" i="6"/>
  <c r="AY5778" i="6"/>
  <c r="AZ5777" i="6"/>
  <c r="AY5777" i="6"/>
  <c r="AZ5776" i="6"/>
  <c r="AY5776" i="6"/>
  <c r="AZ5775" i="6"/>
  <c r="AY5775" i="6"/>
  <c r="AZ5774" i="6"/>
  <c r="AY5774" i="6"/>
  <c r="AZ5773" i="6"/>
  <c r="AY5773" i="6"/>
  <c r="AZ5772" i="6"/>
  <c r="AY5772" i="6"/>
  <c r="AZ5771" i="6"/>
  <c r="AY5771" i="6"/>
  <c r="AZ5770" i="6"/>
  <c r="AY5770" i="6"/>
  <c r="AZ5769" i="6"/>
  <c r="AY5769" i="6"/>
  <c r="AZ5768" i="6"/>
  <c r="AY5768" i="6"/>
  <c r="AZ5767" i="6"/>
  <c r="AY5767" i="6"/>
  <c r="AZ5766" i="6"/>
  <c r="AY5766" i="6"/>
  <c r="AZ5765" i="6"/>
  <c r="AY5765" i="6"/>
  <c r="AZ5764" i="6"/>
  <c r="AY5764" i="6"/>
  <c r="AZ5763" i="6"/>
  <c r="AY5763" i="6"/>
  <c r="AZ5762" i="6"/>
  <c r="AY5762" i="6"/>
  <c r="AZ5761" i="6"/>
  <c r="AY5761" i="6"/>
  <c r="AZ5760" i="6"/>
  <c r="AY5760" i="6"/>
  <c r="AZ5759" i="6"/>
  <c r="AY5759" i="6"/>
  <c r="AZ5758" i="6"/>
  <c r="AY5758" i="6"/>
  <c r="AZ5757" i="6"/>
  <c r="AY5757" i="6"/>
  <c r="AZ5756" i="6"/>
  <c r="AY5756" i="6"/>
  <c r="AZ5755" i="6"/>
  <c r="AY5755" i="6"/>
  <c r="AZ5754" i="6"/>
  <c r="AY5754" i="6"/>
  <c r="AZ5753" i="6"/>
  <c r="AY5753" i="6"/>
  <c r="AZ5752" i="6"/>
  <c r="AY5752" i="6"/>
  <c r="AZ5751" i="6"/>
  <c r="AY5751" i="6"/>
  <c r="AZ5750" i="6"/>
  <c r="AY5750" i="6"/>
  <c r="AZ5749" i="6"/>
  <c r="AY5749" i="6"/>
  <c r="AZ5748" i="6"/>
  <c r="AY5748" i="6"/>
  <c r="AZ5747" i="6"/>
  <c r="AY5747" i="6"/>
  <c r="AZ5746" i="6"/>
  <c r="AY5746" i="6"/>
  <c r="AZ5745" i="6"/>
  <c r="AY5745" i="6"/>
  <c r="AZ5744" i="6"/>
  <c r="AY5744" i="6"/>
  <c r="AZ5743" i="6"/>
  <c r="AY5743" i="6"/>
  <c r="AZ5742" i="6"/>
  <c r="AY5742" i="6"/>
  <c r="AZ5741" i="6"/>
  <c r="AY5741" i="6"/>
  <c r="AZ5740" i="6"/>
  <c r="AY5740" i="6"/>
  <c r="AZ5739" i="6"/>
  <c r="AY5739" i="6"/>
  <c r="AZ5738" i="6"/>
  <c r="AY5738" i="6"/>
  <c r="AZ5737" i="6"/>
  <c r="AY5737" i="6"/>
  <c r="AZ5736" i="6"/>
  <c r="AY5736" i="6"/>
  <c r="AZ5735" i="6"/>
  <c r="AY5735" i="6"/>
  <c r="AZ5734" i="6"/>
  <c r="AY5734" i="6"/>
  <c r="AZ5733" i="6"/>
  <c r="AY5733" i="6"/>
  <c r="AZ5732" i="6"/>
  <c r="AY5732" i="6"/>
  <c r="AZ5731" i="6"/>
  <c r="AY5731" i="6"/>
  <c r="AZ5730" i="6"/>
  <c r="AY5730" i="6"/>
  <c r="AZ5729" i="6"/>
  <c r="AY5729" i="6"/>
  <c r="AZ5728" i="6"/>
  <c r="AY5728" i="6"/>
  <c r="AZ5727" i="6"/>
  <c r="AY5727" i="6"/>
  <c r="AZ5726" i="6"/>
  <c r="AY5726" i="6"/>
  <c r="AZ5725" i="6"/>
  <c r="AY5725" i="6"/>
  <c r="AZ5724" i="6"/>
  <c r="AY5724" i="6"/>
  <c r="AZ5723" i="6"/>
  <c r="AY5723" i="6"/>
  <c r="AZ5722" i="6"/>
  <c r="AY5722" i="6"/>
  <c r="AZ5721" i="6"/>
  <c r="AY5721" i="6"/>
  <c r="AZ5720" i="6"/>
  <c r="AY5720" i="6"/>
  <c r="AZ5719" i="6"/>
  <c r="AY5719" i="6"/>
  <c r="AZ5718" i="6"/>
  <c r="AY5718" i="6"/>
  <c r="AZ5717" i="6"/>
  <c r="AY5717" i="6"/>
  <c r="AZ5716" i="6"/>
  <c r="AY5716" i="6"/>
  <c r="AZ5715" i="6"/>
  <c r="AY5715" i="6"/>
  <c r="AZ5714" i="6"/>
  <c r="AY5714" i="6"/>
  <c r="AZ5713" i="6"/>
  <c r="AY5713" i="6"/>
  <c r="AZ5712" i="6"/>
  <c r="AY5712" i="6"/>
  <c r="AZ5711" i="6"/>
  <c r="AY5711" i="6"/>
  <c r="AZ5710" i="6"/>
  <c r="AY5710" i="6"/>
  <c r="AZ5709" i="6"/>
  <c r="AY5709" i="6"/>
  <c r="AZ5708" i="6"/>
  <c r="AY5708" i="6"/>
  <c r="AZ5707" i="6"/>
  <c r="AY5707" i="6"/>
  <c r="AZ5706" i="6"/>
  <c r="AY5706" i="6"/>
  <c r="AZ5705" i="6"/>
  <c r="AY5705" i="6"/>
  <c r="AZ5704" i="6"/>
  <c r="AY5704" i="6"/>
  <c r="AZ5703" i="6"/>
  <c r="AY5703" i="6"/>
  <c r="AZ5702" i="6"/>
  <c r="AY5702" i="6"/>
  <c r="AZ5701" i="6"/>
  <c r="AY5701" i="6"/>
  <c r="AZ5700" i="6"/>
  <c r="AY5700" i="6"/>
  <c r="AZ5699" i="6"/>
  <c r="AY5699" i="6"/>
  <c r="AZ5698" i="6"/>
  <c r="AY5698" i="6"/>
  <c r="AZ5697" i="6"/>
  <c r="AY5697" i="6"/>
  <c r="AZ5696" i="6"/>
  <c r="AY5696" i="6"/>
  <c r="AZ5695" i="6"/>
  <c r="AY5695" i="6"/>
  <c r="AZ5694" i="6"/>
  <c r="AY5694" i="6"/>
  <c r="AZ5693" i="6"/>
  <c r="AY5693" i="6"/>
  <c r="AZ5692" i="6"/>
  <c r="AY5692" i="6"/>
  <c r="AZ5691" i="6"/>
  <c r="AY5691" i="6"/>
  <c r="AZ5690" i="6"/>
  <c r="AY5690" i="6"/>
  <c r="AZ5689" i="6"/>
  <c r="AY5689" i="6"/>
  <c r="AZ5688" i="6"/>
  <c r="AY5688" i="6"/>
  <c r="AZ5687" i="6"/>
  <c r="AY5687" i="6"/>
  <c r="AZ5686" i="6"/>
  <c r="AY5686" i="6"/>
  <c r="AZ5685" i="6"/>
  <c r="AY5685" i="6"/>
  <c r="AZ5684" i="6"/>
  <c r="AY5684" i="6"/>
  <c r="AZ5683" i="6"/>
  <c r="AY5683" i="6"/>
  <c r="AZ5682" i="6"/>
  <c r="AY5682" i="6"/>
  <c r="AZ5681" i="6"/>
  <c r="AY5681" i="6"/>
  <c r="AZ5680" i="6"/>
  <c r="AY5680" i="6"/>
  <c r="AZ5679" i="6"/>
  <c r="AY5679" i="6"/>
  <c r="AZ5678" i="6"/>
  <c r="AY5678" i="6"/>
  <c r="AZ5677" i="6"/>
  <c r="AY5677" i="6"/>
  <c r="AZ5676" i="6"/>
  <c r="AY5676" i="6"/>
  <c r="AZ5675" i="6"/>
  <c r="AY5675" i="6"/>
  <c r="AZ5674" i="6"/>
  <c r="AY5674" i="6"/>
  <c r="AZ5673" i="6"/>
  <c r="AY5673" i="6"/>
  <c r="AZ5672" i="6"/>
  <c r="AY5672" i="6"/>
  <c r="AZ5671" i="6"/>
  <c r="AY5671" i="6"/>
  <c r="AZ5670" i="6"/>
  <c r="AY5670" i="6"/>
  <c r="AZ5669" i="6"/>
  <c r="AY5669" i="6"/>
  <c r="AZ5668" i="6"/>
  <c r="AY5668" i="6"/>
  <c r="AZ5667" i="6"/>
  <c r="AY5667" i="6"/>
  <c r="AZ5666" i="6"/>
  <c r="AY5666" i="6"/>
  <c r="AZ5665" i="6"/>
  <c r="AY5665" i="6"/>
  <c r="AZ5664" i="6"/>
  <c r="AY5664" i="6"/>
  <c r="AZ5663" i="6"/>
  <c r="AY5663" i="6"/>
  <c r="AZ5662" i="6"/>
  <c r="AY5662" i="6"/>
  <c r="AZ5661" i="6"/>
  <c r="AY5661" i="6"/>
  <c r="AZ5660" i="6"/>
  <c r="AY5660" i="6"/>
  <c r="AZ5659" i="6"/>
  <c r="AY5659" i="6"/>
  <c r="AZ5658" i="6"/>
  <c r="AY5658" i="6"/>
  <c r="AZ5657" i="6"/>
  <c r="AY5657" i="6"/>
  <c r="AZ5656" i="6"/>
  <c r="AY5656" i="6"/>
  <c r="AZ5655" i="6"/>
  <c r="AY5655" i="6"/>
  <c r="AZ5654" i="6"/>
  <c r="AY5654" i="6"/>
  <c r="AZ5653" i="6"/>
  <c r="AY5653" i="6"/>
  <c r="AZ5652" i="6"/>
  <c r="AY5652" i="6"/>
  <c r="AZ5651" i="6"/>
  <c r="AY5651" i="6"/>
  <c r="AZ5650" i="6"/>
  <c r="AY5650" i="6"/>
  <c r="AZ5649" i="6"/>
  <c r="AY5649" i="6"/>
  <c r="AZ5648" i="6"/>
  <c r="AY5648" i="6"/>
  <c r="AZ5647" i="6"/>
  <c r="AY5647" i="6"/>
  <c r="AZ5646" i="6"/>
  <c r="AY5646" i="6"/>
  <c r="AZ5645" i="6"/>
  <c r="AY5645" i="6"/>
  <c r="AZ5644" i="6"/>
  <c r="AY5644" i="6"/>
  <c r="AZ5643" i="6"/>
  <c r="AY5643" i="6"/>
  <c r="AZ5642" i="6"/>
  <c r="AY5642" i="6"/>
  <c r="AZ5641" i="6"/>
  <c r="AY5641" i="6"/>
  <c r="AZ5640" i="6"/>
  <c r="AY5640" i="6"/>
  <c r="AZ5639" i="6"/>
  <c r="AY5639" i="6"/>
  <c r="AZ5638" i="6"/>
  <c r="AY5638" i="6"/>
  <c r="AZ5637" i="6"/>
  <c r="AY5637" i="6"/>
  <c r="AZ5636" i="6"/>
  <c r="AY5636" i="6"/>
  <c r="AZ5635" i="6"/>
  <c r="AY5635" i="6"/>
  <c r="AZ5634" i="6"/>
  <c r="AY5634" i="6"/>
  <c r="AZ5633" i="6"/>
  <c r="AY5633" i="6"/>
  <c r="AZ5632" i="6"/>
  <c r="AY5632" i="6"/>
  <c r="AZ5631" i="6"/>
  <c r="AY5631" i="6"/>
  <c r="AZ5630" i="6"/>
  <c r="AY5630" i="6"/>
  <c r="AZ5629" i="6"/>
  <c r="AY5629" i="6"/>
  <c r="AZ5628" i="6"/>
  <c r="AY5628" i="6"/>
  <c r="AZ5627" i="6"/>
  <c r="AY5627" i="6"/>
  <c r="AZ5626" i="6"/>
  <c r="AY5626" i="6"/>
  <c r="AZ5625" i="6"/>
  <c r="AY5625" i="6"/>
  <c r="AZ5624" i="6"/>
  <c r="AY5624" i="6"/>
  <c r="AZ5623" i="6"/>
  <c r="AY5623" i="6"/>
  <c r="AZ5622" i="6"/>
  <c r="AY5622" i="6"/>
  <c r="AZ5621" i="6"/>
  <c r="AY5621" i="6"/>
  <c r="AZ5620" i="6"/>
  <c r="AY5620" i="6"/>
  <c r="AZ5619" i="6"/>
  <c r="AY5619" i="6"/>
  <c r="AZ5618" i="6"/>
  <c r="AY5618" i="6"/>
  <c r="AZ5617" i="6"/>
  <c r="AY5617" i="6"/>
  <c r="AZ5616" i="6"/>
  <c r="AY5616" i="6"/>
  <c r="AZ5615" i="6"/>
  <c r="AY5615" i="6"/>
  <c r="AZ5614" i="6"/>
  <c r="AY5614" i="6"/>
  <c r="AZ5613" i="6"/>
  <c r="AY5613" i="6"/>
  <c r="AZ5612" i="6"/>
  <c r="AY5612" i="6"/>
  <c r="AZ5611" i="6"/>
  <c r="AY5611" i="6"/>
  <c r="AZ5610" i="6"/>
  <c r="AY5610" i="6"/>
  <c r="AZ5609" i="6"/>
  <c r="AY5609" i="6"/>
  <c r="AZ5608" i="6"/>
  <c r="AY5608" i="6"/>
  <c r="AZ5607" i="6"/>
  <c r="AY5607" i="6"/>
  <c r="AZ5606" i="6"/>
  <c r="AY5606" i="6"/>
  <c r="AZ5605" i="6"/>
  <c r="AY5605" i="6"/>
  <c r="AZ5604" i="6"/>
  <c r="AY5604" i="6"/>
  <c r="AZ5603" i="6"/>
  <c r="AY5603" i="6"/>
  <c r="AZ5602" i="6"/>
  <c r="AY5602" i="6"/>
  <c r="AZ5601" i="6"/>
  <c r="AY5601" i="6"/>
  <c r="AZ5600" i="6"/>
  <c r="AY5600" i="6"/>
  <c r="AZ5599" i="6"/>
  <c r="AY5599" i="6"/>
  <c r="AZ5598" i="6"/>
  <c r="AY5598" i="6"/>
  <c r="AZ5597" i="6"/>
  <c r="AY5597" i="6"/>
  <c r="AZ5596" i="6"/>
  <c r="AY5596" i="6"/>
  <c r="AZ5595" i="6"/>
  <c r="AY5595" i="6"/>
  <c r="AZ5594" i="6"/>
  <c r="AY5594" i="6"/>
  <c r="AZ5593" i="6"/>
  <c r="AY5593" i="6"/>
  <c r="AZ5592" i="6"/>
  <c r="AY5592" i="6"/>
  <c r="AZ5591" i="6"/>
  <c r="AY5591" i="6"/>
  <c r="AZ5590" i="6"/>
  <c r="AY5590" i="6"/>
  <c r="AZ5589" i="6"/>
  <c r="AY5589" i="6"/>
  <c r="AZ5588" i="6"/>
  <c r="AY5588" i="6"/>
  <c r="AZ5587" i="6"/>
  <c r="AY5587" i="6"/>
  <c r="AZ5586" i="6"/>
  <c r="AY5586" i="6"/>
  <c r="AZ5585" i="6"/>
  <c r="AY5585" i="6"/>
  <c r="AZ5584" i="6"/>
  <c r="AY5584" i="6"/>
  <c r="AZ5583" i="6"/>
  <c r="AY5583" i="6"/>
  <c r="AZ5582" i="6"/>
  <c r="AY5582" i="6"/>
  <c r="AZ5581" i="6"/>
  <c r="AY5581" i="6"/>
  <c r="AZ5580" i="6"/>
  <c r="AY5580" i="6"/>
  <c r="AZ5579" i="6"/>
  <c r="AY5579" i="6"/>
  <c r="AZ5578" i="6"/>
  <c r="AY5578" i="6"/>
  <c r="AZ5577" i="6"/>
  <c r="AY5577" i="6"/>
  <c r="AZ5576" i="6"/>
  <c r="AY5576" i="6"/>
  <c r="AZ5575" i="6"/>
  <c r="AY5575" i="6"/>
  <c r="AZ5574" i="6"/>
  <c r="AY5574" i="6"/>
  <c r="AZ5573" i="6"/>
  <c r="AY5573" i="6"/>
  <c r="AZ5572" i="6"/>
  <c r="AY5572" i="6"/>
  <c r="AZ5571" i="6"/>
  <c r="AY5571" i="6"/>
  <c r="AZ5570" i="6"/>
  <c r="AY5570" i="6"/>
  <c r="AZ5569" i="6"/>
  <c r="AY5569" i="6"/>
  <c r="AZ5568" i="6"/>
  <c r="AY5568" i="6"/>
  <c r="AZ5567" i="6"/>
  <c r="AY5567" i="6"/>
  <c r="AZ5566" i="6"/>
  <c r="AY5566" i="6"/>
  <c r="AZ5565" i="6"/>
  <c r="AY5565" i="6"/>
  <c r="AZ5564" i="6"/>
  <c r="AY5564" i="6"/>
  <c r="AZ5563" i="6"/>
  <c r="AY5563" i="6"/>
  <c r="AZ5562" i="6"/>
  <c r="AY5562" i="6"/>
  <c r="AZ5561" i="6"/>
  <c r="AY5561" i="6"/>
  <c r="AZ5560" i="6"/>
  <c r="AY5560" i="6"/>
  <c r="AZ5559" i="6"/>
  <c r="AY5559" i="6"/>
  <c r="AZ5558" i="6"/>
  <c r="AY5558" i="6"/>
  <c r="AZ5557" i="6"/>
  <c r="AY5557" i="6"/>
  <c r="AZ5556" i="6"/>
  <c r="AY5556" i="6"/>
  <c r="AZ5555" i="6"/>
  <c r="AY5555" i="6"/>
  <c r="AZ5554" i="6"/>
  <c r="AY5554" i="6"/>
  <c r="AZ5553" i="6"/>
  <c r="AY5553" i="6"/>
  <c r="AZ5552" i="6"/>
  <c r="AY5552" i="6"/>
  <c r="AZ5551" i="6"/>
  <c r="AY5551" i="6"/>
  <c r="AZ5550" i="6"/>
  <c r="AY5550" i="6"/>
  <c r="AZ5549" i="6"/>
  <c r="AY5549" i="6"/>
  <c r="AZ5548" i="6"/>
  <c r="AY5548" i="6"/>
  <c r="AZ5547" i="6"/>
  <c r="AY5547" i="6"/>
  <c r="AZ5546" i="6"/>
  <c r="AY5546" i="6"/>
  <c r="AZ5545" i="6"/>
  <c r="AY5545" i="6"/>
  <c r="AZ5544" i="6"/>
  <c r="AY5544" i="6"/>
  <c r="AZ5543" i="6"/>
  <c r="AY5543" i="6"/>
  <c r="AZ5542" i="6"/>
  <c r="AY5542" i="6"/>
  <c r="AZ5541" i="6"/>
  <c r="AY5541" i="6"/>
  <c r="AZ5540" i="6"/>
  <c r="AY5540" i="6"/>
  <c r="AZ5539" i="6"/>
  <c r="AY5539" i="6"/>
  <c r="AZ5538" i="6"/>
  <c r="AY5538" i="6"/>
  <c r="AZ5537" i="6"/>
  <c r="AY5537" i="6"/>
  <c r="AZ5536" i="6"/>
  <c r="AY5536" i="6"/>
  <c r="AZ5535" i="6"/>
  <c r="AY5535" i="6"/>
  <c r="AZ5534" i="6"/>
  <c r="AY5534" i="6"/>
  <c r="AZ5533" i="6"/>
  <c r="AY5533" i="6"/>
  <c r="AZ5532" i="6"/>
  <c r="AY5532" i="6"/>
  <c r="AZ5531" i="6"/>
  <c r="AY5531" i="6"/>
  <c r="AZ5530" i="6"/>
  <c r="AY5530" i="6"/>
  <c r="AZ5529" i="6"/>
  <c r="AY5529" i="6"/>
  <c r="AZ5528" i="6"/>
  <c r="AY5528" i="6"/>
  <c r="AZ5527" i="6"/>
  <c r="AY5527" i="6"/>
  <c r="AZ5526" i="6"/>
  <c r="AY5526" i="6"/>
  <c r="AZ5525" i="6"/>
  <c r="AY5525" i="6"/>
  <c r="AZ5524" i="6"/>
  <c r="AY5524" i="6"/>
  <c r="AZ5523" i="6"/>
  <c r="AY5523" i="6"/>
  <c r="AZ5522" i="6"/>
  <c r="AY5522" i="6"/>
  <c r="AZ5521" i="6"/>
  <c r="AY5521" i="6"/>
  <c r="AZ5520" i="6"/>
  <c r="AY5520" i="6"/>
  <c r="AZ5519" i="6"/>
  <c r="AY5519" i="6"/>
  <c r="AZ5518" i="6"/>
  <c r="AY5518" i="6"/>
  <c r="AZ5517" i="6"/>
  <c r="AY5517" i="6"/>
  <c r="AZ5516" i="6"/>
  <c r="AY5516" i="6"/>
  <c r="AZ5515" i="6"/>
  <c r="AY5515" i="6"/>
  <c r="AZ5514" i="6"/>
  <c r="AY5514" i="6"/>
  <c r="AZ5513" i="6"/>
  <c r="AY5513" i="6"/>
  <c r="AZ5512" i="6"/>
  <c r="AY5512" i="6"/>
  <c r="AZ5511" i="6"/>
  <c r="AY5511" i="6"/>
  <c r="AZ5510" i="6"/>
  <c r="AY5510" i="6"/>
  <c r="AZ5509" i="6"/>
  <c r="AY5509" i="6"/>
  <c r="AZ5508" i="6"/>
  <c r="AY5508" i="6"/>
  <c r="AZ5507" i="6"/>
  <c r="AY5507" i="6"/>
  <c r="AZ5506" i="6"/>
  <c r="AY5506" i="6"/>
  <c r="AZ5505" i="6"/>
  <c r="AY5505" i="6"/>
  <c r="AZ5504" i="6"/>
  <c r="AY5504" i="6"/>
  <c r="AZ5503" i="6"/>
  <c r="AY5503" i="6"/>
  <c r="AZ5502" i="6"/>
  <c r="AY5502" i="6"/>
  <c r="AZ5501" i="6"/>
  <c r="AY5501" i="6"/>
  <c r="AZ5500" i="6"/>
  <c r="AY5500" i="6"/>
  <c r="AZ5499" i="6"/>
  <c r="AY5499" i="6"/>
  <c r="AZ5498" i="6"/>
  <c r="AY5498" i="6"/>
  <c r="AZ5497" i="6"/>
  <c r="AY5497" i="6"/>
  <c r="AZ5496" i="6"/>
  <c r="AY5496" i="6"/>
  <c r="AZ5495" i="6"/>
  <c r="AY5495" i="6"/>
  <c r="AZ5494" i="6"/>
  <c r="AY5494" i="6"/>
  <c r="AZ5493" i="6"/>
  <c r="AY5493" i="6"/>
  <c r="AZ5492" i="6"/>
  <c r="AY5492" i="6"/>
  <c r="AZ5491" i="6"/>
  <c r="AY5491" i="6"/>
  <c r="AZ5490" i="6"/>
  <c r="AY5490" i="6"/>
  <c r="AZ5489" i="6"/>
  <c r="AY5489" i="6"/>
  <c r="AZ5488" i="6"/>
  <c r="AY5488" i="6"/>
  <c r="AZ5487" i="6"/>
  <c r="AY5487" i="6"/>
  <c r="AZ5486" i="6"/>
  <c r="AY5486" i="6"/>
  <c r="AZ5485" i="6"/>
  <c r="AY5485" i="6"/>
  <c r="AZ5484" i="6"/>
  <c r="AY5484" i="6"/>
  <c r="AZ5483" i="6"/>
  <c r="AY5483" i="6"/>
  <c r="AZ5482" i="6"/>
  <c r="AY5482" i="6"/>
  <c r="AZ5481" i="6"/>
  <c r="AY5481" i="6"/>
  <c r="AZ5480" i="6"/>
  <c r="AY5480" i="6"/>
  <c r="AZ5479" i="6"/>
  <c r="AY5479" i="6"/>
  <c r="AZ5478" i="6"/>
  <c r="AY5478" i="6"/>
  <c r="AZ5477" i="6"/>
  <c r="AY5477" i="6"/>
  <c r="AZ5476" i="6"/>
  <c r="AY5476" i="6"/>
  <c r="AZ5475" i="6"/>
  <c r="AY5475" i="6"/>
  <c r="AZ5474" i="6"/>
  <c r="AY5474" i="6"/>
  <c r="AZ5473" i="6"/>
  <c r="AY5473" i="6"/>
  <c r="AZ5472" i="6"/>
  <c r="AY5472" i="6"/>
  <c r="AZ5471" i="6"/>
  <c r="AY5471" i="6"/>
  <c r="AZ5470" i="6"/>
  <c r="AY5470" i="6"/>
  <c r="AZ5469" i="6"/>
  <c r="AY5469" i="6"/>
  <c r="AZ5468" i="6"/>
  <c r="AY5468" i="6"/>
  <c r="AZ5467" i="6"/>
  <c r="AY5467" i="6"/>
  <c r="AZ5466" i="6"/>
  <c r="AY5466" i="6"/>
  <c r="AZ5465" i="6"/>
  <c r="AY5465" i="6"/>
  <c r="AZ5464" i="6"/>
  <c r="AY5464" i="6"/>
  <c r="AZ5463" i="6"/>
  <c r="AY5463" i="6"/>
  <c r="AZ5462" i="6"/>
  <c r="AY5462" i="6"/>
  <c r="AZ5461" i="6"/>
  <c r="AY5461" i="6"/>
  <c r="AZ5460" i="6"/>
  <c r="AY5460" i="6"/>
  <c r="AZ5459" i="6"/>
  <c r="AY5459" i="6"/>
  <c r="AZ5458" i="6"/>
  <c r="AY5458" i="6"/>
  <c r="AZ5457" i="6"/>
  <c r="AY5457" i="6"/>
  <c r="AZ5456" i="6"/>
  <c r="AY5456" i="6"/>
  <c r="AZ5455" i="6"/>
  <c r="AY5455" i="6"/>
  <c r="AZ5454" i="6"/>
  <c r="AY5454" i="6"/>
  <c r="AZ5453" i="6"/>
  <c r="AY5453" i="6"/>
  <c r="AZ5452" i="6"/>
  <c r="AY5452" i="6"/>
  <c r="AZ5451" i="6"/>
  <c r="AY5451" i="6"/>
  <c r="AZ5450" i="6"/>
  <c r="AY5450" i="6"/>
  <c r="AZ5449" i="6"/>
  <c r="AY5449" i="6"/>
  <c r="AZ5448" i="6"/>
  <c r="AY5448" i="6"/>
  <c r="AZ5447" i="6"/>
  <c r="AY5447" i="6"/>
  <c r="AZ5446" i="6"/>
  <c r="AY5446" i="6"/>
  <c r="AZ5445" i="6"/>
  <c r="AY5445" i="6"/>
  <c r="AZ5444" i="6"/>
  <c r="AY5444" i="6"/>
  <c r="AZ5443" i="6"/>
  <c r="AY5443" i="6"/>
  <c r="AZ5442" i="6"/>
  <c r="AY5442" i="6"/>
  <c r="AZ5441" i="6"/>
  <c r="AY5441" i="6"/>
  <c r="AZ5440" i="6"/>
  <c r="AY5440" i="6"/>
  <c r="AZ5439" i="6"/>
  <c r="AY5439" i="6"/>
  <c r="AZ5438" i="6"/>
  <c r="AY5438" i="6"/>
  <c r="AZ5437" i="6"/>
  <c r="AY5437" i="6"/>
  <c r="AZ5436" i="6"/>
  <c r="AY5436" i="6"/>
  <c r="AZ5435" i="6"/>
  <c r="AY5435" i="6"/>
  <c r="AZ5434" i="6"/>
  <c r="AY5434" i="6"/>
  <c r="AZ5433" i="6"/>
  <c r="AY5433" i="6"/>
  <c r="AZ5432" i="6"/>
  <c r="AY5432" i="6"/>
  <c r="AZ5431" i="6"/>
  <c r="AY5431" i="6"/>
  <c r="AZ5430" i="6"/>
  <c r="AY5430" i="6"/>
  <c r="AZ5429" i="6"/>
  <c r="AY5429" i="6"/>
  <c r="AZ5428" i="6"/>
  <c r="AY5428" i="6"/>
  <c r="AZ5427" i="6"/>
  <c r="AY5427" i="6"/>
  <c r="AZ5426" i="6"/>
  <c r="AY5426" i="6"/>
  <c r="AZ5425" i="6"/>
  <c r="AY5425" i="6"/>
  <c r="AZ5424" i="6"/>
  <c r="AY5424" i="6"/>
  <c r="AZ5423" i="6"/>
  <c r="AY5423" i="6"/>
  <c r="AZ5422" i="6"/>
  <c r="AY5422" i="6"/>
  <c r="AZ5421" i="6"/>
  <c r="AY5421" i="6"/>
  <c r="AZ5420" i="6"/>
  <c r="AY5420" i="6"/>
  <c r="AZ5419" i="6"/>
  <c r="AY5419" i="6"/>
  <c r="AZ5418" i="6"/>
  <c r="AY5418" i="6"/>
  <c r="AZ5417" i="6"/>
  <c r="AY5417" i="6"/>
  <c r="AZ5416" i="6"/>
  <c r="AY5416" i="6"/>
  <c r="AZ5415" i="6"/>
  <c r="AY5415" i="6"/>
  <c r="AZ5414" i="6"/>
  <c r="AY5414" i="6"/>
  <c r="AZ5413" i="6"/>
  <c r="AY5413" i="6"/>
  <c r="AZ5412" i="6"/>
  <c r="AY5412" i="6"/>
  <c r="AZ5411" i="6"/>
  <c r="AY5411" i="6"/>
  <c r="AZ5410" i="6"/>
  <c r="AY5410" i="6"/>
  <c r="AZ5409" i="6"/>
  <c r="AY5409" i="6"/>
  <c r="AZ5408" i="6"/>
  <c r="AY5408" i="6"/>
  <c r="AZ5407" i="6"/>
  <c r="AY5407" i="6"/>
  <c r="AZ5406" i="6"/>
  <c r="AY5406" i="6"/>
  <c r="AZ5405" i="6"/>
  <c r="AY5405" i="6"/>
  <c r="AZ5404" i="6"/>
  <c r="AY5404" i="6"/>
  <c r="AZ5403" i="6"/>
  <c r="AY5403" i="6"/>
  <c r="AZ5402" i="6"/>
  <c r="AY5402" i="6"/>
  <c r="AZ5401" i="6"/>
  <c r="AY5401" i="6"/>
  <c r="AZ5400" i="6"/>
  <c r="AY5400" i="6"/>
  <c r="AZ5399" i="6"/>
  <c r="AY5399" i="6"/>
  <c r="AZ5398" i="6"/>
  <c r="AY5398" i="6"/>
  <c r="AZ5397" i="6"/>
  <c r="AY5397" i="6"/>
  <c r="AZ5396" i="6"/>
  <c r="AY5396" i="6"/>
  <c r="AZ5395" i="6"/>
  <c r="AY5395" i="6"/>
  <c r="AZ5394" i="6"/>
  <c r="AY5394" i="6"/>
  <c r="AZ5393" i="6"/>
  <c r="AY5393" i="6"/>
  <c r="AZ5392" i="6"/>
  <c r="AY5392" i="6"/>
  <c r="AZ5391" i="6"/>
  <c r="AY5391" i="6"/>
  <c r="AZ5390" i="6"/>
  <c r="AY5390" i="6"/>
  <c r="AZ5389" i="6"/>
  <c r="AY5389" i="6"/>
  <c r="AZ5388" i="6"/>
  <c r="AY5388" i="6"/>
  <c r="AZ5387" i="6"/>
  <c r="AY5387" i="6"/>
  <c r="AZ5386" i="6"/>
  <c r="AY5386" i="6"/>
  <c r="AZ5385" i="6"/>
  <c r="AY5385" i="6"/>
  <c r="AZ5384" i="6"/>
  <c r="AY5384" i="6"/>
  <c r="AZ5383" i="6"/>
  <c r="AY5383" i="6"/>
  <c r="AZ5382" i="6"/>
  <c r="AY5382" i="6"/>
  <c r="AZ5381" i="6"/>
  <c r="AY5381" i="6"/>
  <c r="AZ5380" i="6"/>
  <c r="AY5380" i="6"/>
  <c r="AZ5379" i="6"/>
  <c r="AY5379" i="6"/>
  <c r="AZ5378" i="6"/>
  <c r="AY5378" i="6"/>
  <c r="AZ5377" i="6"/>
  <c r="AY5377" i="6"/>
  <c r="AZ5376" i="6"/>
  <c r="AY5376" i="6"/>
  <c r="AZ5375" i="6"/>
  <c r="AY5375" i="6"/>
  <c r="AZ5374" i="6"/>
  <c r="AY5374" i="6"/>
  <c r="AZ5373" i="6"/>
  <c r="AY5373" i="6"/>
  <c r="AZ5372" i="6"/>
  <c r="AY5372" i="6"/>
  <c r="AZ5371" i="6"/>
  <c r="AY5371" i="6"/>
  <c r="AZ5370" i="6"/>
  <c r="AY5370" i="6"/>
  <c r="AZ5369" i="6"/>
  <c r="AY5369" i="6"/>
  <c r="AZ5368" i="6"/>
  <c r="AY5368" i="6"/>
  <c r="AZ5367" i="6"/>
  <c r="AY5367" i="6"/>
  <c r="AZ5366" i="6"/>
  <c r="AY5366" i="6"/>
  <c r="AZ5365" i="6"/>
  <c r="AY5365" i="6"/>
  <c r="AZ5364" i="6"/>
  <c r="AY5364" i="6"/>
  <c r="AZ5363" i="6"/>
  <c r="AY5363" i="6"/>
  <c r="AZ5362" i="6"/>
  <c r="AY5362" i="6"/>
  <c r="AZ5361" i="6"/>
  <c r="AY5361" i="6"/>
  <c r="AZ5360" i="6"/>
  <c r="AY5360" i="6"/>
  <c r="AZ5359" i="6"/>
  <c r="AY5359" i="6"/>
  <c r="AZ5358" i="6"/>
  <c r="AY5358" i="6"/>
  <c r="AZ5357" i="6"/>
  <c r="AY5357" i="6"/>
  <c r="AZ5356" i="6"/>
  <c r="AY5356" i="6"/>
  <c r="AZ5355" i="6"/>
  <c r="AY5355" i="6"/>
  <c r="AZ5354" i="6"/>
  <c r="AY5354" i="6"/>
  <c r="AZ5353" i="6"/>
  <c r="AY5353" i="6"/>
  <c r="AZ5352" i="6"/>
  <c r="AY5352" i="6"/>
  <c r="AZ5351" i="6"/>
  <c r="AY5351" i="6"/>
  <c r="AZ5350" i="6"/>
  <c r="AY5350" i="6"/>
  <c r="AZ5349" i="6"/>
  <c r="AY5349" i="6"/>
  <c r="AZ5348" i="6"/>
  <c r="AY5348" i="6"/>
  <c r="AZ5347" i="6"/>
  <c r="AY5347" i="6"/>
  <c r="AZ5346" i="6"/>
  <c r="AY5346" i="6"/>
  <c r="AZ5345" i="6"/>
  <c r="AY5345" i="6"/>
  <c r="AZ5344" i="6"/>
  <c r="AY5344" i="6"/>
  <c r="AZ5343" i="6"/>
  <c r="AY5343" i="6"/>
  <c r="AZ5342" i="6"/>
  <c r="AY5342" i="6"/>
  <c r="AZ5341" i="6"/>
  <c r="AY5341" i="6"/>
  <c r="AZ5340" i="6"/>
  <c r="AY5340" i="6"/>
  <c r="AZ5339" i="6"/>
  <c r="AY5339" i="6"/>
  <c r="AZ5338" i="6"/>
  <c r="AY5338" i="6"/>
  <c r="AZ5337" i="6"/>
  <c r="AY5337" i="6"/>
  <c r="AZ5336" i="6"/>
  <c r="AY5336" i="6"/>
  <c r="AZ5335" i="6"/>
  <c r="AY5335" i="6"/>
  <c r="AZ5334" i="6"/>
  <c r="AY5334" i="6"/>
  <c r="AZ5333" i="6"/>
  <c r="AY5333" i="6"/>
  <c r="AZ5332" i="6"/>
  <c r="AY5332" i="6"/>
  <c r="AZ5331" i="6"/>
  <c r="AY5331" i="6"/>
  <c r="AZ5330" i="6"/>
  <c r="AY5330" i="6"/>
  <c r="AZ5329" i="6"/>
  <c r="AY5329" i="6"/>
  <c r="AZ5328" i="6"/>
  <c r="AY5328" i="6"/>
  <c r="AZ5327" i="6"/>
  <c r="AY5327" i="6"/>
  <c r="AZ5326" i="6"/>
  <c r="AY5326" i="6"/>
  <c r="AZ5325" i="6"/>
  <c r="AY5325" i="6"/>
  <c r="AZ5324" i="6"/>
  <c r="AY5324" i="6"/>
  <c r="AZ5323" i="6"/>
  <c r="AY5323" i="6"/>
  <c r="AZ5322" i="6"/>
  <c r="AY5322" i="6"/>
  <c r="AZ5321" i="6"/>
  <c r="AY5321" i="6"/>
  <c r="AZ5320" i="6"/>
  <c r="AY5320" i="6"/>
  <c r="AZ5319" i="6"/>
  <c r="AY5319" i="6"/>
  <c r="AZ5318" i="6"/>
  <c r="AY5318" i="6"/>
  <c r="AZ5317" i="6"/>
  <c r="AY5317" i="6"/>
  <c r="AZ5316" i="6"/>
  <c r="AY5316" i="6"/>
  <c r="AZ5315" i="6"/>
  <c r="AY5315" i="6"/>
  <c r="AZ5314" i="6"/>
  <c r="AY5314" i="6"/>
  <c r="AZ5313" i="6"/>
  <c r="AY5313" i="6"/>
  <c r="AZ5312" i="6"/>
  <c r="AY5312" i="6"/>
  <c r="AZ5311" i="6"/>
  <c r="AY5311" i="6"/>
  <c r="AZ5310" i="6"/>
  <c r="AY5310" i="6"/>
  <c r="AZ5309" i="6"/>
  <c r="AY5309" i="6"/>
  <c r="AZ5308" i="6"/>
  <c r="AY5308" i="6"/>
  <c r="AZ5307" i="6"/>
  <c r="AY5307" i="6"/>
  <c r="AZ5306" i="6"/>
  <c r="AY5306" i="6"/>
  <c r="AZ5305" i="6"/>
  <c r="AY5305" i="6"/>
  <c r="AZ5304" i="6"/>
  <c r="AY5304" i="6"/>
  <c r="AZ5303" i="6"/>
  <c r="AY5303" i="6"/>
  <c r="AZ5302" i="6"/>
  <c r="AY5302" i="6"/>
  <c r="AZ5301" i="6"/>
  <c r="AY5301" i="6"/>
  <c r="AZ5300" i="6"/>
  <c r="AY5300" i="6"/>
  <c r="AZ5299" i="6"/>
  <c r="AY5299" i="6"/>
  <c r="AZ5298" i="6"/>
  <c r="AY5298" i="6"/>
  <c r="AZ5297" i="6"/>
  <c r="AY5297" i="6"/>
  <c r="AZ5296" i="6"/>
  <c r="AY5296" i="6"/>
  <c r="AZ5295" i="6"/>
  <c r="AY5295" i="6"/>
  <c r="AZ5294" i="6"/>
  <c r="AY5294" i="6"/>
  <c r="AZ5293" i="6"/>
  <c r="AY5293" i="6"/>
  <c r="AZ5292" i="6"/>
  <c r="AY5292" i="6"/>
  <c r="AZ5291" i="6"/>
  <c r="AY5291" i="6"/>
  <c r="AZ5290" i="6"/>
  <c r="AY5290" i="6"/>
  <c r="AZ5289" i="6"/>
  <c r="AY5289" i="6"/>
  <c r="AZ5288" i="6"/>
  <c r="AY5288" i="6"/>
  <c r="AZ5287" i="6"/>
  <c r="AY5287" i="6"/>
  <c r="AZ5286" i="6"/>
  <c r="AY5286" i="6"/>
  <c r="AZ5285" i="6"/>
  <c r="AY5285" i="6"/>
  <c r="AZ5284" i="6"/>
  <c r="AY5284" i="6"/>
  <c r="AZ5283" i="6"/>
  <c r="AY5283" i="6"/>
  <c r="AZ5282" i="6"/>
  <c r="AY5282" i="6"/>
  <c r="AZ5281" i="6"/>
  <c r="AY5281" i="6"/>
  <c r="AZ5280" i="6"/>
  <c r="AY5280" i="6"/>
  <c r="AZ5279" i="6"/>
  <c r="AY5279" i="6"/>
  <c r="AZ5278" i="6"/>
  <c r="AY5278" i="6"/>
  <c r="AZ5277" i="6"/>
  <c r="AY5277" i="6"/>
  <c r="AZ5276" i="6"/>
  <c r="AY5276" i="6"/>
  <c r="AZ5275" i="6"/>
  <c r="AY5275" i="6"/>
  <c r="AZ5274" i="6"/>
  <c r="AY5274" i="6"/>
  <c r="AZ5273" i="6"/>
  <c r="AY5273" i="6"/>
  <c r="AZ5272" i="6"/>
  <c r="AY5272" i="6"/>
  <c r="AZ5271" i="6"/>
  <c r="AY5271" i="6"/>
  <c r="AZ5270" i="6"/>
  <c r="AY5270" i="6"/>
  <c r="AZ5269" i="6"/>
  <c r="AY5269" i="6"/>
  <c r="AZ5268" i="6"/>
  <c r="AY5268" i="6"/>
  <c r="AZ5267" i="6"/>
  <c r="AY5267" i="6"/>
  <c r="AZ5266" i="6"/>
  <c r="AY5266" i="6"/>
  <c r="AZ5265" i="6"/>
  <c r="AY5265" i="6"/>
  <c r="AZ5264" i="6"/>
  <c r="AY5264" i="6"/>
  <c r="AZ5263" i="6"/>
  <c r="AY5263" i="6"/>
  <c r="AZ5262" i="6"/>
  <c r="AY5262" i="6"/>
  <c r="AZ5261" i="6"/>
  <c r="AY5261" i="6"/>
  <c r="AZ5260" i="6"/>
  <c r="AY5260" i="6"/>
  <c r="AZ5259" i="6"/>
  <c r="AY5259" i="6"/>
  <c r="AZ5258" i="6"/>
  <c r="AY5258" i="6"/>
  <c r="AZ5257" i="6"/>
  <c r="AY5257" i="6"/>
  <c r="AZ5256" i="6"/>
  <c r="AY5256" i="6"/>
  <c r="AZ5255" i="6"/>
  <c r="AY5255" i="6"/>
  <c r="AZ5254" i="6"/>
  <c r="AY5254" i="6"/>
  <c r="AZ5253" i="6"/>
  <c r="AY5253" i="6"/>
  <c r="AZ5252" i="6"/>
  <c r="AY5252" i="6"/>
  <c r="AZ5251" i="6"/>
  <c r="AY5251" i="6"/>
  <c r="AZ5250" i="6"/>
  <c r="AY5250" i="6"/>
  <c r="AZ5249" i="6"/>
  <c r="AY5249" i="6"/>
  <c r="AZ5248" i="6"/>
  <c r="AY5248" i="6"/>
  <c r="AZ5247" i="6"/>
  <c r="AY5247" i="6"/>
  <c r="AZ5246" i="6"/>
  <c r="AY5246" i="6"/>
  <c r="AZ5245" i="6"/>
  <c r="AY5245" i="6"/>
  <c r="AZ5244" i="6"/>
  <c r="AY5244" i="6"/>
  <c r="AZ5243" i="6"/>
  <c r="AY5243" i="6"/>
  <c r="AZ5242" i="6"/>
  <c r="AY5242" i="6"/>
  <c r="AZ5241" i="6"/>
  <c r="AY5241" i="6"/>
  <c r="AZ5240" i="6"/>
  <c r="AY5240" i="6"/>
  <c r="AZ5239" i="6"/>
  <c r="AY5239" i="6"/>
  <c r="AZ5238" i="6"/>
  <c r="AY5238" i="6"/>
  <c r="AZ5237" i="6"/>
  <c r="AY5237" i="6"/>
  <c r="AZ5236" i="6"/>
  <c r="AY5236" i="6"/>
  <c r="AZ5235" i="6"/>
  <c r="AY5235" i="6"/>
  <c r="AZ5234" i="6"/>
  <c r="AY5234" i="6"/>
  <c r="AZ5233" i="6"/>
  <c r="AY5233" i="6"/>
  <c r="AZ5232" i="6"/>
  <c r="AY5232" i="6"/>
  <c r="AZ5231" i="6"/>
  <c r="AY5231" i="6"/>
  <c r="AZ5230" i="6"/>
  <c r="AY5230" i="6"/>
  <c r="AZ5229" i="6"/>
  <c r="AY5229" i="6"/>
  <c r="AZ5228" i="6"/>
  <c r="AY5228" i="6"/>
  <c r="AZ5227" i="6"/>
  <c r="AY5227" i="6"/>
  <c r="AZ5226" i="6"/>
  <c r="AY5226" i="6"/>
  <c r="AZ5225" i="6"/>
  <c r="AY5225" i="6"/>
  <c r="AZ5224" i="6"/>
  <c r="AY5224" i="6"/>
  <c r="AZ5223" i="6"/>
  <c r="AY5223" i="6"/>
  <c r="AZ5222" i="6"/>
  <c r="AY5222" i="6"/>
  <c r="AZ5221" i="6"/>
  <c r="AY5221" i="6"/>
  <c r="AZ5220" i="6"/>
  <c r="AY5220" i="6"/>
  <c r="AZ5219" i="6"/>
  <c r="AY5219" i="6"/>
  <c r="AZ5218" i="6"/>
  <c r="AY5218" i="6"/>
  <c r="AZ5217" i="6"/>
  <c r="AY5217" i="6"/>
  <c r="AZ5216" i="6"/>
  <c r="AY5216" i="6"/>
  <c r="AZ5215" i="6"/>
  <c r="AY5215" i="6"/>
  <c r="AZ5214" i="6"/>
  <c r="AY5214" i="6"/>
  <c r="AZ5213" i="6"/>
  <c r="AY5213" i="6"/>
  <c r="AZ5212" i="6"/>
  <c r="AY5212" i="6"/>
  <c r="AZ5211" i="6"/>
  <c r="AY5211" i="6"/>
  <c r="AZ5210" i="6"/>
  <c r="AY5210" i="6"/>
  <c r="AZ5209" i="6"/>
  <c r="AY5209" i="6"/>
  <c r="AZ5208" i="6"/>
  <c r="AY5208" i="6"/>
  <c r="AZ5207" i="6"/>
  <c r="AY5207" i="6"/>
  <c r="AZ5206" i="6"/>
  <c r="AY5206" i="6"/>
  <c r="AZ5205" i="6"/>
  <c r="AY5205" i="6"/>
  <c r="AZ5204" i="6"/>
  <c r="AY5204" i="6"/>
  <c r="AZ5203" i="6"/>
  <c r="AY5203" i="6"/>
  <c r="AZ5202" i="6"/>
  <c r="AY5202" i="6"/>
  <c r="AZ5201" i="6"/>
  <c r="AY5201" i="6"/>
  <c r="AZ5200" i="6"/>
  <c r="AY5200" i="6"/>
  <c r="AZ5199" i="6"/>
  <c r="AY5199" i="6"/>
  <c r="AZ5198" i="6"/>
  <c r="AY5198" i="6"/>
  <c r="AZ5197" i="6"/>
  <c r="AY5197" i="6"/>
  <c r="AZ5196" i="6"/>
  <c r="AY5196" i="6"/>
  <c r="AZ5195" i="6"/>
  <c r="AY5195" i="6"/>
  <c r="AZ5194" i="6"/>
  <c r="AY5194" i="6"/>
  <c r="AZ5193" i="6"/>
  <c r="AY5193" i="6"/>
  <c r="AZ5192" i="6"/>
  <c r="AY5192" i="6"/>
  <c r="AZ5191" i="6"/>
  <c r="AY5191" i="6"/>
  <c r="AZ5190" i="6"/>
  <c r="AY5190" i="6"/>
  <c r="AZ5189" i="6"/>
  <c r="AY5189" i="6"/>
  <c r="AZ5188" i="6"/>
  <c r="AY5188" i="6"/>
  <c r="AZ5187" i="6"/>
  <c r="AY5187" i="6"/>
  <c r="AZ5186" i="6"/>
  <c r="AY5186" i="6"/>
  <c r="AZ5185" i="6"/>
  <c r="AY5185" i="6"/>
  <c r="AZ5184" i="6"/>
  <c r="AY5184" i="6"/>
  <c r="AZ5183" i="6"/>
  <c r="AY5183" i="6"/>
  <c r="AZ5182" i="6"/>
  <c r="AY5182" i="6"/>
  <c r="AZ5181" i="6"/>
  <c r="AY5181" i="6"/>
  <c r="AZ5180" i="6"/>
  <c r="AY5180" i="6"/>
  <c r="AZ5179" i="6"/>
  <c r="AY5179" i="6"/>
  <c r="AZ5178" i="6"/>
  <c r="AY5178" i="6"/>
  <c r="AZ5177" i="6"/>
  <c r="AY5177" i="6"/>
  <c r="AZ5176" i="6"/>
  <c r="AY5176" i="6"/>
  <c r="AZ5175" i="6"/>
  <c r="AY5175" i="6"/>
  <c r="AZ5174" i="6"/>
  <c r="AY5174" i="6"/>
  <c r="AZ5173" i="6"/>
  <c r="AY5173" i="6"/>
  <c r="AZ5172" i="6"/>
  <c r="AY5172" i="6"/>
  <c r="AZ5171" i="6"/>
  <c r="AY5171" i="6"/>
  <c r="AZ5170" i="6"/>
  <c r="AY5170" i="6"/>
  <c r="AZ5169" i="6"/>
  <c r="AY5169" i="6"/>
  <c r="AZ5168" i="6"/>
  <c r="AY5168" i="6"/>
  <c r="AZ5167" i="6"/>
  <c r="AY5167" i="6"/>
  <c r="AZ5166" i="6"/>
  <c r="AY5166" i="6"/>
  <c r="AZ5165" i="6"/>
  <c r="AY5165" i="6"/>
  <c r="AZ5164" i="6"/>
  <c r="AY5164" i="6"/>
  <c r="AZ5163" i="6"/>
  <c r="AY5163" i="6"/>
  <c r="AZ5162" i="6"/>
  <c r="AY5162" i="6"/>
  <c r="AZ5161" i="6"/>
  <c r="AY5161" i="6"/>
  <c r="AZ5160" i="6"/>
  <c r="AY5160" i="6"/>
  <c r="AZ5159" i="6"/>
  <c r="AY5159" i="6"/>
  <c r="AZ5158" i="6"/>
  <c r="AY5158" i="6"/>
  <c r="AZ5157" i="6"/>
  <c r="AY5157" i="6"/>
  <c r="AZ5156" i="6"/>
  <c r="AY5156" i="6"/>
  <c r="AZ5155" i="6"/>
  <c r="AY5155" i="6"/>
  <c r="AZ5154" i="6"/>
  <c r="AY5154" i="6"/>
  <c r="AZ5153" i="6"/>
  <c r="AY5153" i="6"/>
  <c r="AZ5152" i="6"/>
  <c r="AY5152" i="6"/>
  <c r="AZ5151" i="6"/>
  <c r="AY5151" i="6"/>
  <c r="AZ5150" i="6"/>
  <c r="AY5150" i="6"/>
  <c r="AZ5149" i="6"/>
  <c r="AY5149" i="6"/>
  <c r="AZ5148" i="6"/>
  <c r="AY5148" i="6"/>
  <c r="AZ5147" i="6"/>
  <c r="AY5147" i="6"/>
  <c r="AZ5146" i="6"/>
  <c r="AY5146" i="6"/>
  <c r="AZ5145" i="6"/>
  <c r="AY5145" i="6"/>
  <c r="AZ5144" i="6"/>
  <c r="AY5144" i="6"/>
  <c r="AZ5143" i="6"/>
  <c r="AY5143" i="6"/>
  <c r="AZ5142" i="6"/>
  <c r="AY5142" i="6"/>
  <c r="AZ5141" i="6"/>
  <c r="AY5141" i="6"/>
  <c r="AZ5140" i="6"/>
  <c r="AY5140" i="6"/>
  <c r="AZ5139" i="6"/>
  <c r="AY5139" i="6"/>
  <c r="AZ5138" i="6"/>
  <c r="AY5138" i="6"/>
  <c r="AZ5137" i="6"/>
  <c r="AY5137" i="6"/>
  <c r="AZ5136" i="6"/>
  <c r="AY5136" i="6"/>
  <c r="AZ5135" i="6"/>
  <c r="AY5135" i="6"/>
  <c r="AZ5134" i="6"/>
  <c r="AY5134" i="6"/>
  <c r="AZ5133" i="6"/>
  <c r="AY5133" i="6"/>
  <c r="AZ5132" i="6"/>
  <c r="AY5132" i="6"/>
  <c r="AZ5131" i="6"/>
  <c r="AY5131" i="6"/>
  <c r="AZ5130" i="6"/>
  <c r="AY5130" i="6"/>
  <c r="AZ5129" i="6"/>
  <c r="AY5129" i="6"/>
  <c r="AZ5128" i="6"/>
  <c r="AY5128" i="6"/>
  <c r="AZ5127" i="6"/>
  <c r="AY5127" i="6"/>
  <c r="AZ5126" i="6"/>
  <c r="AY5126" i="6"/>
  <c r="AZ5125" i="6"/>
  <c r="AY5125" i="6"/>
  <c r="AZ5124" i="6"/>
  <c r="AY5124" i="6"/>
  <c r="AZ5123" i="6"/>
  <c r="AY5123" i="6"/>
  <c r="AZ5122" i="6"/>
  <c r="AY5122" i="6"/>
  <c r="AZ5121" i="6"/>
  <c r="AY5121" i="6"/>
  <c r="AZ5120" i="6"/>
  <c r="AY5120" i="6"/>
  <c r="AZ5119" i="6"/>
  <c r="AY5119" i="6"/>
  <c r="AZ5118" i="6"/>
  <c r="AY5118" i="6"/>
  <c r="AZ5117" i="6"/>
  <c r="AY5117" i="6"/>
  <c r="AZ5116" i="6"/>
  <c r="AY5116" i="6"/>
  <c r="AZ5115" i="6"/>
  <c r="AY5115" i="6"/>
  <c r="AZ5114" i="6"/>
  <c r="AY5114" i="6"/>
  <c r="AZ5113" i="6"/>
  <c r="AY5113" i="6"/>
  <c r="AZ5112" i="6"/>
  <c r="AY5112" i="6"/>
  <c r="AZ5111" i="6"/>
  <c r="AY5111" i="6"/>
  <c r="AZ5110" i="6"/>
  <c r="AY5110" i="6"/>
  <c r="AZ5109" i="6"/>
  <c r="AY5109" i="6"/>
  <c r="AZ5108" i="6"/>
  <c r="AY5108" i="6"/>
  <c r="AZ5107" i="6"/>
  <c r="AY5107" i="6"/>
  <c r="AZ5106" i="6"/>
  <c r="AY5106" i="6"/>
  <c r="AZ5105" i="6"/>
  <c r="AY5105" i="6"/>
  <c r="AZ5104" i="6"/>
  <c r="AY5104" i="6"/>
  <c r="AZ5103" i="6"/>
  <c r="AY5103" i="6"/>
  <c r="AZ5102" i="6"/>
  <c r="AY5102" i="6"/>
  <c r="AZ5101" i="6"/>
  <c r="AY5101" i="6"/>
  <c r="AZ5100" i="6"/>
  <c r="AY5100" i="6"/>
  <c r="AZ5099" i="6"/>
  <c r="AY5099" i="6"/>
  <c r="AZ5098" i="6"/>
  <c r="AY5098" i="6"/>
  <c r="AZ5097" i="6"/>
  <c r="AY5097" i="6"/>
  <c r="AZ5096" i="6"/>
  <c r="AY5096" i="6"/>
  <c r="AZ5095" i="6"/>
  <c r="AY5095" i="6"/>
  <c r="AZ5094" i="6"/>
  <c r="AY5094" i="6"/>
  <c r="AZ5093" i="6"/>
  <c r="AY5093" i="6"/>
  <c r="AZ5092" i="6"/>
  <c r="AY5092" i="6"/>
  <c r="AZ5091" i="6"/>
  <c r="AY5091" i="6"/>
  <c r="AZ5090" i="6"/>
  <c r="AY5090" i="6"/>
  <c r="AZ5089" i="6"/>
  <c r="AY5089" i="6"/>
  <c r="AZ5088" i="6"/>
  <c r="AY5088" i="6"/>
  <c r="AZ5087" i="6"/>
  <c r="AY5087" i="6"/>
  <c r="AZ5086" i="6"/>
  <c r="AY5086" i="6"/>
  <c r="AZ5085" i="6"/>
  <c r="AY5085" i="6"/>
  <c r="AZ5084" i="6"/>
  <c r="AY5084" i="6"/>
  <c r="AZ5083" i="6"/>
  <c r="AY5083" i="6"/>
  <c r="AZ5082" i="6"/>
  <c r="AY5082" i="6"/>
  <c r="AZ5081" i="6"/>
  <c r="AY5081" i="6"/>
  <c r="AZ5080" i="6"/>
  <c r="AY5080" i="6"/>
  <c r="AZ5079" i="6"/>
  <c r="AY5079" i="6"/>
  <c r="AZ5078" i="6"/>
  <c r="AY5078" i="6"/>
  <c r="AZ5077" i="6"/>
  <c r="AY5077" i="6"/>
  <c r="AZ5076" i="6"/>
  <c r="AY5076" i="6"/>
  <c r="AZ5075" i="6"/>
  <c r="AY5075" i="6"/>
  <c r="AZ5074" i="6"/>
  <c r="AY5074" i="6"/>
  <c r="AZ5073" i="6"/>
  <c r="AY5073" i="6"/>
  <c r="AZ5072" i="6"/>
  <c r="AY5072" i="6"/>
  <c r="AZ5071" i="6"/>
  <c r="AY5071" i="6"/>
  <c r="AZ5070" i="6"/>
  <c r="AY5070" i="6"/>
  <c r="AZ5069" i="6"/>
  <c r="AY5069" i="6"/>
  <c r="AZ5068" i="6"/>
  <c r="AY5068" i="6"/>
  <c r="AZ5067" i="6"/>
  <c r="AY5067" i="6"/>
  <c r="AZ5066" i="6"/>
  <c r="AY5066" i="6"/>
  <c r="AZ5065" i="6"/>
  <c r="AY5065" i="6"/>
  <c r="AZ5064" i="6"/>
  <c r="AY5064" i="6"/>
  <c r="AZ5063" i="6"/>
  <c r="AY5063" i="6"/>
  <c r="AZ5062" i="6"/>
  <c r="AY5062" i="6"/>
  <c r="AZ5061" i="6"/>
  <c r="AY5061" i="6"/>
  <c r="AZ5060" i="6"/>
  <c r="AY5060" i="6"/>
  <c r="AZ5059" i="6"/>
  <c r="AY5059" i="6"/>
  <c r="AZ5058" i="6"/>
  <c r="AY5058" i="6"/>
  <c r="AZ5057" i="6"/>
  <c r="AY5057" i="6"/>
  <c r="AZ5056" i="6"/>
  <c r="AY5056" i="6"/>
  <c r="AZ5055" i="6"/>
  <c r="AY5055" i="6"/>
  <c r="AZ5054" i="6"/>
  <c r="AY5054" i="6"/>
  <c r="AZ5053" i="6"/>
  <c r="AY5053" i="6"/>
  <c r="AZ5052" i="6"/>
  <c r="AY5052" i="6"/>
  <c r="AZ5051" i="6"/>
  <c r="AY5051" i="6"/>
  <c r="AZ5050" i="6"/>
  <c r="AY5050" i="6"/>
  <c r="AZ5049" i="6"/>
  <c r="AY5049" i="6"/>
  <c r="AZ5048" i="6"/>
  <c r="AY5048" i="6"/>
  <c r="AZ5047" i="6"/>
  <c r="AY5047" i="6"/>
  <c r="AZ5046" i="6"/>
  <c r="AY5046" i="6"/>
  <c r="AZ5045" i="6"/>
  <c r="AY5045" i="6"/>
  <c r="AZ5044" i="6"/>
  <c r="AY5044" i="6"/>
  <c r="AZ5043" i="6"/>
  <c r="AY5043" i="6"/>
  <c r="AZ5042" i="6"/>
  <c r="AY5042" i="6"/>
  <c r="AZ5041" i="6"/>
  <c r="AY5041" i="6"/>
  <c r="AZ5040" i="6"/>
  <c r="AY5040" i="6"/>
  <c r="AZ5039" i="6"/>
  <c r="AY5039" i="6"/>
  <c r="AZ5038" i="6"/>
  <c r="AY5038" i="6"/>
  <c r="AZ5037" i="6"/>
  <c r="AY5037" i="6"/>
  <c r="AZ5036" i="6"/>
  <c r="AY5036" i="6"/>
  <c r="AZ5035" i="6"/>
  <c r="AY5035" i="6"/>
  <c r="AZ5034" i="6"/>
  <c r="AY5034" i="6"/>
  <c r="AZ5033" i="6"/>
  <c r="AY5033" i="6"/>
  <c r="AZ5032" i="6"/>
  <c r="AY5032" i="6"/>
  <c r="AZ5031" i="6"/>
  <c r="AY5031" i="6"/>
  <c r="AZ5030" i="6"/>
  <c r="AY5030" i="6"/>
  <c r="AZ5029" i="6"/>
  <c r="AY5029" i="6"/>
  <c r="AZ5028" i="6"/>
  <c r="AY5028" i="6"/>
  <c r="AZ5027" i="6"/>
  <c r="AY5027" i="6"/>
  <c r="AZ5026" i="6"/>
  <c r="AY5026" i="6"/>
  <c r="AZ5025" i="6"/>
  <c r="AY5025" i="6"/>
  <c r="AZ5024" i="6"/>
  <c r="AY5024" i="6"/>
  <c r="AZ5023" i="6"/>
  <c r="AY5023" i="6"/>
  <c r="AZ5022" i="6"/>
  <c r="AY5022" i="6"/>
  <c r="AZ5021" i="6"/>
  <c r="AY5021" i="6"/>
  <c r="AZ5020" i="6"/>
  <c r="AY5020" i="6"/>
  <c r="AZ5019" i="6"/>
  <c r="AY5019" i="6"/>
  <c r="AZ5018" i="6"/>
  <c r="AY5018" i="6"/>
  <c r="AZ5017" i="6"/>
  <c r="AY5017" i="6"/>
  <c r="AZ5016" i="6"/>
  <c r="AY5016" i="6"/>
  <c r="AZ5015" i="6"/>
  <c r="AY5015" i="6"/>
  <c r="AZ5014" i="6"/>
  <c r="AY5014" i="6"/>
  <c r="AZ5013" i="6"/>
  <c r="AY5013" i="6"/>
  <c r="AZ5012" i="6"/>
  <c r="AY5012" i="6"/>
  <c r="AZ5011" i="6"/>
  <c r="AY5011" i="6"/>
  <c r="AZ5010" i="6"/>
  <c r="AY5010" i="6"/>
  <c r="AZ5009" i="6"/>
  <c r="AY5009" i="6"/>
  <c r="AZ5008" i="6"/>
  <c r="AY5008" i="6"/>
  <c r="AZ5007" i="6"/>
  <c r="AY5007" i="6"/>
  <c r="AZ5006" i="6"/>
  <c r="AY5006" i="6"/>
  <c r="AZ5005" i="6"/>
  <c r="AY5005" i="6"/>
  <c r="AZ5004" i="6"/>
  <c r="AY5004" i="6"/>
  <c r="AZ5003" i="6"/>
  <c r="AY5003" i="6"/>
  <c r="AZ5002" i="6"/>
  <c r="AY5002" i="6"/>
  <c r="AZ5001" i="6"/>
  <c r="AY5001" i="6"/>
  <c r="AZ5000" i="6"/>
  <c r="AY5000" i="6"/>
  <c r="AZ4999" i="6"/>
  <c r="AY4999" i="6"/>
  <c r="AZ4998" i="6"/>
  <c r="AY4998" i="6"/>
  <c r="AZ4997" i="6"/>
  <c r="AY4997" i="6"/>
  <c r="AZ4996" i="6"/>
  <c r="AY4996" i="6"/>
  <c r="AZ4995" i="6"/>
  <c r="AY4995" i="6"/>
  <c r="AZ4994" i="6"/>
  <c r="AY4994" i="6"/>
  <c r="AZ4993" i="6"/>
  <c r="AY4993" i="6"/>
  <c r="AZ4992" i="6"/>
  <c r="AY4992" i="6"/>
  <c r="AZ4991" i="6"/>
  <c r="AY4991" i="6"/>
  <c r="AZ4990" i="6"/>
  <c r="AY4990" i="6"/>
  <c r="AZ4989" i="6"/>
  <c r="AY4989" i="6"/>
  <c r="AZ4988" i="6"/>
  <c r="AY4988" i="6"/>
  <c r="AZ4987" i="6"/>
  <c r="AY4987" i="6"/>
  <c r="AZ4986" i="6"/>
  <c r="AY4986" i="6"/>
  <c r="AZ4985" i="6"/>
  <c r="AY4985" i="6"/>
  <c r="AZ4984" i="6"/>
  <c r="AY4984" i="6"/>
  <c r="AZ4983" i="6"/>
  <c r="AY4983" i="6"/>
  <c r="AZ4982" i="6"/>
  <c r="AY4982" i="6"/>
  <c r="AZ4981" i="6"/>
  <c r="AY4981" i="6"/>
  <c r="AZ4980" i="6"/>
  <c r="AY4980" i="6"/>
  <c r="AZ4979" i="6"/>
  <c r="AY4979" i="6"/>
  <c r="AZ4978" i="6"/>
  <c r="AY4978" i="6"/>
  <c r="AZ4977" i="6"/>
  <c r="AY4977" i="6"/>
  <c r="AZ4976" i="6"/>
  <c r="AY4976" i="6"/>
  <c r="AZ4975" i="6"/>
  <c r="AY4975" i="6"/>
  <c r="AZ4974" i="6"/>
  <c r="AY4974" i="6"/>
  <c r="AZ4973" i="6"/>
  <c r="AY4973" i="6"/>
  <c r="AZ4972" i="6"/>
  <c r="AY4972" i="6"/>
  <c r="AZ4971" i="6"/>
  <c r="AY4971" i="6"/>
  <c r="AZ4970" i="6"/>
  <c r="AY4970" i="6"/>
  <c r="AZ4969" i="6"/>
  <c r="AY4969" i="6"/>
  <c r="AZ4968" i="6"/>
  <c r="AY4968" i="6"/>
  <c r="AZ4967" i="6"/>
  <c r="AY4967" i="6"/>
  <c r="AZ4966" i="6"/>
  <c r="AY4966" i="6"/>
  <c r="AZ4965" i="6"/>
  <c r="AY4965" i="6"/>
  <c r="AZ4964" i="6"/>
  <c r="AY4964" i="6"/>
  <c r="AZ4963" i="6"/>
  <c r="AY4963" i="6"/>
  <c r="AZ4962" i="6"/>
  <c r="AY4962" i="6"/>
  <c r="AZ4961" i="6"/>
  <c r="AY4961" i="6"/>
  <c r="AZ4960" i="6"/>
  <c r="AY4960" i="6"/>
  <c r="AZ4959" i="6"/>
  <c r="AY4959" i="6"/>
  <c r="AZ4958" i="6"/>
  <c r="AY4958" i="6"/>
  <c r="AZ4957" i="6"/>
  <c r="AY4957" i="6"/>
  <c r="AZ4956" i="6"/>
  <c r="AY4956" i="6"/>
  <c r="AZ4955" i="6"/>
  <c r="AY4955" i="6"/>
  <c r="AZ4954" i="6"/>
  <c r="AY4954" i="6"/>
  <c r="AZ4953" i="6"/>
  <c r="AY4953" i="6"/>
  <c r="AZ4952" i="6"/>
  <c r="AY4952" i="6"/>
  <c r="AZ4951" i="6"/>
  <c r="AY4951" i="6"/>
  <c r="AZ4950" i="6"/>
  <c r="AY4950" i="6"/>
  <c r="AZ4949" i="6"/>
  <c r="AY4949" i="6"/>
  <c r="AZ4948" i="6"/>
  <c r="AY4948" i="6"/>
  <c r="AZ4947" i="6"/>
  <c r="AY4947" i="6"/>
  <c r="AZ4946" i="6"/>
  <c r="AY4946" i="6"/>
  <c r="AZ4945" i="6"/>
  <c r="AY4945" i="6"/>
  <c r="AZ4944" i="6"/>
  <c r="AY4944" i="6"/>
  <c r="AZ4943" i="6"/>
  <c r="AY4943" i="6"/>
  <c r="AZ4942" i="6"/>
  <c r="AY4942" i="6"/>
  <c r="AZ4941" i="6"/>
  <c r="AY4941" i="6"/>
  <c r="AZ4940" i="6"/>
  <c r="AY4940" i="6"/>
  <c r="AZ4939" i="6"/>
  <c r="AY4939" i="6"/>
  <c r="AZ4938" i="6"/>
  <c r="AY4938" i="6"/>
  <c r="AZ4937" i="6"/>
  <c r="AY4937" i="6"/>
  <c r="AZ4936" i="6"/>
  <c r="AY4936" i="6"/>
  <c r="AZ4935" i="6"/>
  <c r="AY4935" i="6"/>
  <c r="AZ4934" i="6"/>
  <c r="AY4934" i="6"/>
  <c r="AZ4933" i="6"/>
  <c r="AY4933" i="6"/>
  <c r="AZ4932" i="6"/>
  <c r="AY4932" i="6"/>
  <c r="AZ4931" i="6"/>
  <c r="AY4931" i="6"/>
  <c r="AZ4930" i="6"/>
  <c r="AY4930" i="6"/>
  <c r="AZ4929" i="6"/>
  <c r="AY4929" i="6"/>
  <c r="AZ4928" i="6"/>
  <c r="AY4928" i="6"/>
  <c r="AZ4927" i="6"/>
  <c r="AY4927" i="6"/>
  <c r="AZ4926" i="6"/>
  <c r="AY4926" i="6"/>
  <c r="AZ4925" i="6"/>
  <c r="AY4925" i="6"/>
  <c r="AZ4924" i="6"/>
  <c r="AY4924" i="6"/>
  <c r="AZ4923" i="6"/>
  <c r="AY4923" i="6"/>
  <c r="AZ4922" i="6"/>
  <c r="AY4922" i="6"/>
  <c r="AZ4921" i="6"/>
  <c r="AY4921" i="6"/>
  <c r="AZ4920" i="6"/>
  <c r="AY4920" i="6"/>
  <c r="AZ4919" i="6"/>
  <c r="AY4919" i="6"/>
  <c r="AZ4918" i="6"/>
  <c r="AY4918" i="6"/>
  <c r="AZ4917" i="6"/>
  <c r="AY4917" i="6"/>
  <c r="AZ4916" i="6"/>
  <c r="AY4916" i="6"/>
  <c r="AZ4915" i="6"/>
  <c r="AY4915" i="6"/>
  <c r="AZ4914" i="6"/>
  <c r="AY4914" i="6"/>
  <c r="AZ4913" i="6"/>
  <c r="AY4913" i="6"/>
  <c r="AZ4912" i="6"/>
  <c r="AY4912" i="6"/>
  <c r="AZ4911" i="6"/>
  <c r="AY4911" i="6"/>
  <c r="AZ4910" i="6"/>
  <c r="AY4910" i="6"/>
  <c r="AZ4909" i="6"/>
  <c r="AY4909" i="6"/>
  <c r="AZ4908" i="6"/>
  <c r="AY4908" i="6"/>
  <c r="AZ4907" i="6"/>
  <c r="AY4907" i="6"/>
  <c r="AZ4906" i="6"/>
  <c r="AY4906" i="6"/>
  <c r="AZ4905" i="6"/>
  <c r="AY4905" i="6"/>
  <c r="AZ4904" i="6"/>
  <c r="AY4904" i="6"/>
  <c r="AZ4903" i="6"/>
  <c r="AY4903" i="6"/>
  <c r="AZ4902" i="6"/>
  <c r="AY4902" i="6"/>
  <c r="AZ4901" i="6"/>
  <c r="AY4901" i="6"/>
  <c r="AZ4900" i="6"/>
  <c r="AY4900" i="6"/>
  <c r="AZ4899" i="6"/>
  <c r="AY4899" i="6"/>
  <c r="AZ4898" i="6"/>
  <c r="AY4898" i="6"/>
  <c r="AZ4897" i="6"/>
  <c r="AY4897" i="6"/>
  <c r="AZ4896" i="6"/>
  <c r="AY4896" i="6"/>
  <c r="AZ4895" i="6"/>
  <c r="AY4895" i="6"/>
  <c r="AZ4894" i="6"/>
  <c r="AY4894" i="6"/>
  <c r="AZ4893" i="6"/>
  <c r="AY4893" i="6"/>
  <c r="AZ4892" i="6"/>
  <c r="AY4892" i="6"/>
  <c r="AZ4891" i="6"/>
  <c r="AY4891" i="6"/>
  <c r="AZ4890" i="6"/>
  <c r="AY4890" i="6"/>
  <c r="AZ4889" i="6"/>
  <c r="AY4889" i="6"/>
  <c r="AZ4888" i="6"/>
  <c r="AY4888" i="6"/>
  <c r="AZ4887" i="6"/>
  <c r="AY4887" i="6"/>
  <c r="AZ4886" i="6"/>
  <c r="AY4886" i="6"/>
  <c r="AZ4885" i="6"/>
  <c r="AY4885" i="6"/>
  <c r="AZ4884" i="6"/>
  <c r="AY4884" i="6"/>
  <c r="AZ4883" i="6"/>
  <c r="AY4883" i="6"/>
  <c r="AZ4882" i="6"/>
  <c r="AY4882" i="6"/>
  <c r="AZ4881" i="6"/>
  <c r="AY4881" i="6"/>
  <c r="AZ4880" i="6"/>
  <c r="AY4880" i="6"/>
  <c r="AZ4879" i="6"/>
  <c r="AY4879" i="6"/>
  <c r="AZ4878" i="6"/>
  <c r="AY4878" i="6"/>
  <c r="AZ4877" i="6"/>
  <c r="AY4877" i="6"/>
  <c r="AZ4876" i="6"/>
  <c r="AY4876" i="6"/>
  <c r="AZ4875" i="6"/>
  <c r="AY4875" i="6"/>
  <c r="AZ4874" i="6"/>
  <c r="AY4874" i="6"/>
  <c r="AZ4873" i="6"/>
  <c r="AY4873" i="6"/>
  <c r="AZ4872" i="6"/>
  <c r="AY4872" i="6"/>
  <c r="AZ4871" i="6"/>
  <c r="AY4871" i="6"/>
  <c r="AZ4870" i="6"/>
  <c r="AY4870" i="6"/>
  <c r="AZ4869" i="6"/>
  <c r="AY4869" i="6"/>
  <c r="AZ4868" i="6"/>
  <c r="AY4868" i="6"/>
  <c r="AZ4867" i="6"/>
  <c r="AY4867" i="6"/>
  <c r="AZ4866" i="6"/>
  <c r="AY4866" i="6"/>
  <c r="AZ4865" i="6"/>
  <c r="AY4865" i="6"/>
  <c r="AZ4864" i="6"/>
  <c r="AY4864" i="6"/>
  <c r="AZ4863" i="6"/>
  <c r="AY4863" i="6"/>
  <c r="AZ4862" i="6"/>
  <c r="AY4862" i="6"/>
  <c r="AZ4861" i="6"/>
  <c r="AY4861" i="6"/>
  <c r="AZ4860" i="6"/>
  <c r="AY4860" i="6"/>
  <c r="AZ4859" i="6"/>
  <c r="AY4859" i="6"/>
  <c r="AZ4858" i="6"/>
  <c r="AY4858" i="6"/>
  <c r="AZ4857" i="6"/>
  <c r="AY4857" i="6"/>
  <c r="AZ4856" i="6"/>
  <c r="AY4856" i="6"/>
  <c r="AZ4855" i="6"/>
  <c r="AY4855" i="6"/>
  <c r="AZ4854" i="6"/>
  <c r="AY4854" i="6"/>
  <c r="AZ4853" i="6"/>
  <c r="AY4853" i="6"/>
  <c r="AZ4852" i="6"/>
  <c r="AY4852" i="6"/>
  <c r="AZ4851" i="6"/>
  <c r="AY4851" i="6"/>
  <c r="AZ4850" i="6"/>
  <c r="AY4850" i="6"/>
  <c r="AZ4849" i="6"/>
  <c r="AY4849" i="6"/>
  <c r="AZ4848" i="6"/>
  <c r="AY4848" i="6"/>
  <c r="AZ4847" i="6"/>
  <c r="AY4847" i="6"/>
  <c r="AZ4846" i="6"/>
  <c r="AY4846" i="6"/>
  <c r="AZ4845" i="6"/>
  <c r="AY4845" i="6"/>
  <c r="AZ4844" i="6"/>
  <c r="AY4844" i="6"/>
  <c r="AZ4843" i="6"/>
  <c r="AY4843" i="6"/>
  <c r="AZ4842" i="6"/>
  <c r="AY4842" i="6"/>
  <c r="AZ4841" i="6"/>
  <c r="AY4841" i="6"/>
  <c r="AZ4840" i="6"/>
  <c r="AY4840" i="6"/>
  <c r="AZ4839" i="6"/>
  <c r="AY4839" i="6"/>
  <c r="AZ4838" i="6"/>
  <c r="AY4838" i="6"/>
  <c r="AZ4837" i="6"/>
  <c r="AY4837" i="6"/>
  <c r="AZ4836" i="6"/>
  <c r="AY4836" i="6"/>
  <c r="AZ4835" i="6"/>
  <c r="AY4835" i="6"/>
  <c r="AZ4834" i="6"/>
  <c r="AY4834" i="6"/>
  <c r="AZ4833" i="6"/>
  <c r="AY4833" i="6"/>
  <c r="AZ4832" i="6"/>
  <c r="AY4832" i="6"/>
  <c r="AZ4831" i="6"/>
  <c r="AY4831" i="6"/>
  <c r="AZ4830" i="6"/>
  <c r="AY4830" i="6"/>
  <c r="AZ4829" i="6"/>
  <c r="AY4829" i="6"/>
  <c r="AZ4828" i="6"/>
  <c r="AY4828" i="6"/>
  <c r="AZ4827" i="6"/>
  <c r="AY4827" i="6"/>
  <c r="AZ4826" i="6"/>
  <c r="AY4826" i="6"/>
  <c r="AZ4825" i="6"/>
  <c r="AY4825" i="6"/>
  <c r="AZ4824" i="6"/>
  <c r="AY4824" i="6"/>
  <c r="AZ4823" i="6"/>
  <c r="AY4823" i="6"/>
  <c r="AZ4822" i="6"/>
  <c r="AY4822" i="6"/>
  <c r="AZ4821" i="6"/>
  <c r="AY4821" i="6"/>
  <c r="AZ4820" i="6"/>
  <c r="AY4820" i="6"/>
  <c r="AZ4819" i="6"/>
  <c r="AY4819" i="6"/>
  <c r="AZ4818" i="6"/>
  <c r="AY4818" i="6"/>
  <c r="AZ4817" i="6"/>
  <c r="AY4817" i="6"/>
  <c r="AZ4816" i="6"/>
  <c r="AY4816" i="6"/>
  <c r="AZ4815" i="6"/>
  <c r="AY4815" i="6"/>
  <c r="AZ4814" i="6"/>
  <c r="AY4814" i="6"/>
  <c r="AZ4813" i="6"/>
  <c r="AY4813" i="6"/>
  <c r="AZ4812" i="6"/>
  <c r="AY4812" i="6"/>
  <c r="AZ4811" i="6"/>
  <c r="AY4811" i="6"/>
  <c r="AZ4810" i="6"/>
  <c r="AY4810" i="6"/>
  <c r="AZ4809" i="6"/>
  <c r="AY4809" i="6"/>
  <c r="AZ4808" i="6"/>
  <c r="AY4808" i="6"/>
  <c r="AZ4807" i="6"/>
  <c r="AY4807" i="6"/>
  <c r="AZ4806" i="6"/>
  <c r="AY4806" i="6"/>
  <c r="AZ4805" i="6"/>
  <c r="AY4805" i="6"/>
  <c r="AZ4804" i="6"/>
  <c r="AY4804" i="6"/>
  <c r="AZ4803" i="6"/>
  <c r="AY4803" i="6"/>
  <c r="AZ4802" i="6"/>
  <c r="AY4802" i="6"/>
  <c r="AZ4801" i="6"/>
  <c r="AY4801" i="6"/>
  <c r="AZ4800" i="6"/>
  <c r="AY4800" i="6"/>
  <c r="AZ4799" i="6"/>
  <c r="AY4799" i="6"/>
  <c r="AZ4798" i="6"/>
  <c r="AY4798" i="6"/>
  <c r="AZ4797" i="6"/>
  <c r="AY4797" i="6"/>
  <c r="AZ4796" i="6"/>
  <c r="AY4796" i="6"/>
  <c r="AZ4795" i="6"/>
  <c r="AY4795" i="6"/>
  <c r="AZ4794" i="6"/>
  <c r="AY4794" i="6"/>
  <c r="AZ4793" i="6"/>
  <c r="AY4793" i="6"/>
  <c r="AZ4792" i="6"/>
  <c r="AY4792" i="6"/>
  <c r="AZ4791" i="6"/>
  <c r="AY4791" i="6"/>
  <c r="AZ4790" i="6"/>
  <c r="AY4790" i="6"/>
  <c r="AZ4789" i="6"/>
  <c r="AY4789" i="6"/>
  <c r="AZ4788" i="6"/>
  <c r="AY4788" i="6"/>
  <c r="AZ4787" i="6"/>
  <c r="AY4787" i="6"/>
  <c r="AZ4786" i="6"/>
  <c r="AY4786" i="6"/>
  <c r="AZ4785" i="6"/>
  <c r="AY4785" i="6"/>
  <c r="AZ4784" i="6"/>
  <c r="AY4784" i="6"/>
  <c r="AZ4783" i="6"/>
  <c r="AY4783" i="6"/>
  <c r="AZ4782" i="6"/>
  <c r="AY4782" i="6"/>
  <c r="AZ4781" i="6"/>
  <c r="AY4781" i="6"/>
  <c r="AZ4780" i="6"/>
  <c r="AY4780" i="6"/>
  <c r="AZ4779" i="6"/>
  <c r="AY4779" i="6"/>
  <c r="AZ4778" i="6"/>
  <c r="AY4778" i="6"/>
  <c r="AZ4777" i="6"/>
  <c r="AY4777" i="6"/>
  <c r="AZ4776" i="6"/>
  <c r="AY4776" i="6"/>
  <c r="AZ4775" i="6"/>
  <c r="AY4775" i="6"/>
  <c r="AZ4774" i="6"/>
  <c r="AY4774" i="6"/>
  <c r="AZ4773" i="6"/>
  <c r="AY4773" i="6"/>
  <c r="AZ4772" i="6"/>
  <c r="AY4772" i="6"/>
  <c r="AZ4771" i="6"/>
  <c r="AY4771" i="6"/>
  <c r="AZ4770" i="6"/>
  <c r="AY4770" i="6"/>
  <c r="AZ4769" i="6"/>
  <c r="AY4769" i="6"/>
  <c r="AZ4768" i="6"/>
  <c r="AY4768" i="6"/>
  <c r="AZ4767" i="6"/>
  <c r="AY4767" i="6"/>
  <c r="AZ4766" i="6"/>
  <c r="AY4766" i="6"/>
  <c r="AZ4765" i="6"/>
  <c r="AY4765" i="6"/>
  <c r="AZ4764" i="6"/>
  <c r="AY4764" i="6"/>
  <c r="AZ4763" i="6"/>
  <c r="AY4763" i="6"/>
  <c r="AZ4762" i="6"/>
  <c r="AY4762" i="6"/>
  <c r="AZ4761" i="6"/>
  <c r="AY4761" i="6"/>
  <c r="AZ4760" i="6"/>
  <c r="AY4760" i="6"/>
  <c r="AZ4759" i="6"/>
  <c r="AY4759" i="6"/>
  <c r="AZ4758" i="6"/>
  <c r="AY4758" i="6"/>
  <c r="AZ4757" i="6"/>
  <c r="AY4757" i="6"/>
  <c r="AZ4756" i="6"/>
  <c r="AY4756" i="6"/>
  <c r="AZ4755" i="6"/>
  <c r="AY4755" i="6"/>
  <c r="AZ4754" i="6"/>
  <c r="AY4754" i="6"/>
  <c r="AZ4753" i="6"/>
  <c r="AY4753" i="6"/>
  <c r="AZ4752" i="6"/>
  <c r="AY4752" i="6"/>
  <c r="AZ4751" i="6"/>
  <c r="AY4751" i="6"/>
  <c r="AZ4750" i="6"/>
  <c r="AY4750" i="6"/>
  <c r="AZ4749" i="6"/>
  <c r="AY4749" i="6"/>
  <c r="AZ4748" i="6"/>
  <c r="AY4748" i="6"/>
  <c r="AZ4747" i="6"/>
  <c r="AY4747" i="6"/>
  <c r="AZ4746" i="6"/>
  <c r="AY4746" i="6"/>
  <c r="AZ4745" i="6"/>
  <c r="AY4745" i="6"/>
  <c r="AZ4744" i="6"/>
  <c r="AY4744" i="6"/>
  <c r="AZ4743" i="6"/>
  <c r="AY4743" i="6"/>
  <c r="AZ4742" i="6"/>
  <c r="AY4742" i="6"/>
  <c r="AZ4741" i="6"/>
  <c r="AY4741" i="6"/>
  <c r="AZ4740" i="6"/>
  <c r="AY4740" i="6"/>
  <c r="AZ4739" i="6"/>
  <c r="AY4739" i="6"/>
  <c r="AZ4738" i="6"/>
  <c r="AY4738" i="6"/>
  <c r="AZ4737" i="6"/>
  <c r="AY4737" i="6"/>
  <c r="AZ4736" i="6"/>
  <c r="AY4736" i="6"/>
  <c r="AZ4735" i="6"/>
  <c r="AY4735" i="6"/>
  <c r="AZ4734" i="6"/>
  <c r="AY4734" i="6"/>
  <c r="AZ4733" i="6"/>
  <c r="AY4733" i="6"/>
  <c r="AZ4732" i="6"/>
  <c r="AY4732" i="6"/>
  <c r="AZ4731" i="6"/>
  <c r="AY4731" i="6"/>
  <c r="AZ4730" i="6"/>
  <c r="AY4730" i="6"/>
  <c r="AZ4729" i="6"/>
  <c r="AY4729" i="6"/>
  <c r="AZ4728" i="6"/>
  <c r="AY4728" i="6"/>
  <c r="AZ4727" i="6"/>
  <c r="AY4727" i="6"/>
  <c r="AZ4726" i="6"/>
  <c r="AY4726" i="6"/>
  <c r="AZ4725" i="6"/>
  <c r="AY4725" i="6"/>
  <c r="AZ4724" i="6"/>
  <c r="AY4724" i="6"/>
  <c r="AZ4723" i="6"/>
  <c r="AY4723" i="6"/>
  <c r="AZ4722" i="6"/>
  <c r="AY4722" i="6"/>
  <c r="AZ4721" i="6"/>
  <c r="AY4721" i="6"/>
  <c r="AZ4720" i="6"/>
  <c r="AY4720" i="6"/>
  <c r="AZ4719" i="6"/>
  <c r="AY4719" i="6"/>
  <c r="AZ4718" i="6"/>
  <c r="AY4718" i="6"/>
  <c r="AZ4717" i="6"/>
  <c r="AY4717" i="6"/>
  <c r="AZ4716" i="6"/>
  <c r="AY4716" i="6"/>
  <c r="AZ4715" i="6"/>
  <c r="AY4715" i="6"/>
  <c r="AZ4714" i="6"/>
  <c r="AY4714" i="6"/>
  <c r="AZ4713" i="6"/>
  <c r="AY4713" i="6"/>
  <c r="AZ4712" i="6"/>
  <c r="AY4712" i="6"/>
  <c r="AZ4711" i="6"/>
  <c r="AY4711" i="6"/>
  <c r="AZ4710" i="6"/>
  <c r="AY4710" i="6"/>
  <c r="AZ4709" i="6"/>
  <c r="AY4709" i="6"/>
  <c r="AZ4708" i="6"/>
  <c r="AY4708" i="6"/>
  <c r="AZ4707" i="6"/>
  <c r="AY4707" i="6"/>
  <c r="AZ4706" i="6"/>
  <c r="AY4706" i="6"/>
  <c r="AZ4705" i="6"/>
  <c r="AY4705" i="6"/>
  <c r="AZ4704" i="6"/>
  <c r="AY4704" i="6"/>
  <c r="AZ4703" i="6"/>
  <c r="AY4703" i="6"/>
  <c r="AZ4702" i="6"/>
  <c r="AY4702" i="6"/>
  <c r="AZ4701" i="6"/>
  <c r="AY4701" i="6"/>
  <c r="AZ4700" i="6"/>
  <c r="AY4700" i="6"/>
  <c r="AZ4699" i="6"/>
  <c r="AY4699" i="6"/>
  <c r="AZ4698" i="6"/>
  <c r="AY4698" i="6"/>
  <c r="AZ4697" i="6"/>
  <c r="AY4697" i="6"/>
  <c r="AZ4696" i="6"/>
  <c r="AY4696" i="6"/>
  <c r="AZ4695" i="6"/>
  <c r="AY4695" i="6"/>
  <c r="AZ4694" i="6"/>
  <c r="AY4694" i="6"/>
  <c r="AZ4693" i="6"/>
  <c r="AY4693" i="6"/>
  <c r="AZ4692" i="6"/>
  <c r="AY4692" i="6"/>
  <c r="AZ4691" i="6"/>
  <c r="AY4691" i="6"/>
  <c r="AZ4690" i="6"/>
  <c r="AY4690" i="6"/>
  <c r="AZ4689" i="6"/>
  <c r="AY4689" i="6"/>
  <c r="AZ4688" i="6"/>
  <c r="AY4688" i="6"/>
  <c r="AZ4687" i="6"/>
  <c r="AY4687" i="6"/>
  <c r="AZ4686" i="6"/>
  <c r="AY4686" i="6"/>
  <c r="AZ4685" i="6"/>
  <c r="AY4685" i="6"/>
  <c r="AZ4684" i="6"/>
  <c r="AY4684" i="6"/>
  <c r="AZ4683" i="6"/>
  <c r="AY4683" i="6"/>
  <c r="AZ4682" i="6"/>
  <c r="AY4682" i="6"/>
  <c r="AZ4681" i="6"/>
  <c r="AY4681" i="6"/>
  <c r="AZ4680" i="6"/>
  <c r="AY4680" i="6"/>
  <c r="AZ4679" i="6"/>
  <c r="AY4679" i="6"/>
  <c r="AZ4678" i="6"/>
  <c r="AY4678" i="6"/>
  <c r="AZ4677" i="6"/>
  <c r="AY4677" i="6"/>
  <c r="AZ4676" i="6"/>
  <c r="AY4676" i="6"/>
  <c r="AZ4675" i="6"/>
  <c r="AY4675" i="6"/>
  <c r="AZ4674" i="6"/>
  <c r="AY4674" i="6"/>
  <c r="AZ4673" i="6"/>
  <c r="AY4673" i="6"/>
  <c r="AZ4672" i="6"/>
  <c r="AY4672" i="6"/>
  <c r="AZ4671" i="6"/>
  <c r="AY4671" i="6"/>
  <c r="AZ4670" i="6"/>
  <c r="AY4670" i="6"/>
  <c r="AZ4669" i="6"/>
  <c r="AY4669" i="6"/>
  <c r="AZ4668" i="6"/>
  <c r="AY4668" i="6"/>
  <c r="AZ4667" i="6"/>
  <c r="AY4667" i="6"/>
  <c r="AZ4666" i="6"/>
  <c r="AY4666" i="6"/>
  <c r="AZ4665" i="6"/>
  <c r="AY4665" i="6"/>
  <c r="AZ4664" i="6"/>
  <c r="AY4664" i="6"/>
  <c r="AZ4663" i="6"/>
  <c r="AY4663" i="6"/>
  <c r="AZ4662" i="6"/>
  <c r="AY4662" i="6"/>
  <c r="AZ4661" i="6"/>
  <c r="AY4661" i="6"/>
  <c r="AZ4660" i="6"/>
  <c r="AY4660" i="6"/>
  <c r="AZ4659" i="6"/>
  <c r="AY4659" i="6"/>
  <c r="AZ4658" i="6"/>
  <c r="AY4658" i="6"/>
  <c r="AZ4657" i="6"/>
  <c r="AY4657" i="6"/>
  <c r="AZ4656" i="6"/>
  <c r="AY4656" i="6"/>
  <c r="AZ4655" i="6"/>
  <c r="AY4655" i="6"/>
  <c r="AZ4654" i="6"/>
  <c r="AY4654" i="6"/>
  <c r="AZ4653" i="6"/>
  <c r="AY4653" i="6"/>
  <c r="AZ4652" i="6"/>
  <c r="AY4652" i="6"/>
  <c r="AZ4651" i="6"/>
  <c r="AY4651" i="6"/>
  <c r="AZ4650" i="6"/>
  <c r="AY4650" i="6"/>
  <c r="AZ4649" i="6"/>
  <c r="AY4649" i="6"/>
  <c r="AZ4648" i="6"/>
  <c r="AY4648" i="6"/>
  <c r="AZ4647" i="6"/>
  <c r="AY4647" i="6"/>
  <c r="AZ4646" i="6"/>
  <c r="AY4646" i="6"/>
  <c r="AZ4645" i="6"/>
  <c r="AY4645" i="6"/>
  <c r="AZ4644" i="6"/>
  <c r="AY4644" i="6"/>
  <c r="AZ4643" i="6"/>
  <c r="AY4643" i="6"/>
  <c r="AZ4642" i="6"/>
  <c r="AY4642" i="6"/>
  <c r="AZ4641" i="6"/>
  <c r="AY4641" i="6"/>
  <c r="AZ4640" i="6"/>
  <c r="AY4640" i="6"/>
  <c r="AZ4639" i="6"/>
  <c r="AY4639" i="6"/>
  <c r="AZ4638" i="6"/>
  <c r="AY4638" i="6"/>
  <c r="AZ4637" i="6"/>
  <c r="AY4637" i="6"/>
  <c r="AZ4636" i="6"/>
  <c r="AY4636" i="6"/>
  <c r="AZ4635" i="6"/>
  <c r="AY4635" i="6"/>
  <c r="AZ4634" i="6"/>
  <c r="AY4634" i="6"/>
  <c r="AZ4633" i="6"/>
  <c r="AY4633" i="6"/>
  <c r="AZ4632" i="6"/>
  <c r="AY4632" i="6"/>
  <c r="AZ4631" i="6"/>
  <c r="AY4631" i="6"/>
  <c r="AZ4630" i="6"/>
  <c r="AY4630" i="6"/>
  <c r="AZ4629" i="6"/>
  <c r="AY4629" i="6"/>
  <c r="AZ4628" i="6"/>
  <c r="AY4628" i="6"/>
  <c r="AZ4627" i="6"/>
  <c r="AY4627" i="6"/>
  <c r="AZ4626" i="6"/>
  <c r="AY4626" i="6"/>
  <c r="AZ4625" i="6"/>
  <c r="AY4625" i="6"/>
  <c r="AZ4624" i="6"/>
  <c r="AY4624" i="6"/>
  <c r="AZ4623" i="6"/>
  <c r="AY4623" i="6"/>
  <c r="AZ4622" i="6"/>
  <c r="AY4622" i="6"/>
  <c r="AZ4621" i="6"/>
  <c r="AY4621" i="6"/>
  <c r="AZ4620" i="6"/>
  <c r="AY4620" i="6"/>
  <c r="AZ4619" i="6"/>
  <c r="AY4619" i="6"/>
  <c r="AZ4618" i="6"/>
  <c r="AY4618" i="6"/>
  <c r="AZ4617" i="6"/>
  <c r="AY4617" i="6"/>
  <c r="AZ4616" i="6"/>
  <c r="AY4616" i="6"/>
  <c r="AZ4615" i="6"/>
  <c r="AY4615" i="6"/>
  <c r="AZ4614" i="6"/>
  <c r="AY4614" i="6"/>
  <c r="AZ4613" i="6"/>
  <c r="AY4613" i="6"/>
  <c r="AZ4612" i="6"/>
  <c r="AY4612" i="6"/>
  <c r="AZ4611" i="6"/>
  <c r="AY4611" i="6"/>
  <c r="AZ4610" i="6"/>
  <c r="AY4610" i="6"/>
  <c r="AZ4609" i="6"/>
  <c r="AY4609" i="6"/>
  <c r="AZ4608" i="6"/>
  <c r="AY4608" i="6"/>
  <c r="AZ4607" i="6"/>
  <c r="AY4607" i="6"/>
  <c r="AZ4606" i="6"/>
  <c r="AY4606" i="6"/>
  <c r="AZ4605" i="6"/>
  <c r="AY4605" i="6"/>
  <c r="AZ4604" i="6"/>
  <c r="AY4604" i="6"/>
  <c r="AZ4603" i="6"/>
  <c r="AY4603" i="6"/>
  <c r="AZ4602" i="6"/>
  <c r="AY4602" i="6"/>
  <c r="AZ4601" i="6"/>
  <c r="AY4601" i="6"/>
  <c r="AZ4600" i="6"/>
  <c r="AY4600" i="6"/>
  <c r="AZ4599" i="6"/>
  <c r="AY4599" i="6"/>
  <c r="AZ4598" i="6"/>
  <c r="AY4598" i="6"/>
  <c r="AZ4597" i="6"/>
  <c r="AY4597" i="6"/>
  <c r="AZ4596" i="6"/>
  <c r="AY4596" i="6"/>
  <c r="AZ4595" i="6"/>
  <c r="AY4595" i="6"/>
  <c r="AZ4594" i="6"/>
  <c r="AY4594" i="6"/>
  <c r="AZ4593" i="6"/>
  <c r="AY4593" i="6"/>
  <c r="AZ4592" i="6"/>
  <c r="AY4592" i="6"/>
  <c r="AZ4591" i="6"/>
  <c r="AY4591" i="6"/>
  <c r="AZ4590" i="6"/>
  <c r="AY4590" i="6"/>
  <c r="AZ4589" i="6"/>
  <c r="AY4589" i="6"/>
  <c r="AZ4588" i="6"/>
  <c r="AY4588" i="6"/>
  <c r="AZ4587" i="6"/>
  <c r="AY4587" i="6"/>
  <c r="AZ4586" i="6"/>
  <c r="AY4586" i="6"/>
  <c r="AZ4585" i="6"/>
  <c r="AY4585" i="6"/>
  <c r="AZ4584" i="6"/>
  <c r="AY4584" i="6"/>
  <c r="AZ4583" i="6"/>
  <c r="AY4583" i="6"/>
  <c r="AZ4582" i="6"/>
  <c r="AY4582" i="6"/>
  <c r="AZ4581" i="6"/>
  <c r="AY4581" i="6"/>
  <c r="AZ4580" i="6"/>
  <c r="AY4580" i="6"/>
  <c r="AZ4579" i="6"/>
  <c r="AY4579" i="6"/>
  <c r="AZ4578" i="6"/>
  <c r="AY4578" i="6"/>
  <c r="AZ4577" i="6"/>
  <c r="AY4577" i="6"/>
  <c r="AZ4576" i="6"/>
  <c r="AY4576" i="6"/>
  <c r="AZ4575" i="6"/>
  <c r="AY4575" i="6"/>
  <c r="AZ4574" i="6"/>
  <c r="AY4574" i="6"/>
  <c r="AZ4573" i="6"/>
  <c r="AY4573" i="6"/>
  <c r="AZ4572" i="6"/>
  <c r="AY4572" i="6"/>
  <c r="AZ4571" i="6"/>
  <c r="AY4571" i="6"/>
  <c r="AZ4570" i="6"/>
  <c r="AY4570" i="6"/>
  <c r="AZ4569" i="6"/>
  <c r="AY4569" i="6"/>
  <c r="AZ4568" i="6"/>
  <c r="AY4568" i="6"/>
  <c r="AZ4567" i="6"/>
  <c r="AY4567" i="6"/>
  <c r="AZ4566" i="6"/>
  <c r="AY4566" i="6"/>
  <c r="AZ4565" i="6"/>
  <c r="AY4565" i="6"/>
  <c r="AZ4564" i="6"/>
  <c r="AY4564" i="6"/>
  <c r="AZ4563" i="6"/>
  <c r="AY4563" i="6"/>
  <c r="AZ4562" i="6"/>
  <c r="AY4562" i="6"/>
  <c r="AZ4561" i="6"/>
  <c r="AY4561" i="6"/>
  <c r="AZ4560" i="6"/>
  <c r="AY4560" i="6"/>
  <c r="AZ4559" i="6"/>
  <c r="AY4559" i="6"/>
  <c r="AZ4558" i="6"/>
  <c r="AY4558" i="6"/>
  <c r="AZ4557" i="6"/>
  <c r="AY4557" i="6"/>
  <c r="AZ4556" i="6"/>
  <c r="AY4556" i="6"/>
  <c r="AZ4555" i="6"/>
  <c r="AY4555" i="6"/>
  <c r="AZ4554" i="6"/>
  <c r="AY4554" i="6"/>
  <c r="AZ4553" i="6"/>
  <c r="AY4553" i="6"/>
  <c r="AZ4552" i="6"/>
  <c r="AY4552" i="6"/>
  <c r="AZ4551" i="6"/>
  <c r="AY4551" i="6"/>
  <c r="AZ4550" i="6"/>
  <c r="AY4550" i="6"/>
  <c r="AZ4549" i="6"/>
  <c r="AY4549" i="6"/>
  <c r="AZ4548" i="6"/>
  <c r="AY4548" i="6"/>
  <c r="AZ4547" i="6"/>
  <c r="AY4547" i="6"/>
  <c r="AZ4546" i="6"/>
  <c r="AY4546" i="6"/>
  <c r="AZ4545" i="6"/>
  <c r="AY4545" i="6"/>
  <c r="AZ4544" i="6"/>
  <c r="AY4544" i="6"/>
  <c r="AZ4543" i="6"/>
  <c r="AY4543" i="6"/>
  <c r="AZ4542" i="6"/>
  <c r="AY4542" i="6"/>
  <c r="AZ4541" i="6"/>
  <c r="AY4541" i="6"/>
  <c r="AZ4540" i="6"/>
  <c r="AY4540" i="6"/>
  <c r="AZ4539" i="6"/>
  <c r="AY4539" i="6"/>
  <c r="AZ4538" i="6"/>
  <c r="AY4538" i="6"/>
  <c r="AZ4537" i="6"/>
  <c r="AY4537" i="6"/>
  <c r="AZ4536" i="6"/>
  <c r="AY4536" i="6"/>
  <c r="AZ4535" i="6"/>
  <c r="AY4535" i="6"/>
  <c r="AZ4534" i="6"/>
  <c r="AY4534" i="6"/>
  <c r="AZ4533" i="6"/>
  <c r="AY4533" i="6"/>
  <c r="AZ4532" i="6"/>
  <c r="AY4532" i="6"/>
  <c r="AZ4531" i="6"/>
  <c r="AY4531" i="6"/>
  <c r="AZ4530" i="6"/>
  <c r="AY4530" i="6"/>
  <c r="AZ4529" i="6"/>
  <c r="AY4529" i="6"/>
  <c r="AZ4528" i="6"/>
  <c r="AY4528" i="6"/>
  <c r="AZ4527" i="6"/>
  <c r="AY4527" i="6"/>
  <c r="AZ4526" i="6"/>
  <c r="AY4526" i="6"/>
  <c r="AZ4525" i="6"/>
  <c r="AY4525" i="6"/>
  <c r="AZ4524" i="6"/>
  <c r="AY4524" i="6"/>
  <c r="AZ4523" i="6"/>
  <c r="AY4523" i="6"/>
  <c r="AZ4522" i="6"/>
  <c r="AY4522" i="6"/>
  <c r="AZ4521" i="6"/>
  <c r="AY4521" i="6"/>
  <c r="AZ4520" i="6"/>
  <c r="AY4520" i="6"/>
  <c r="AZ4519" i="6"/>
  <c r="AY4519" i="6"/>
  <c r="AZ4518" i="6"/>
  <c r="AY4518" i="6"/>
  <c r="AZ4517" i="6"/>
  <c r="AY4517" i="6"/>
  <c r="AZ4516" i="6"/>
  <c r="AY4516" i="6"/>
  <c r="AZ4515" i="6"/>
  <c r="AY4515" i="6"/>
  <c r="AZ4514" i="6"/>
  <c r="AY4514" i="6"/>
  <c r="AZ4513" i="6"/>
  <c r="AY4513" i="6"/>
  <c r="AZ4512" i="6"/>
  <c r="AY4512" i="6"/>
  <c r="AZ4511" i="6"/>
  <c r="AY4511" i="6"/>
  <c r="AZ4510" i="6"/>
  <c r="AY4510" i="6"/>
  <c r="AZ4509" i="6"/>
  <c r="AY4509" i="6"/>
  <c r="AZ4508" i="6"/>
  <c r="AY4508" i="6"/>
  <c r="AZ4507" i="6"/>
  <c r="AY4507" i="6"/>
  <c r="AZ4506" i="6"/>
  <c r="AY4506" i="6"/>
  <c r="AZ4505" i="6"/>
  <c r="AY4505" i="6"/>
  <c r="AZ4504" i="6"/>
  <c r="AY4504" i="6"/>
  <c r="AZ4503" i="6"/>
  <c r="AY4503" i="6"/>
  <c r="AZ4502" i="6"/>
  <c r="AY4502" i="6"/>
  <c r="AZ4501" i="6"/>
  <c r="AY4501" i="6"/>
  <c r="AZ4500" i="6"/>
  <c r="AY4500" i="6"/>
  <c r="AZ4499" i="6"/>
  <c r="AY4499" i="6"/>
  <c r="AZ4498" i="6"/>
  <c r="AY4498" i="6"/>
  <c r="AZ4497" i="6"/>
  <c r="AY4497" i="6"/>
  <c r="AZ4496" i="6"/>
  <c r="AY4496" i="6"/>
  <c r="AZ4495" i="6"/>
  <c r="AY4495" i="6"/>
  <c r="AZ4494" i="6"/>
  <c r="AY4494" i="6"/>
  <c r="AZ4493" i="6"/>
  <c r="AY4493" i="6"/>
  <c r="AZ4492" i="6"/>
  <c r="AY4492" i="6"/>
  <c r="AZ4491" i="6"/>
  <c r="AY4491" i="6"/>
  <c r="AZ4490" i="6"/>
  <c r="AY4490" i="6"/>
  <c r="AZ4489" i="6"/>
  <c r="AY4489" i="6"/>
  <c r="AZ4488" i="6"/>
  <c r="AY4488" i="6"/>
  <c r="AZ4487" i="6"/>
  <c r="AY4487" i="6"/>
  <c r="AZ4486" i="6"/>
  <c r="AY4486" i="6"/>
  <c r="AZ4485" i="6"/>
  <c r="AY4485" i="6"/>
  <c r="AZ4484" i="6"/>
  <c r="AY4484" i="6"/>
  <c r="AZ4483" i="6"/>
  <c r="AY4483" i="6"/>
  <c r="AZ4482" i="6"/>
  <c r="AY4482" i="6"/>
  <c r="AZ4481" i="6"/>
  <c r="AY4481" i="6"/>
  <c r="AZ4480" i="6"/>
  <c r="AY4480" i="6"/>
  <c r="AZ4479" i="6"/>
  <c r="AY4479" i="6"/>
  <c r="AZ4478" i="6"/>
  <c r="AY4478" i="6"/>
  <c r="AZ4477" i="6"/>
  <c r="AY4477" i="6"/>
  <c r="AZ4476" i="6"/>
  <c r="AY4476" i="6"/>
  <c r="AZ4475" i="6"/>
  <c r="AY4475" i="6"/>
  <c r="AZ4474" i="6"/>
  <c r="AY4474" i="6"/>
  <c r="AZ4473" i="6"/>
  <c r="AY4473" i="6"/>
  <c r="AZ4472" i="6"/>
  <c r="AY4472" i="6"/>
  <c r="AZ4471" i="6"/>
  <c r="AY4471" i="6"/>
  <c r="AZ4470" i="6"/>
  <c r="AY4470" i="6"/>
  <c r="AZ4469" i="6"/>
  <c r="AY4469" i="6"/>
  <c r="AZ4468" i="6"/>
  <c r="AY4468" i="6"/>
  <c r="AZ4467" i="6"/>
  <c r="AY4467" i="6"/>
  <c r="AZ4466" i="6"/>
  <c r="AY4466" i="6"/>
  <c r="AZ4465" i="6"/>
  <c r="AY4465" i="6"/>
  <c r="AZ4464" i="6"/>
  <c r="AY4464" i="6"/>
  <c r="AZ4463" i="6"/>
  <c r="AY4463" i="6"/>
  <c r="AZ4462" i="6"/>
  <c r="AY4462" i="6"/>
  <c r="AZ4461" i="6"/>
  <c r="AY4461" i="6"/>
  <c r="AZ4460" i="6"/>
  <c r="AY4460" i="6"/>
  <c r="AZ4459" i="6"/>
  <c r="AY4459" i="6"/>
  <c r="AZ4458" i="6"/>
  <c r="AY4458" i="6"/>
  <c r="AZ4457" i="6"/>
  <c r="AY4457" i="6"/>
  <c r="AZ4456" i="6"/>
  <c r="AY4456" i="6"/>
  <c r="AZ4455" i="6"/>
  <c r="AY4455" i="6"/>
  <c r="AZ4454" i="6"/>
  <c r="AY4454" i="6"/>
  <c r="AZ4453" i="6"/>
  <c r="AY4453" i="6"/>
  <c r="AZ4452" i="6"/>
  <c r="AY4452" i="6"/>
  <c r="AZ4451" i="6"/>
  <c r="AY4451" i="6"/>
  <c r="AZ4450" i="6"/>
  <c r="AY4450" i="6"/>
  <c r="AZ4449" i="6"/>
  <c r="AY4449" i="6"/>
  <c r="AZ4448" i="6"/>
  <c r="AY4448" i="6"/>
  <c r="AZ4447" i="6"/>
  <c r="AY4447" i="6"/>
  <c r="AZ4446" i="6"/>
  <c r="AY4446" i="6"/>
  <c r="AZ4445" i="6"/>
  <c r="AY4445" i="6"/>
  <c r="AZ4444" i="6"/>
  <c r="AY4444" i="6"/>
  <c r="AZ4443" i="6"/>
  <c r="AY4443" i="6"/>
  <c r="AZ4442" i="6"/>
  <c r="AY4442" i="6"/>
  <c r="AZ4441" i="6"/>
  <c r="AY4441" i="6"/>
  <c r="AZ4440" i="6"/>
  <c r="AY4440" i="6"/>
  <c r="AZ4439" i="6"/>
  <c r="AY4439" i="6"/>
  <c r="AZ4438" i="6"/>
  <c r="AY4438" i="6"/>
  <c r="AZ4437" i="6"/>
  <c r="AY4437" i="6"/>
  <c r="AZ4436" i="6"/>
  <c r="AY4436" i="6"/>
  <c r="AZ4435" i="6"/>
  <c r="AY4435" i="6"/>
  <c r="AZ4434" i="6"/>
  <c r="AY4434" i="6"/>
  <c r="AZ4433" i="6"/>
  <c r="AY4433" i="6"/>
  <c r="AZ4432" i="6"/>
  <c r="AY4432" i="6"/>
  <c r="AZ4431" i="6"/>
  <c r="AY4431" i="6"/>
  <c r="AZ4430" i="6"/>
  <c r="AY4430" i="6"/>
  <c r="AZ4429" i="6"/>
  <c r="AY4429" i="6"/>
  <c r="AZ4428" i="6"/>
  <c r="AY4428" i="6"/>
  <c r="AZ4427" i="6"/>
  <c r="AY4427" i="6"/>
  <c r="AZ4426" i="6"/>
  <c r="AY4426" i="6"/>
  <c r="AZ4425" i="6"/>
  <c r="AY4425" i="6"/>
  <c r="AZ4424" i="6"/>
  <c r="AY4424" i="6"/>
  <c r="AZ4423" i="6"/>
  <c r="AY4423" i="6"/>
  <c r="AZ4422" i="6"/>
  <c r="AY4422" i="6"/>
  <c r="AZ4421" i="6"/>
  <c r="AY4421" i="6"/>
  <c r="AZ4420" i="6"/>
  <c r="AY4420" i="6"/>
  <c r="AZ4419" i="6"/>
  <c r="AY4419" i="6"/>
  <c r="AZ4418" i="6"/>
  <c r="AY4418" i="6"/>
  <c r="AZ4417" i="6"/>
  <c r="AY4417" i="6"/>
  <c r="AZ4416" i="6"/>
  <c r="AY4416" i="6"/>
  <c r="AZ4415" i="6"/>
  <c r="AY4415" i="6"/>
  <c r="AZ4414" i="6"/>
  <c r="AY4414" i="6"/>
  <c r="AZ4413" i="6"/>
  <c r="AY4413" i="6"/>
  <c r="AZ4412" i="6"/>
  <c r="AY4412" i="6"/>
  <c r="AZ4411" i="6"/>
  <c r="AY4411" i="6"/>
  <c r="AZ4410" i="6"/>
  <c r="AY4410" i="6"/>
  <c r="AZ4409" i="6"/>
  <c r="AY4409" i="6"/>
  <c r="AZ4408" i="6"/>
  <c r="AY4408" i="6"/>
  <c r="AZ4407" i="6"/>
  <c r="AY4407" i="6"/>
  <c r="AZ4406" i="6"/>
  <c r="AY4406" i="6"/>
  <c r="AZ4405" i="6"/>
  <c r="AY4405" i="6"/>
  <c r="AZ4404" i="6"/>
  <c r="AY4404" i="6"/>
  <c r="AZ4403" i="6"/>
  <c r="AY4403" i="6"/>
  <c r="AZ4402" i="6"/>
  <c r="AY4402" i="6"/>
  <c r="AZ4401" i="6"/>
  <c r="AY4401" i="6"/>
  <c r="AZ4400" i="6"/>
  <c r="AY4400" i="6"/>
  <c r="AZ4399" i="6"/>
  <c r="AY4399" i="6"/>
  <c r="AZ4398" i="6"/>
  <c r="AY4398" i="6"/>
  <c r="AZ4397" i="6"/>
  <c r="AY4397" i="6"/>
  <c r="AZ4396" i="6"/>
  <c r="AY4396" i="6"/>
  <c r="AZ4395" i="6"/>
  <c r="AY4395" i="6"/>
  <c r="AZ4394" i="6"/>
  <c r="AY4394" i="6"/>
  <c r="AZ4393" i="6"/>
  <c r="AY4393" i="6"/>
  <c r="AZ4392" i="6"/>
  <c r="AY4392" i="6"/>
  <c r="AZ4391" i="6"/>
  <c r="AY4391" i="6"/>
  <c r="AZ4390" i="6"/>
  <c r="AY4390" i="6"/>
  <c r="AZ4389" i="6"/>
  <c r="AY4389" i="6"/>
  <c r="AZ4388" i="6"/>
  <c r="AY4388" i="6"/>
  <c r="AZ4387" i="6"/>
  <c r="AY4387" i="6"/>
  <c r="AZ4386" i="6"/>
  <c r="AY4386" i="6"/>
  <c r="AZ4385" i="6"/>
  <c r="AY4385" i="6"/>
  <c r="AZ4384" i="6"/>
  <c r="AY4384" i="6"/>
  <c r="AZ4383" i="6"/>
  <c r="AY4383" i="6"/>
  <c r="AZ4382" i="6"/>
  <c r="AY4382" i="6"/>
  <c r="AZ4381" i="6"/>
  <c r="AY4381" i="6"/>
  <c r="AZ4380" i="6"/>
  <c r="AY4380" i="6"/>
  <c r="AZ4379" i="6"/>
  <c r="AY4379" i="6"/>
  <c r="AZ4378" i="6"/>
  <c r="AY4378" i="6"/>
  <c r="AZ4377" i="6"/>
  <c r="AY4377" i="6"/>
  <c r="AZ4376" i="6"/>
  <c r="AY4376" i="6"/>
  <c r="AZ4375" i="6"/>
  <c r="AY4375" i="6"/>
  <c r="AZ4374" i="6"/>
  <c r="AY4374" i="6"/>
  <c r="AZ4373" i="6"/>
  <c r="AY4373" i="6"/>
  <c r="AZ4372" i="6"/>
  <c r="AY4372" i="6"/>
  <c r="AZ4371" i="6"/>
  <c r="AY4371" i="6"/>
  <c r="AZ4370" i="6"/>
  <c r="AY4370" i="6"/>
  <c r="AZ4369" i="6"/>
  <c r="AY4369" i="6"/>
  <c r="AZ4368" i="6"/>
  <c r="AY4368" i="6"/>
  <c r="AZ4367" i="6"/>
  <c r="AY4367" i="6"/>
  <c r="AZ4366" i="6"/>
  <c r="AY4366" i="6"/>
  <c r="AZ4365" i="6"/>
  <c r="AY4365" i="6"/>
  <c r="AZ4364" i="6"/>
  <c r="AY4364" i="6"/>
  <c r="AZ4363" i="6"/>
  <c r="AY4363" i="6"/>
  <c r="AZ4362" i="6"/>
  <c r="AY4362" i="6"/>
  <c r="AZ4361" i="6"/>
  <c r="AY4361" i="6"/>
  <c r="AZ4360" i="6"/>
  <c r="AY4360" i="6"/>
  <c r="AZ4359" i="6"/>
  <c r="AY4359" i="6"/>
  <c r="AZ4358" i="6"/>
  <c r="AY4358" i="6"/>
  <c r="AZ4357" i="6"/>
  <c r="AY4357" i="6"/>
  <c r="AZ4356" i="6"/>
  <c r="AY4356" i="6"/>
  <c r="AZ4355" i="6"/>
  <c r="AY4355" i="6"/>
  <c r="AZ4354" i="6"/>
  <c r="AY4354" i="6"/>
  <c r="AZ4353" i="6"/>
  <c r="AY4353" i="6"/>
  <c r="AZ4352" i="6"/>
  <c r="AY4352" i="6"/>
  <c r="AZ4351" i="6"/>
  <c r="AY4351" i="6"/>
  <c r="AZ4350" i="6"/>
  <c r="AY4350" i="6"/>
  <c r="AZ4349" i="6"/>
  <c r="AY4349" i="6"/>
  <c r="AZ4348" i="6"/>
  <c r="AY4348" i="6"/>
  <c r="AZ4347" i="6"/>
  <c r="AY4347" i="6"/>
  <c r="AZ4346" i="6"/>
  <c r="AY4346" i="6"/>
  <c r="AZ4345" i="6"/>
  <c r="AY4345" i="6"/>
  <c r="AZ4344" i="6"/>
  <c r="AY4344" i="6"/>
  <c r="AZ4343" i="6"/>
  <c r="AY4343" i="6"/>
  <c r="AZ4342" i="6"/>
  <c r="AY4342" i="6"/>
  <c r="AZ4341" i="6"/>
  <c r="AY4341" i="6"/>
  <c r="AZ4340" i="6"/>
  <c r="AY4340" i="6"/>
  <c r="AZ4339" i="6"/>
  <c r="AY4339" i="6"/>
  <c r="AZ4338" i="6"/>
  <c r="AY4338" i="6"/>
  <c r="AZ4337" i="6"/>
  <c r="AY4337" i="6"/>
  <c r="AZ4336" i="6"/>
  <c r="AY4336" i="6"/>
  <c r="AZ4335" i="6"/>
  <c r="AY4335" i="6"/>
  <c r="AZ4334" i="6"/>
  <c r="AY4334" i="6"/>
  <c r="AZ4333" i="6"/>
  <c r="AY4333" i="6"/>
  <c r="AZ4332" i="6"/>
  <c r="AY4332" i="6"/>
  <c r="AZ4331" i="6"/>
  <c r="AY4331" i="6"/>
  <c r="AZ4330" i="6"/>
  <c r="AY4330" i="6"/>
  <c r="AZ4329" i="6"/>
  <c r="AY4329" i="6"/>
  <c r="AZ4328" i="6"/>
  <c r="AY4328" i="6"/>
  <c r="AZ4327" i="6"/>
  <c r="AY4327" i="6"/>
  <c r="AZ4326" i="6"/>
  <c r="AY4326" i="6"/>
  <c r="AZ4325" i="6"/>
  <c r="AY4325" i="6"/>
  <c r="AZ4324" i="6"/>
  <c r="AY4324" i="6"/>
  <c r="AZ4323" i="6"/>
  <c r="AY4323" i="6"/>
  <c r="AZ4322" i="6"/>
  <c r="AY4322" i="6"/>
  <c r="AZ4321" i="6"/>
  <c r="AY4321" i="6"/>
  <c r="AZ4320" i="6"/>
  <c r="AY4320" i="6"/>
  <c r="AZ4319" i="6"/>
  <c r="AY4319" i="6"/>
  <c r="AZ4318" i="6"/>
  <c r="AY4318" i="6"/>
  <c r="AZ4317" i="6"/>
  <c r="AY4317" i="6"/>
  <c r="AZ4316" i="6"/>
  <c r="AY4316" i="6"/>
  <c r="AZ4315" i="6"/>
  <c r="AY4315" i="6"/>
  <c r="AZ4314" i="6"/>
  <c r="AY4314" i="6"/>
  <c r="AZ4313" i="6"/>
  <c r="AY4313" i="6"/>
  <c r="AZ4312" i="6"/>
  <c r="AY4312" i="6"/>
  <c r="AZ4311" i="6"/>
  <c r="AY4311" i="6"/>
  <c r="AZ4310" i="6"/>
  <c r="AY4310" i="6"/>
  <c r="AZ4309" i="6"/>
  <c r="AY4309" i="6"/>
  <c r="AZ4308" i="6"/>
  <c r="AY4308" i="6"/>
  <c r="AZ4307" i="6"/>
  <c r="AY4307" i="6"/>
  <c r="AZ4306" i="6"/>
  <c r="AY4306" i="6"/>
  <c r="AZ4305" i="6"/>
  <c r="AY4305" i="6"/>
  <c r="AZ4304" i="6"/>
  <c r="AY4304" i="6"/>
  <c r="AZ4303" i="6"/>
  <c r="AY4303" i="6"/>
  <c r="AZ4302" i="6"/>
  <c r="AY4302" i="6"/>
  <c r="AZ4301" i="6"/>
  <c r="AY4301" i="6"/>
  <c r="AZ4300" i="6"/>
  <c r="AY4300" i="6"/>
  <c r="AZ4299" i="6"/>
  <c r="AY4299" i="6"/>
  <c r="AZ4298" i="6"/>
  <c r="AY4298" i="6"/>
  <c r="AZ4297" i="6"/>
  <c r="AY4297" i="6"/>
  <c r="AZ4296" i="6"/>
  <c r="AY4296" i="6"/>
  <c r="AZ4295" i="6"/>
  <c r="AY4295" i="6"/>
  <c r="AZ4294" i="6"/>
  <c r="AY4294" i="6"/>
  <c r="AZ4293" i="6"/>
  <c r="AY4293" i="6"/>
  <c r="AZ4292" i="6"/>
  <c r="AY4292" i="6"/>
  <c r="AZ4291" i="6"/>
  <c r="AY4291" i="6"/>
  <c r="AZ4290" i="6"/>
  <c r="AY4290" i="6"/>
  <c r="AZ4289" i="6"/>
  <c r="AY4289" i="6"/>
  <c r="AZ4288" i="6"/>
  <c r="AY4288" i="6"/>
  <c r="AZ4287" i="6"/>
  <c r="AY4287" i="6"/>
  <c r="AZ4286" i="6"/>
  <c r="AY4286" i="6"/>
  <c r="AZ4285" i="6"/>
  <c r="AY4285" i="6"/>
  <c r="AZ4284" i="6"/>
  <c r="AY4284" i="6"/>
  <c r="AZ4283" i="6"/>
  <c r="AY4283" i="6"/>
  <c r="AZ4282" i="6"/>
  <c r="AY4282" i="6"/>
  <c r="AZ4281" i="6"/>
  <c r="AY4281" i="6"/>
  <c r="AZ4280" i="6"/>
  <c r="AY4280" i="6"/>
  <c r="AZ4279" i="6"/>
  <c r="AY4279" i="6"/>
  <c r="AZ4278" i="6"/>
  <c r="AY4278" i="6"/>
  <c r="AZ4277" i="6"/>
  <c r="AY4277" i="6"/>
  <c r="AZ4276" i="6"/>
  <c r="AY4276" i="6"/>
  <c r="AZ4275" i="6"/>
  <c r="AY4275" i="6"/>
  <c r="AZ4274" i="6"/>
  <c r="AY4274" i="6"/>
  <c r="AZ4273" i="6"/>
  <c r="AY4273" i="6"/>
  <c r="AZ4272" i="6"/>
  <c r="AY4272" i="6"/>
  <c r="AZ4271" i="6"/>
  <c r="AY4271" i="6"/>
  <c r="AZ4270" i="6"/>
  <c r="AY4270" i="6"/>
  <c r="AZ4269" i="6"/>
  <c r="AY4269" i="6"/>
  <c r="AZ4268" i="6"/>
  <c r="AY4268" i="6"/>
  <c r="AZ4267" i="6"/>
  <c r="AY4267" i="6"/>
  <c r="AZ4266" i="6"/>
  <c r="AY4266" i="6"/>
  <c r="AZ4265" i="6"/>
  <c r="AY4265" i="6"/>
  <c r="AZ4264" i="6"/>
  <c r="AY4264" i="6"/>
  <c r="AZ4263" i="6"/>
  <c r="AY4263" i="6"/>
  <c r="AZ4262" i="6"/>
  <c r="AY4262" i="6"/>
  <c r="AZ4261" i="6"/>
  <c r="AY4261" i="6"/>
  <c r="AZ4260" i="6"/>
  <c r="AY4260" i="6"/>
  <c r="AZ4259" i="6"/>
  <c r="AY4259" i="6"/>
  <c r="AZ4258" i="6"/>
  <c r="AY4258" i="6"/>
  <c r="AZ4257" i="6"/>
  <c r="AY4257" i="6"/>
  <c r="AZ4256" i="6"/>
  <c r="AY4256" i="6"/>
  <c r="AZ4255" i="6"/>
  <c r="AY4255" i="6"/>
  <c r="AZ4254" i="6"/>
  <c r="AY4254" i="6"/>
  <c r="AZ4253" i="6"/>
  <c r="AY4253" i="6"/>
  <c r="AZ4252" i="6"/>
  <c r="AY4252" i="6"/>
  <c r="AZ4251" i="6"/>
  <c r="AY4251" i="6"/>
  <c r="AZ4250" i="6"/>
  <c r="AY4250" i="6"/>
  <c r="AZ4249" i="6"/>
  <c r="AY4249" i="6"/>
  <c r="AZ4248" i="6"/>
  <c r="AY4248" i="6"/>
  <c r="AZ4247" i="6"/>
  <c r="AY4247" i="6"/>
  <c r="AZ4246" i="6"/>
  <c r="AY4246" i="6"/>
  <c r="AZ4245" i="6"/>
  <c r="AY4245" i="6"/>
  <c r="AZ4244" i="6"/>
  <c r="AY4244" i="6"/>
  <c r="AZ4243" i="6"/>
  <c r="AY4243" i="6"/>
  <c r="AZ4242" i="6"/>
  <c r="AY4242" i="6"/>
  <c r="AZ4241" i="6"/>
  <c r="AY4241" i="6"/>
  <c r="AZ4240" i="6"/>
  <c r="AY4240" i="6"/>
  <c r="AZ4239" i="6"/>
  <c r="AY4239" i="6"/>
  <c r="AZ4238" i="6"/>
  <c r="AY4238" i="6"/>
  <c r="AZ4237" i="6"/>
  <c r="AY4237" i="6"/>
  <c r="AZ4236" i="6"/>
  <c r="AY4236" i="6"/>
  <c r="AZ4235" i="6"/>
  <c r="AY4235" i="6"/>
  <c r="AZ4234" i="6"/>
  <c r="AY4234" i="6"/>
  <c r="AZ4233" i="6"/>
  <c r="AY4233" i="6"/>
  <c r="AZ4232" i="6"/>
  <c r="AY4232" i="6"/>
  <c r="AZ4231" i="6"/>
  <c r="AY4231" i="6"/>
  <c r="AZ4230" i="6"/>
  <c r="AY4230" i="6"/>
  <c r="AZ4229" i="6"/>
  <c r="AY4229" i="6"/>
  <c r="AZ4228" i="6"/>
  <c r="AY4228" i="6"/>
  <c r="AZ4227" i="6"/>
  <c r="AY4227" i="6"/>
  <c r="AZ4226" i="6"/>
  <c r="AY4226" i="6"/>
  <c r="AZ4225" i="6"/>
  <c r="AY4225" i="6"/>
  <c r="AZ4224" i="6"/>
  <c r="AY4224" i="6"/>
  <c r="AZ4223" i="6"/>
  <c r="AY4223" i="6"/>
  <c r="AZ4222" i="6"/>
  <c r="AY4222" i="6"/>
  <c r="AZ4221" i="6"/>
  <c r="AY4221" i="6"/>
  <c r="AZ4220" i="6"/>
  <c r="AY4220" i="6"/>
  <c r="AZ4219" i="6"/>
  <c r="AY4219" i="6"/>
  <c r="AZ4218" i="6"/>
  <c r="AY4218" i="6"/>
  <c r="AZ4217" i="6"/>
  <c r="AY4217" i="6"/>
  <c r="AZ4216" i="6"/>
  <c r="AY4216" i="6"/>
  <c r="AZ4215" i="6"/>
  <c r="AY4215" i="6"/>
  <c r="AZ4214" i="6"/>
  <c r="AY4214" i="6"/>
  <c r="AZ4213" i="6"/>
  <c r="AY4213" i="6"/>
  <c r="AZ4212" i="6"/>
  <c r="AY4212" i="6"/>
  <c r="AZ4211" i="6"/>
  <c r="AY4211" i="6"/>
  <c r="AZ4210" i="6"/>
  <c r="AY4210" i="6"/>
  <c r="AZ4209" i="6"/>
  <c r="AY4209" i="6"/>
  <c r="AZ4208" i="6"/>
  <c r="AY4208" i="6"/>
  <c r="AZ4207" i="6"/>
  <c r="AY4207" i="6"/>
  <c r="AZ4206" i="6"/>
  <c r="AY4206" i="6"/>
  <c r="AZ4205" i="6"/>
  <c r="AY4205" i="6"/>
  <c r="AZ4204" i="6"/>
  <c r="AY4204" i="6"/>
  <c r="AZ4203" i="6"/>
  <c r="AY4203" i="6"/>
  <c r="AZ4202" i="6"/>
  <c r="AY4202" i="6"/>
  <c r="AZ4201" i="6"/>
  <c r="AY4201" i="6"/>
  <c r="AZ4200" i="6"/>
  <c r="AY4200" i="6"/>
  <c r="AZ4199" i="6"/>
  <c r="AY4199" i="6"/>
  <c r="AZ4198" i="6"/>
  <c r="AY4198" i="6"/>
  <c r="AZ4197" i="6"/>
  <c r="AY4197" i="6"/>
  <c r="AZ4196" i="6"/>
  <c r="AY4196" i="6"/>
  <c r="AZ4195" i="6"/>
  <c r="AY4195" i="6"/>
  <c r="AZ4194" i="6"/>
  <c r="AY4194" i="6"/>
  <c r="AZ4193" i="6"/>
  <c r="AY4193" i="6"/>
  <c r="AZ4192" i="6"/>
  <c r="AY4192" i="6"/>
  <c r="AZ4191" i="6"/>
  <c r="AY4191" i="6"/>
  <c r="AZ4190" i="6"/>
  <c r="AY4190" i="6"/>
  <c r="AZ4189" i="6"/>
  <c r="AY4189" i="6"/>
  <c r="AZ4188" i="6"/>
  <c r="AY4188" i="6"/>
  <c r="AZ4187" i="6"/>
  <c r="AY4187" i="6"/>
  <c r="AZ4186" i="6"/>
  <c r="AY4186" i="6"/>
  <c r="AZ4185" i="6"/>
  <c r="AY4185" i="6"/>
  <c r="AZ4184" i="6"/>
  <c r="AY4184" i="6"/>
  <c r="AZ4183" i="6"/>
  <c r="AY4183" i="6"/>
  <c r="AZ4182" i="6"/>
  <c r="AY4182" i="6"/>
  <c r="AZ4181" i="6"/>
  <c r="AY4181" i="6"/>
  <c r="AZ4180" i="6"/>
  <c r="AY4180" i="6"/>
  <c r="AZ4179" i="6"/>
  <c r="AY4179" i="6"/>
  <c r="AZ4178" i="6"/>
  <c r="AY4178" i="6"/>
  <c r="AZ4177" i="6"/>
  <c r="AY4177" i="6"/>
  <c r="AZ4176" i="6"/>
  <c r="AY4176" i="6"/>
  <c r="AZ4175" i="6"/>
  <c r="AY4175" i="6"/>
  <c r="AZ4174" i="6"/>
  <c r="AY4174" i="6"/>
  <c r="AZ4173" i="6"/>
  <c r="AY4173" i="6"/>
  <c r="AZ4172" i="6"/>
  <c r="AY4172" i="6"/>
  <c r="AZ4171" i="6"/>
  <c r="AY4171" i="6"/>
  <c r="AZ4170" i="6"/>
  <c r="AY4170" i="6"/>
  <c r="AZ4169" i="6"/>
  <c r="AY4169" i="6"/>
  <c r="AZ4168" i="6"/>
  <c r="AY4168" i="6"/>
  <c r="AZ4167" i="6"/>
  <c r="AY4167" i="6"/>
  <c r="AZ4166" i="6"/>
  <c r="AY4166" i="6"/>
  <c r="AZ4165" i="6"/>
  <c r="AY4165" i="6"/>
  <c r="AZ4164" i="6"/>
  <c r="AY4164" i="6"/>
  <c r="AZ4163" i="6"/>
  <c r="AY4163" i="6"/>
  <c r="AZ4162" i="6"/>
  <c r="AY4162" i="6"/>
  <c r="AZ4161" i="6"/>
  <c r="AY4161" i="6"/>
  <c r="AZ4160" i="6"/>
  <c r="AY4160" i="6"/>
  <c r="AZ4159" i="6"/>
  <c r="AY4159" i="6"/>
  <c r="AZ4158" i="6"/>
  <c r="AY4158" i="6"/>
  <c r="AZ4157" i="6"/>
  <c r="AY4157" i="6"/>
  <c r="AZ4156" i="6"/>
  <c r="AY4156" i="6"/>
  <c r="AZ4155" i="6"/>
  <c r="AY4155" i="6"/>
  <c r="AZ4154" i="6"/>
  <c r="AY4154" i="6"/>
  <c r="AZ4153" i="6"/>
  <c r="AY4153" i="6"/>
  <c r="AZ4152" i="6"/>
  <c r="AY4152" i="6"/>
  <c r="AZ4151" i="6"/>
  <c r="AY4151" i="6"/>
  <c r="AZ4150" i="6"/>
  <c r="AY4150" i="6"/>
  <c r="AZ4149" i="6"/>
  <c r="AY4149" i="6"/>
  <c r="AZ4148" i="6"/>
  <c r="AY4148" i="6"/>
  <c r="AZ4147" i="6"/>
  <c r="AY4147" i="6"/>
  <c r="AZ4146" i="6"/>
  <c r="AY4146" i="6"/>
  <c r="AZ4145" i="6"/>
  <c r="AY4145" i="6"/>
  <c r="AZ4144" i="6"/>
  <c r="AY4144" i="6"/>
  <c r="AZ4143" i="6"/>
  <c r="AY4143" i="6"/>
  <c r="AZ4142" i="6"/>
  <c r="AY4142" i="6"/>
  <c r="AZ4141" i="6"/>
  <c r="AY4141" i="6"/>
  <c r="AZ4140" i="6"/>
  <c r="AY4140" i="6"/>
  <c r="AZ4139" i="6"/>
  <c r="AY4139" i="6"/>
  <c r="AZ4138" i="6"/>
  <c r="AY4138" i="6"/>
  <c r="AZ4137" i="6"/>
  <c r="AY4137" i="6"/>
  <c r="AZ4136" i="6"/>
  <c r="AY4136" i="6"/>
  <c r="AZ4135" i="6"/>
  <c r="AY4135" i="6"/>
  <c r="AZ4134" i="6"/>
  <c r="AY4134" i="6"/>
  <c r="AZ4133" i="6"/>
  <c r="AY4133" i="6"/>
  <c r="AZ4132" i="6"/>
  <c r="AY4132" i="6"/>
  <c r="AZ4131" i="6"/>
  <c r="AY4131" i="6"/>
  <c r="AZ4130" i="6"/>
  <c r="AY4130" i="6"/>
  <c r="AZ4129" i="6"/>
  <c r="AY4129" i="6"/>
  <c r="AZ4128" i="6"/>
  <c r="AY4128" i="6"/>
  <c r="AZ4127" i="6"/>
  <c r="AY4127" i="6"/>
  <c r="AZ4126" i="6"/>
  <c r="AY4126" i="6"/>
  <c r="AZ4125" i="6"/>
  <c r="AY4125" i="6"/>
  <c r="AZ4124" i="6"/>
  <c r="AY4124" i="6"/>
  <c r="AZ4123" i="6"/>
  <c r="AY4123" i="6"/>
  <c r="AZ4122" i="6"/>
  <c r="AY4122" i="6"/>
  <c r="AZ4121" i="6"/>
  <c r="AY4121" i="6"/>
  <c r="AZ4120" i="6"/>
  <c r="AY4120" i="6"/>
  <c r="AZ4119" i="6"/>
  <c r="AY4119" i="6"/>
  <c r="AZ4118" i="6"/>
  <c r="AY4118" i="6"/>
  <c r="AZ4117" i="6"/>
  <c r="AY4117" i="6"/>
  <c r="AZ4116" i="6"/>
  <c r="AY4116" i="6"/>
  <c r="AZ4115" i="6"/>
  <c r="AY4115" i="6"/>
  <c r="AZ4114" i="6"/>
  <c r="AY4114" i="6"/>
  <c r="AZ4113" i="6"/>
  <c r="AY4113" i="6"/>
  <c r="AZ4112" i="6"/>
  <c r="AY4112" i="6"/>
  <c r="AZ4111" i="6"/>
  <c r="AY4111" i="6"/>
  <c r="AZ4110" i="6"/>
  <c r="AY4110" i="6"/>
  <c r="AZ4109" i="6"/>
  <c r="AY4109" i="6"/>
  <c r="AZ4108" i="6"/>
  <c r="AY4108" i="6"/>
  <c r="AZ4107" i="6"/>
  <c r="AY4107" i="6"/>
  <c r="AZ4106" i="6"/>
  <c r="AY4106" i="6"/>
  <c r="AZ4105" i="6"/>
  <c r="AY4105" i="6"/>
  <c r="AZ4104" i="6"/>
  <c r="AY4104" i="6"/>
  <c r="AZ4103" i="6"/>
  <c r="AY4103" i="6"/>
  <c r="AZ4102" i="6"/>
  <c r="AY4102" i="6"/>
  <c r="AZ4101" i="6"/>
  <c r="AY4101" i="6"/>
  <c r="AZ4100" i="6"/>
  <c r="AY4100" i="6"/>
  <c r="AZ4099" i="6"/>
  <c r="AY4099" i="6"/>
  <c r="AZ4098" i="6"/>
  <c r="AY4098" i="6"/>
  <c r="AZ4097" i="6"/>
  <c r="AY4097" i="6"/>
  <c r="AZ4096" i="6"/>
  <c r="AY4096" i="6"/>
  <c r="AZ4095" i="6"/>
  <c r="AY4095" i="6"/>
  <c r="AZ4094" i="6"/>
  <c r="AY4094" i="6"/>
  <c r="AZ4093" i="6"/>
  <c r="AY4093" i="6"/>
  <c r="AZ4092" i="6"/>
  <c r="AY4092" i="6"/>
  <c r="AZ4091" i="6"/>
  <c r="AY4091" i="6"/>
  <c r="AZ4090" i="6"/>
  <c r="AY4090" i="6"/>
  <c r="AZ4089" i="6"/>
  <c r="AY4089" i="6"/>
  <c r="AZ4088" i="6"/>
  <c r="AY4088" i="6"/>
  <c r="AZ4087" i="6"/>
  <c r="AY4087" i="6"/>
  <c r="AZ4086" i="6"/>
  <c r="AY4086" i="6"/>
  <c r="AZ4085" i="6"/>
  <c r="AY4085" i="6"/>
  <c r="AZ4084" i="6"/>
  <c r="AY4084" i="6"/>
  <c r="AZ4083" i="6"/>
  <c r="AY4083" i="6"/>
  <c r="AZ4082" i="6"/>
  <c r="AY4082" i="6"/>
  <c r="AZ4081" i="6"/>
  <c r="AY4081" i="6"/>
  <c r="AZ4080" i="6"/>
  <c r="AY4080" i="6"/>
  <c r="AZ4079" i="6"/>
  <c r="AY4079" i="6"/>
  <c r="AZ4078" i="6"/>
  <c r="AY4078" i="6"/>
  <c r="AZ4077" i="6"/>
  <c r="AY4077" i="6"/>
  <c r="AZ4076" i="6"/>
  <c r="AY4076" i="6"/>
  <c r="AZ4075" i="6"/>
  <c r="AY4075" i="6"/>
  <c r="AZ4074" i="6"/>
  <c r="AY4074" i="6"/>
  <c r="AZ4073" i="6"/>
  <c r="AY4073" i="6"/>
  <c r="AZ4072" i="6"/>
  <c r="AY4072" i="6"/>
  <c r="AZ4071" i="6"/>
  <c r="AY4071" i="6"/>
  <c r="AZ4070" i="6"/>
  <c r="AY4070" i="6"/>
  <c r="AZ4069" i="6"/>
  <c r="AY4069" i="6"/>
  <c r="AZ4068" i="6"/>
  <c r="AY4068" i="6"/>
  <c r="AZ4067" i="6"/>
  <c r="AY4067" i="6"/>
  <c r="AZ4066" i="6"/>
  <c r="AY4066" i="6"/>
  <c r="AZ4065" i="6"/>
  <c r="AY4065" i="6"/>
  <c r="AZ4064" i="6"/>
  <c r="AY4064" i="6"/>
  <c r="AZ4063" i="6"/>
  <c r="AY4063" i="6"/>
  <c r="AZ4062" i="6"/>
  <c r="AY4062" i="6"/>
  <c r="AZ4061" i="6"/>
  <c r="AY4061" i="6"/>
  <c r="AZ4060" i="6"/>
  <c r="AY4060" i="6"/>
  <c r="AZ4059" i="6"/>
  <c r="AY4059" i="6"/>
  <c r="AZ4058" i="6"/>
  <c r="AY4058" i="6"/>
  <c r="AZ4057" i="6"/>
  <c r="AY4057" i="6"/>
  <c r="AZ4056" i="6"/>
  <c r="AY4056" i="6"/>
  <c r="AZ4055" i="6"/>
  <c r="AY4055" i="6"/>
  <c r="AZ4054" i="6"/>
  <c r="AY4054" i="6"/>
  <c r="AZ4053" i="6"/>
  <c r="AY4053" i="6"/>
  <c r="AZ4052" i="6"/>
  <c r="AY4052" i="6"/>
  <c r="AZ4051" i="6"/>
  <c r="AY4051" i="6"/>
  <c r="AZ4050" i="6"/>
  <c r="AY4050" i="6"/>
  <c r="AZ4049" i="6"/>
  <c r="AY4049" i="6"/>
  <c r="AZ4048" i="6"/>
  <c r="AY4048" i="6"/>
  <c r="AZ4047" i="6"/>
  <c r="AY4047" i="6"/>
  <c r="AZ4046" i="6"/>
  <c r="AY4046" i="6"/>
  <c r="AZ4045" i="6"/>
  <c r="AY4045" i="6"/>
  <c r="AZ4044" i="6"/>
  <c r="AY4044" i="6"/>
  <c r="AZ4043" i="6"/>
  <c r="AY4043" i="6"/>
  <c r="AZ4042" i="6"/>
  <c r="AY4042" i="6"/>
  <c r="AZ4041" i="6"/>
  <c r="AY4041" i="6"/>
  <c r="AZ4040" i="6"/>
  <c r="AY4040" i="6"/>
  <c r="AZ4039" i="6"/>
  <c r="AY4039" i="6"/>
  <c r="AZ4038" i="6"/>
  <c r="AY4038" i="6"/>
  <c r="AZ4037" i="6"/>
  <c r="AY4037" i="6"/>
  <c r="AZ4036" i="6"/>
  <c r="AY4036" i="6"/>
  <c r="AZ4035" i="6"/>
  <c r="AY4035" i="6"/>
  <c r="AZ4034" i="6"/>
  <c r="AY4034" i="6"/>
  <c r="AZ4033" i="6"/>
  <c r="AY4033" i="6"/>
  <c r="AZ4032" i="6"/>
  <c r="AY4032" i="6"/>
  <c r="AZ4031" i="6"/>
  <c r="AY4031" i="6"/>
  <c r="AZ4030" i="6"/>
  <c r="AY4030" i="6"/>
  <c r="AZ4029" i="6"/>
  <c r="AY4029" i="6"/>
  <c r="AZ4028" i="6"/>
  <c r="AY4028" i="6"/>
  <c r="AZ4027" i="6"/>
  <c r="AY4027" i="6"/>
  <c r="AZ4026" i="6"/>
  <c r="AY4026" i="6"/>
  <c r="AZ4025" i="6"/>
  <c r="AY4025" i="6"/>
  <c r="AZ4024" i="6"/>
  <c r="AY4024" i="6"/>
  <c r="AZ4023" i="6"/>
  <c r="AY4023" i="6"/>
  <c r="AZ4022" i="6"/>
  <c r="AY4022" i="6"/>
  <c r="AZ4021" i="6"/>
  <c r="AY4021" i="6"/>
  <c r="AZ4020" i="6"/>
  <c r="AY4020" i="6"/>
  <c r="AZ4019" i="6"/>
  <c r="AY4019" i="6"/>
  <c r="AZ4018" i="6"/>
  <c r="AY4018" i="6"/>
  <c r="AZ4017" i="6"/>
  <c r="AY4017" i="6"/>
  <c r="AZ4016" i="6"/>
  <c r="AY4016" i="6"/>
  <c r="AZ4015" i="6"/>
  <c r="AY4015" i="6"/>
  <c r="AZ4014" i="6"/>
  <c r="AY4014" i="6"/>
  <c r="AZ4013" i="6"/>
  <c r="AY4013" i="6"/>
  <c r="AZ4012" i="6"/>
  <c r="AY4012" i="6"/>
  <c r="AZ4011" i="6"/>
  <c r="AY4011" i="6"/>
  <c r="AZ4010" i="6"/>
  <c r="AY4010" i="6"/>
  <c r="AZ4009" i="6"/>
  <c r="AY4009" i="6"/>
  <c r="AZ4008" i="6"/>
  <c r="AY4008" i="6"/>
  <c r="AZ4007" i="6"/>
  <c r="AY4007" i="6"/>
  <c r="AZ4006" i="6"/>
  <c r="AY4006" i="6"/>
  <c r="AZ4005" i="6"/>
  <c r="AY4005" i="6"/>
  <c r="AZ4004" i="6"/>
  <c r="AY4004" i="6"/>
  <c r="AZ4003" i="6"/>
  <c r="AY4003" i="6"/>
  <c r="AZ4002" i="6"/>
  <c r="AY4002" i="6"/>
  <c r="AZ4001" i="6"/>
  <c r="AY4001" i="6"/>
  <c r="AZ4000" i="6"/>
  <c r="AY4000" i="6"/>
  <c r="AZ3999" i="6"/>
  <c r="AY3999" i="6"/>
  <c r="AZ3998" i="6"/>
  <c r="AY3998" i="6"/>
  <c r="AZ3997" i="6"/>
  <c r="AY3997" i="6"/>
  <c r="AZ3996" i="6"/>
  <c r="AY3996" i="6"/>
  <c r="AZ3995" i="6"/>
  <c r="AY3995" i="6"/>
  <c r="AZ3994" i="6"/>
  <c r="AY3994" i="6"/>
  <c r="AZ3993" i="6"/>
  <c r="AY3993" i="6"/>
  <c r="AZ3992" i="6"/>
  <c r="AY3992" i="6"/>
  <c r="AZ3991" i="6"/>
  <c r="AY3991" i="6"/>
  <c r="AZ3990" i="6"/>
  <c r="AY3990" i="6"/>
  <c r="AZ3989" i="6"/>
  <c r="AY3989" i="6"/>
  <c r="AZ3988" i="6"/>
  <c r="AY3988" i="6"/>
  <c r="AZ3987" i="6"/>
  <c r="AY3987" i="6"/>
  <c r="AZ3986" i="6"/>
  <c r="AY3986" i="6"/>
  <c r="AZ3985" i="6"/>
  <c r="AY3985" i="6"/>
  <c r="AZ3984" i="6"/>
  <c r="AY3984" i="6"/>
  <c r="AZ3983" i="6"/>
  <c r="AY3983" i="6"/>
  <c r="AZ3982" i="6"/>
  <c r="AY3982" i="6"/>
  <c r="AZ3981" i="6"/>
  <c r="AY3981" i="6"/>
  <c r="AZ3980" i="6"/>
  <c r="AY3980" i="6"/>
  <c r="AZ3979" i="6"/>
  <c r="AY3979" i="6"/>
  <c r="AZ3978" i="6"/>
  <c r="AY3978" i="6"/>
  <c r="AZ3977" i="6"/>
  <c r="AY3977" i="6"/>
  <c r="AZ3976" i="6"/>
  <c r="AY3976" i="6"/>
  <c r="AZ3975" i="6"/>
  <c r="AY3975" i="6"/>
  <c r="AZ3974" i="6"/>
  <c r="AY3974" i="6"/>
  <c r="AZ3973" i="6"/>
  <c r="AY3973" i="6"/>
  <c r="AZ3972" i="6"/>
  <c r="AY3972" i="6"/>
  <c r="AZ3971" i="6"/>
  <c r="AY3971" i="6"/>
  <c r="AZ3970" i="6"/>
  <c r="AY3970" i="6"/>
  <c r="AZ3969" i="6"/>
  <c r="AY3969" i="6"/>
  <c r="AZ3968" i="6"/>
  <c r="AY3968" i="6"/>
  <c r="AZ3967" i="6"/>
  <c r="AY3967" i="6"/>
  <c r="AZ3966" i="6"/>
  <c r="AY3966" i="6"/>
  <c r="AZ3965" i="6"/>
  <c r="AY3965" i="6"/>
  <c r="AZ3964" i="6"/>
  <c r="AY3964" i="6"/>
  <c r="AZ3963" i="6"/>
  <c r="AY3963" i="6"/>
  <c r="AZ3962" i="6"/>
  <c r="AY3962" i="6"/>
  <c r="AZ3961" i="6"/>
  <c r="AY3961" i="6"/>
  <c r="AZ3960" i="6"/>
  <c r="AY3960" i="6"/>
  <c r="AZ3959" i="6"/>
  <c r="AY3959" i="6"/>
  <c r="AZ3958" i="6"/>
  <c r="AY3958" i="6"/>
  <c r="AZ3957" i="6"/>
  <c r="AY3957" i="6"/>
  <c r="AZ3956" i="6"/>
  <c r="AY3956" i="6"/>
  <c r="AZ3955" i="6"/>
  <c r="AY3955" i="6"/>
  <c r="AZ3954" i="6"/>
  <c r="AY3954" i="6"/>
  <c r="AZ3953" i="6"/>
  <c r="AY3953" i="6"/>
  <c r="AZ3952" i="6"/>
  <c r="AY3952" i="6"/>
  <c r="AZ3951" i="6"/>
  <c r="AY3951" i="6"/>
  <c r="AZ3950" i="6"/>
  <c r="AY3950" i="6"/>
  <c r="AZ3949" i="6"/>
  <c r="AY3949" i="6"/>
  <c r="AZ3948" i="6"/>
  <c r="AY3948" i="6"/>
  <c r="AZ3947" i="6"/>
  <c r="AY3947" i="6"/>
  <c r="AZ3946" i="6"/>
  <c r="AY3946" i="6"/>
  <c r="AZ3945" i="6"/>
  <c r="AY3945" i="6"/>
  <c r="AZ3944" i="6"/>
  <c r="AY3944" i="6"/>
  <c r="AZ3943" i="6"/>
  <c r="AY3943" i="6"/>
  <c r="AZ3942" i="6"/>
  <c r="AY3942" i="6"/>
  <c r="AZ3941" i="6"/>
  <c r="AY3941" i="6"/>
  <c r="AZ3940" i="6"/>
  <c r="AY3940" i="6"/>
  <c r="AZ3939" i="6"/>
  <c r="AY3939" i="6"/>
  <c r="AZ3938" i="6"/>
  <c r="AY3938" i="6"/>
  <c r="AZ3937" i="6"/>
  <c r="AY3937" i="6"/>
  <c r="AZ3936" i="6"/>
  <c r="AY3936" i="6"/>
  <c r="AZ3935" i="6"/>
  <c r="AY3935" i="6"/>
  <c r="AZ3934" i="6"/>
  <c r="AY3934" i="6"/>
  <c r="AZ3933" i="6"/>
  <c r="AY3933" i="6"/>
  <c r="AZ3932" i="6"/>
  <c r="AY3932" i="6"/>
  <c r="AZ3931" i="6"/>
  <c r="AY3931" i="6"/>
  <c r="AZ3930" i="6"/>
  <c r="AY3930" i="6"/>
  <c r="AZ3929" i="6"/>
  <c r="AY3929" i="6"/>
  <c r="AZ3928" i="6"/>
  <c r="AY3928" i="6"/>
  <c r="AZ3927" i="6"/>
  <c r="AY3927" i="6"/>
  <c r="AZ3926" i="6"/>
  <c r="AY3926" i="6"/>
  <c r="AZ3925" i="6"/>
  <c r="AY3925" i="6"/>
  <c r="AZ3924" i="6"/>
  <c r="AY3924" i="6"/>
  <c r="AZ3923" i="6"/>
  <c r="AY3923" i="6"/>
  <c r="AZ3922" i="6"/>
  <c r="AY3922" i="6"/>
  <c r="AZ3921" i="6"/>
  <c r="AY3921" i="6"/>
  <c r="AZ3920" i="6"/>
  <c r="AY3920" i="6"/>
  <c r="AZ3919" i="6"/>
  <c r="AY3919" i="6"/>
  <c r="AZ3918" i="6"/>
  <c r="AY3918" i="6"/>
  <c r="AZ3917" i="6"/>
  <c r="AY3917" i="6"/>
  <c r="AZ3916" i="6"/>
  <c r="AY3916" i="6"/>
  <c r="AZ3915" i="6"/>
  <c r="AY3915" i="6"/>
  <c r="AZ3914" i="6"/>
  <c r="AY3914" i="6"/>
  <c r="AZ3913" i="6"/>
  <c r="AY3913" i="6"/>
  <c r="AZ3912" i="6"/>
  <c r="AY3912" i="6"/>
  <c r="AZ3911" i="6"/>
  <c r="AY3911" i="6"/>
  <c r="AZ3910" i="6"/>
  <c r="AY3910" i="6"/>
  <c r="AZ3909" i="6"/>
  <c r="AY3909" i="6"/>
  <c r="AZ3908" i="6"/>
  <c r="AY3908" i="6"/>
  <c r="AZ3907" i="6"/>
  <c r="AY3907" i="6"/>
  <c r="AZ3906" i="6"/>
  <c r="AY3906" i="6"/>
  <c r="AZ3905" i="6"/>
  <c r="AY3905" i="6"/>
  <c r="AZ3904" i="6"/>
  <c r="AY3904" i="6"/>
  <c r="AZ3903" i="6"/>
  <c r="AY3903" i="6"/>
  <c r="AZ3902" i="6"/>
  <c r="AY3902" i="6"/>
  <c r="AZ3901" i="6"/>
  <c r="AY3901" i="6"/>
  <c r="AZ3900" i="6"/>
  <c r="AY3900" i="6"/>
  <c r="AZ3899" i="6"/>
  <c r="AY3899" i="6"/>
  <c r="AZ3898" i="6"/>
  <c r="AY3898" i="6"/>
  <c r="AZ3897" i="6"/>
  <c r="AY3897" i="6"/>
  <c r="AZ3896" i="6"/>
  <c r="AY3896" i="6"/>
  <c r="AZ3895" i="6"/>
  <c r="AY3895" i="6"/>
  <c r="AZ3894" i="6"/>
  <c r="AY3894" i="6"/>
  <c r="AZ3893" i="6"/>
  <c r="AY3893" i="6"/>
  <c r="AZ3892" i="6"/>
  <c r="AY3892" i="6"/>
  <c r="AZ3891" i="6"/>
  <c r="AY3891" i="6"/>
  <c r="AZ3890" i="6"/>
  <c r="AY3890" i="6"/>
  <c r="AZ3889" i="6"/>
  <c r="AY3889" i="6"/>
  <c r="AZ3888" i="6"/>
  <c r="AY3888" i="6"/>
  <c r="AZ3887" i="6"/>
  <c r="AY3887" i="6"/>
  <c r="AZ3886" i="6"/>
  <c r="AY3886" i="6"/>
  <c r="AZ3885" i="6"/>
  <c r="AY3885" i="6"/>
  <c r="AZ3884" i="6"/>
  <c r="AY3884" i="6"/>
  <c r="AZ3883" i="6"/>
  <c r="AY3883" i="6"/>
  <c r="AZ3882" i="6"/>
  <c r="AY3882" i="6"/>
  <c r="AZ3881" i="6"/>
  <c r="AY3881" i="6"/>
  <c r="AZ3880" i="6"/>
  <c r="AY3880" i="6"/>
  <c r="AZ3879" i="6"/>
  <c r="AY3879" i="6"/>
  <c r="AZ3878" i="6"/>
  <c r="AY3878" i="6"/>
  <c r="AZ3877" i="6"/>
  <c r="AY3877" i="6"/>
  <c r="AZ3876" i="6"/>
  <c r="AY3876" i="6"/>
  <c r="AZ3875" i="6"/>
  <c r="AY3875" i="6"/>
  <c r="AZ3874" i="6"/>
  <c r="AY3874" i="6"/>
  <c r="AZ3873" i="6"/>
  <c r="AY3873" i="6"/>
  <c r="AZ3872" i="6"/>
  <c r="AY3872" i="6"/>
  <c r="AZ3871" i="6"/>
  <c r="AY3871" i="6"/>
  <c r="AZ3870" i="6"/>
  <c r="AY3870" i="6"/>
  <c r="AZ3869" i="6"/>
  <c r="AY3869" i="6"/>
  <c r="AZ3868" i="6"/>
  <c r="AY3868" i="6"/>
  <c r="AZ3867" i="6"/>
  <c r="AY3867" i="6"/>
  <c r="AZ3866" i="6"/>
  <c r="AY3866" i="6"/>
  <c r="AZ3865" i="6"/>
  <c r="AY3865" i="6"/>
  <c r="AZ3864" i="6"/>
  <c r="AY3864" i="6"/>
  <c r="AZ3863" i="6"/>
  <c r="AY3863" i="6"/>
  <c r="AZ3862" i="6"/>
  <c r="AY3862" i="6"/>
  <c r="AZ3861" i="6"/>
  <c r="AY3861" i="6"/>
  <c r="AZ3860" i="6"/>
  <c r="AY3860" i="6"/>
  <c r="AZ3859" i="6"/>
  <c r="AY3859" i="6"/>
  <c r="AZ3858" i="6"/>
  <c r="AY3858" i="6"/>
  <c r="AZ3857" i="6"/>
  <c r="AY3857" i="6"/>
  <c r="AZ3856" i="6"/>
  <c r="AY3856" i="6"/>
  <c r="AZ3855" i="6"/>
  <c r="AY3855" i="6"/>
  <c r="AZ3854" i="6"/>
  <c r="AY3854" i="6"/>
  <c r="AZ3853" i="6"/>
  <c r="AY3853" i="6"/>
  <c r="AZ3852" i="6"/>
  <c r="AY3852" i="6"/>
  <c r="AZ3851" i="6"/>
  <c r="AY3851" i="6"/>
  <c r="AZ3850" i="6"/>
  <c r="AY3850" i="6"/>
  <c r="AZ3849" i="6"/>
  <c r="AY3849" i="6"/>
  <c r="AZ3848" i="6"/>
  <c r="AY3848" i="6"/>
  <c r="AZ3847" i="6"/>
  <c r="AY3847" i="6"/>
  <c r="AZ3846" i="6"/>
  <c r="AY3846" i="6"/>
  <c r="AZ3845" i="6"/>
  <c r="AY3845" i="6"/>
  <c r="AZ3844" i="6"/>
  <c r="AY3844" i="6"/>
  <c r="AZ3843" i="6"/>
  <c r="AY3843" i="6"/>
  <c r="AZ3842" i="6"/>
  <c r="AY3842" i="6"/>
  <c r="AZ3841" i="6"/>
  <c r="AY3841" i="6"/>
  <c r="AZ3840" i="6"/>
  <c r="AY3840" i="6"/>
  <c r="AZ3839" i="6"/>
  <c r="AY3839" i="6"/>
  <c r="AZ3838" i="6"/>
  <c r="AY3838" i="6"/>
  <c r="AZ3837" i="6"/>
  <c r="AY3837" i="6"/>
  <c r="AZ3836" i="6"/>
  <c r="AY3836" i="6"/>
  <c r="AZ3835" i="6"/>
  <c r="AY3835" i="6"/>
  <c r="AZ3834" i="6"/>
  <c r="AY3834" i="6"/>
  <c r="AZ3833" i="6"/>
  <c r="AY3833" i="6"/>
  <c r="AZ3832" i="6"/>
  <c r="AY3832" i="6"/>
  <c r="AZ3831" i="6"/>
  <c r="AY3831" i="6"/>
  <c r="AZ3830" i="6"/>
  <c r="AY3830" i="6"/>
  <c r="AZ3829" i="6"/>
  <c r="AY3829" i="6"/>
  <c r="AZ3828" i="6"/>
  <c r="AY3828" i="6"/>
  <c r="AZ3827" i="6"/>
  <c r="AY3827" i="6"/>
  <c r="AZ3826" i="6"/>
  <c r="AY3826" i="6"/>
  <c r="AZ3825" i="6"/>
  <c r="AY3825" i="6"/>
  <c r="AZ3824" i="6"/>
  <c r="AY3824" i="6"/>
  <c r="AZ3823" i="6"/>
  <c r="AY3823" i="6"/>
  <c r="AZ3822" i="6"/>
  <c r="AY3822" i="6"/>
  <c r="AZ3821" i="6"/>
  <c r="AY3821" i="6"/>
  <c r="AZ3820" i="6"/>
  <c r="AY3820" i="6"/>
  <c r="AZ3819" i="6"/>
  <c r="AY3819" i="6"/>
  <c r="AZ3818" i="6"/>
  <c r="AY3818" i="6"/>
  <c r="AZ3817" i="6"/>
  <c r="AY3817" i="6"/>
  <c r="AZ3816" i="6"/>
  <c r="AY3816" i="6"/>
  <c r="AZ3815" i="6"/>
  <c r="AY3815" i="6"/>
  <c r="AZ3814" i="6"/>
  <c r="AY3814" i="6"/>
  <c r="AZ3813" i="6"/>
  <c r="AY3813" i="6"/>
  <c r="AZ3812" i="6"/>
  <c r="AY3812" i="6"/>
  <c r="AZ3811" i="6"/>
  <c r="AY3811" i="6"/>
  <c r="AZ3810" i="6"/>
  <c r="AY3810" i="6"/>
  <c r="AZ3809" i="6"/>
  <c r="AY3809" i="6"/>
  <c r="AZ3808" i="6"/>
  <c r="AY3808" i="6"/>
  <c r="AZ3807" i="6"/>
  <c r="AY3807" i="6"/>
  <c r="AZ3806" i="6"/>
  <c r="AY3806" i="6"/>
  <c r="AZ3805" i="6"/>
  <c r="AY3805" i="6"/>
  <c r="AZ3804" i="6"/>
  <c r="AY3804" i="6"/>
  <c r="AZ3803" i="6"/>
  <c r="AY3803" i="6"/>
  <c r="AZ3802" i="6"/>
  <c r="AY3802" i="6"/>
  <c r="AZ3801" i="6"/>
  <c r="AY3801" i="6"/>
  <c r="AZ3800" i="6"/>
  <c r="AY3800" i="6"/>
  <c r="AZ3799" i="6"/>
  <c r="AY3799" i="6"/>
  <c r="AZ3798" i="6"/>
  <c r="AY3798" i="6"/>
  <c r="AZ3797" i="6"/>
  <c r="AY3797" i="6"/>
  <c r="AZ3796" i="6"/>
  <c r="AY3796" i="6"/>
  <c r="AZ3795" i="6"/>
  <c r="AY3795" i="6"/>
  <c r="AZ3794" i="6"/>
  <c r="AY3794" i="6"/>
  <c r="AZ3793" i="6"/>
  <c r="AY3793" i="6"/>
  <c r="AZ3792" i="6"/>
  <c r="AY3792" i="6"/>
  <c r="AZ3791" i="6"/>
  <c r="AY3791" i="6"/>
  <c r="AZ3790" i="6"/>
  <c r="AY3790" i="6"/>
  <c r="AZ3789" i="6"/>
  <c r="AY3789" i="6"/>
  <c r="AZ3788" i="6"/>
  <c r="AY3788" i="6"/>
  <c r="AZ3787" i="6"/>
  <c r="AY3787" i="6"/>
  <c r="AZ3786" i="6"/>
  <c r="AY3786" i="6"/>
  <c r="AZ3785" i="6"/>
  <c r="AY3785" i="6"/>
  <c r="AZ3784" i="6"/>
  <c r="AY3784" i="6"/>
  <c r="AZ3783" i="6"/>
  <c r="AY3783" i="6"/>
  <c r="AZ3782" i="6"/>
  <c r="AY3782" i="6"/>
  <c r="AZ3781" i="6"/>
  <c r="AY3781" i="6"/>
  <c r="AZ3780" i="6"/>
  <c r="AY3780" i="6"/>
  <c r="AZ3779" i="6"/>
  <c r="AY3779" i="6"/>
  <c r="AZ3778" i="6"/>
  <c r="AY3778" i="6"/>
  <c r="AZ3777" i="6"/>
  <c r="AY3777" i="6"/>
  <c r="AZ3776" i="6"/>
  <c r="AY3776" i="6"/>
  <c r="AZ3775" i="6"/>
  <c r="AY3775" i="6"/>
  <c r="AZ3774" i="6"/>
  <c r="AY3774" i="6"/>
  <c r="AZ3773" i="6"/>
  <c r="AY3773" i="6"/>
  <c r="AZ3772" i="6"/>
  <c r="AY3772" i="6"/>
  <c r="AZ3771" i="6"/>
  <c r="AY3771" i="6"/>
  <c r="AZ3770" i="6"/>
  <c r="AY3770" i="6"/>
  <c r="AZ3769" i="6"/>
  <c r="AY3769" i="6"/>
  <c r="AZ3768" i="6"/>
  <c r="AY3768" i="6"/>
  <c r="AZ3767" i="6"/>
  <c r="AY3767" i="6"/>
  <c r="AZ3766" i="6"/>
  <c r="AY3766" i="6"/>
  <c r="AZ3765" i="6"/>
  <c r="AY3765" i="6"/>
  <c r="AZ3764" i="6"/>
  <c r="AY3764" i="6"/>
  <c r="AZ3763" i="6"/>
  <c r="AY3763" i="6"/>
  <c r="AZ3762" i="6"/>
  <c r="AY3762" i="6"/>
  <c r="AZ3761" i="6"/>
  <c r="AY3761" i="6"/>
  <c r="AZ3760" i="6"/>
  <c r="AY3760" i="6"/>
  <c r="AZ3759" i="6"/>
  <c r="AY3759" i="6"/>
  <c r="AZ3758" i="6"/>
  <c r="AY3758" i="6"/>
  <c r="AZ3757" i="6"/>
  <c r="AY3757" i="6"/>
  <c r="AZ3756" i="6"/>
  <c r="AY3756" i="6"/>
  <c r="AZ3755" i="6"/>
  <c r="AY3755" i="6"/>
  <c r="AZ3754" i="6"/>
  <c r="AY3754" i="6"/>
  <c r="AZ3753" i="6"/>
  <c r="AY3753" i="6"/>
  <c r="AZ3752" i="6"/>
  <c r="AY3752" i="6"/>
  <c r="AZ3751" i="6"/>
  <c r="AY3751" i="6"/>
  <c r="AZ3750" i="6"/>
  <c r="AY3750" i="6"/>
  <c r="AZ3749" i="6"/>
  <c r="AY3749" i="6"/>
  <c r="AZ3748" i="6"/>
  <c r="AY3748" i="6"/>
  <c r="AZ3747" i="6"/>
  <c r="AY3747" i="6"/>
  <c r="AZ3746" i="6"/>
  <c r="AY3746" i="6"/>
  <c r="AZ3745" i="6"/>
  <c r="AY3745" i="6"/>
  <c r="AZ3744" i="6"/>
  <c r="AY3744" i="6"/>
  <c r="AZ3743" i="6"/>
  <c r="AY3743" i="6"/>
  <c r="AZ3742" i="6"/>
  <c r="AY3742" i="6"/>
  <c r="AZ3741" i="6"/>
  <c r="AY3741" i="6"/>
  <c r="AZ3740" i="6"/>
  <c r="AY3740" i="6"/>
  <c r="AZ3739" i="6"/>
  <c r="AY3739" i="6"/>
  <c r="AZ3738" i="6"/>
  <c r="AY3738" i="6"/>
  <c r="AZ3737" i="6"/>
  <c r="AY3737" i="6"/>
  <c r="AZ3736" i="6"/>
  <c r="AY3736" i="6"/>
  <c r="AZ3735" i="6"/>
  <c r="AY3735" i="6"/>
  <c r="AZ3734" i="6"/>
  <c r="AY3734" i="6"/>
  <c r="AZ3733" i="6"/>
  <c r="AY3733" i="6"/>
  <c r="AZ3732" i="6"/>
  <c r="AY3732" i="6"/>
  <c r="AZ3731" i="6"/>
  <c r="AY3731" i="6"/>
  <c r="AZ3730" i="6"/>
  <c r="AY3730" i="6"/>
  <c r="AZ3729" i="6"/>
  <c r="AY3729" i="6"/>
  <c r="AZ3728" i="6"/>
  <c r="AY3728" i="6"/>
  <c r="AZ3727" i="6"/>
  <c r="AY3727" i="6"/>
  <c r="AZ3726" i="6"/>
  <c r="AY3726" i="6"/>
  <c r="AZ3725" i="6"/>
  <c r="AY3725" i="6"/>
  <c r="AZ3724" i="6"/>
  <c r="AY3724" i="6"/>
  <c r="AZ3723" i="6"/>
  <c r="AY3723" i="6"/>
  <c r="AZ3722" i="6"/>
  <c r="AY3722" i="6"/>
  <c r="AZ3721" i="6"/>
  <c r="AY3721" i="6"/>
  <c r="AZ3720" i="6"/>
  <c r="AY3720" i="6"/>
  <c r="AZ3719" i="6"/>
  <c r="AY3719" i="6"/>
  <c r="AZ3718" i="6"/>
  <c r="AY3718" i="6"/>
  <c r="AZ3717" i="6"/>
  <c r="AY3717" i="6"/>
  <c r="AZ3716" i="6"/>
  <c r="AY3716" i="6"/>
  <c r="AZ3715" i="6"/>
  <c r="AY3715" i="6"/>
  <c r="AZ3714" i="6"/>
  <c r="AY3714" i="6"/>
  <c r="AZ3713" i="6"/>
  <c r="AY3713" i="6"/>
  <c r="AZ3712" i="6"/>
  <c r="AY3712" i="6"/>
  <c r="AZ3711" i="6"/>
  <c r="AY3711" i="6"/>
  <c r="AZ3710" i="6"/>
  <c r="AY3710" i="6"/>
  <c r="AZ3709" i="6"/>
  <c r="AY3709" i="6"/>
  <c r="AZ3708" i="6"/>
  <c r="AY3708" i="6"/>
  <c r="AZ3707" i="6"/>
  <c r="AY3707" i="6"/>
  <c r="AZ3706" i="6"/>
  <c r="AY3706" i="6"/>
  <c r="AZ3705" i="6"/>
  <c r="AY3705" i="6"/>
  <c r="AZ3704" i="6"/>
  <c r="AY3704" i="6"/>
  <c r="AZ3703" i="6"/>
  <c r="AY3703" i="6"/>
  <c r="AZ3702" i="6"/>
  <c r="AY3702" i="6"/>
  <c r="AZ3701" i="6"/>
  <c r="AY3701" i="6"/>
  <c r="AZ3700" i="6"/>
  <c r="AY3700" i="6"/>
  <c r="AZ3699" i="6"/>
  <c r="AY3699" i="6"/>
  <c r="AZ3698" i="6"/>
  <c r="AY3698" i="6"/>
  <c r="AZ3697" i="6"/>
  <c r="AY3697" i="6"/>
  <c r="AZ3696" i="6"/>
  <c r="AY3696" i="6"/>
  <c r="AZ3695" i="6"/>
  <c r="AY3695" i="6"/>
  <c r="AZ3694" i="6"/>
  <c r="AY3694" i="6"/>
  <c r="AZ3693" i="6"/>
  <c r="AY3693" i="6"/>
  <c r="AZ3692" i="6"/>
  <c r="AY3692" i="6"/>
  <c r="AZ3691" i="6"/>
  <c r="AY3691" i="6"/>
  <c r="AZ3690" i="6"/>
  <c r="AY3690" i="6"/>
  <c r="AZ3689" i="6"/>
  <c r="AY3689" i="6"/>
  <c r="AZ3688" i="6"/>
  <c r="AY3688" i="6"/>
  <c r="AZ3687" i="6"/>
  <c r="AY3687" i="6"/>
  <c r="AZ3686" i="6"/>
  <c r="AY3686" i="6"/>
  <c r="AZ3685" i="6"/>
  <c r="AY3685" i="6"/>
  <c r="AZ3684" i="6"/>
  <c r="AY3684" i="6"/>
  <c r="AZ3683" i="6"/>
  <c r="AY3683" i="6"/>
  <c r="AZ3682" i="6"/>
  <c r="AY3682" i="6"/>
  <c r="AZ3681" i="6"/>
  <c r="AY3681" i="6"/>
  <c r="AZ3680" i="6"/>
  <c r="AY3680" i="6"/>
  <c r="AZ3679" i="6"/>
  <c r="AY3679" i="6"/>
  <c r="AZ3678" i="6"/>
  <c r="AY3678" i="6"/>
  <c r="AZ3677" i="6"/>
  <c r="AY3677" i="6"/>
  <c r="AZ3676" i="6"/>
  <c r="AY3676" i="6"/>
  <c r="AZ3675" i="6"/>
  <c r="AY3675" i="6"/>
  <c r="AZ3674" i="6"/>
  <c r="AY3674" i="6"/>
  <c r="AZ3673" i="6"/>
  <c r="AY3673" i="6"/>
  <c r="AZ3672" i="6"/>
  <c r="AY3672" i="6"/>
  <c r="AZ3671" i="6"/>
  <c r="AY3671" i="6"/>
  <c r="AZ3670" i="6"/>
  <c r="AY3670" i="6"/>
  <c r="AZ3669" i="6"/>
  <c r="AY3669" i="6"/>
  <c r="AZ3668" i="6"/>
  <c r="AY3668" i="6"/>
  <c r="AZ3667" i="6"/>
  <c r="AY3667" i="6"/>
  <c r="AZ3666" i="6"/>
  <c r="AY3666" i="6"/>
  <c r="AZ3665" i="6"/>
  <c r="AY3665" i="6"/>
  <c r="AZ3664" i="6"/>
  <c r="AY3664" i="6"/>
  <c r="AZ3663" i="6"/>
  <c r="AY3663" i="6"/>
  <c r="AZ3662" i="6"/>
  <c r="AY3662" i="6"/>
  <c r="AZ3661" i="6"/>
  <c r="AY3661" i="6"/>
  <c r="AZ3660" i="6"/>
  <c r="AY3660" i="6"/>
  <c r="AZ3659" i="6"/>
  <c r="AY3659" i="6"/>
  <c r="AZ3658" i="6"/>
  <c r="AY3658" i="6"/>
  <c r="AZ3657" i="6"/>
  <c r="AY3657" i="6"/>
  <c r="AZ3656" i="6"/>
  <c r="AY3656" i="6"/>
  <c r="AZ3655" i="6"/>
  <c r="AY3655" i="6"/>
  <c r="AZ3654" i="6"/>
  <c r="AY3654" i="6"/>
  <c r="AZ3653" i="6"/>
  <c r="AY3653" i="6"/>
  <c r="AZ3652" i="6"/>
  <c r="AY3652" i="6"/>
  <c r="AZ3651" i="6"/>
  <c r="AY3651" i="6"/>
  <c r="AZ3650" i="6"/>
  <c r="AY3650" i="6"/>
  <c r="AZ3649" i="6"/>
  <c r="AY3649" i="6"/>
  <c r="AZ3648" i="6"/>
  <c r="AY3648" i="6"/>
  <c r="AZ3647" i="6"/>
  <c r="AY3647" i="6"/>
  <c r="AZ3646" i="6"/>
  <c r="AY3646" i="6"/>
  <c r="AZ3645" i="6"/>
  <c r="AY3645" i="6"/>
  <c r="AZ3644" i="6"/>
  <c r="AY3644" i="6"/>
  <c r="AZ3643" i="6"/>
  <c r="AY3643" i="6"/>
  <c r="AZ3642" i="6"/>
  <c r="AY3642" i="6"/>
  <c r="AZ3641" i="6"/>
  <c r="AY3641" i="6"/>
  <c r="AZ3640" i="6"/>
  <c r="AY3640" i="6"/>
  <c r="AZ3639" i="6"/>
  <c r="AY3639" i="6"/>
  <c r="AZ3638" i="6"/>
  <c r="AY3638" i="6"/>
  <c r="AZ3637" i="6"/>
  <c r="AY3637" i="6"/>
  <c r="AZ3636" i="6"/>
  <c r="AY3636" i="6"/>
  <c r="AZ3635" i="6"/>
  <c r="AY3635" i="6"/>
  <c r="AZ3634" i="6"/>
  <c r="AY3634" i="6"/>
  <c r="AZ3633" i="6"/>
  <c r="AY3633" i="6"/>
  <c r="AZ3632" i="6"/>
  <c r="AY3632" i="6"/>
  <c r="AZ3631" i="6"/>
  <c r="AY3631" i="6"/>
  <c r="AZ3630" i="6"/>
  <c r="AY3630" i="6"/>
  <c r="AZ3629" i="6"/>
  <c r="AY3629" i="6"/>
  <c r="AZ3628" i="6"/>
  <c r="AY3628" i="6"/>
  <c r="AZ3627" i="6"/>
  <c r="AY3627" i="6"/>
  <c r="AZ3626" i="6"/>
  <c r="AY3626" i="6"/>
  <c r="AZ3625" i="6"/>
  <c r="AY3625" i="6"/>
  <c r="AZ3624" i="6"/>
  <c r="AY3624" i="6"/>
  <c r="AZ3623" i="6"/>
  <c r="AY3623" i="6"/>
  <c r="AZ3622" i="6"/>
  <c r="AY3622" i="6"/>
  <c r="AZ3621" i="6"/>
  <c r="AY3621" i="6"/>
  <c r="AZ3620" i="6"/>
  <c r="AY3620" i="6"/>
  <c r="AZ3619" i="6"/>
  <c r="AY3619" i="6"/>
  <c r="AZ3618" i="6"/>
  <c r="AY3618" i="6"/>
  <c r="AZ3617" i="6"/>
  <c r="AY3617" i="6"/>
  <c r="AZ3616" i="6"/>
  <c r="AY3616" i="6"/>
  <c r="AZ3615" i="6"/>
  <c r="AY3615" i="6"/>
  <c r="AZ3614" i="6"/>
  <c r="AY3614" i="6"/>
  <c r="AZ3613" i="6"/>
  <c r="AY3613" i="6"/>
  <c r="AZ3612" i="6"/>
  <c r="AY3612" i="6"/>
  <c r="AZ3611" i="6"/>
  <c r="AY3611" i="6"/>
  <c r="AZ3610" i="6"/>
  <c r="AY3610" i="6"/>
  <c r="AZ3609" i="6"/>
  <c r="AY3609" i="6"/>
  <c r="AZ3608" i="6"/>
  <c r="AY3608" i="6"/>
  <c r="AZ3607" i="6"/>
  <c r="AY3607" i="6"/>
  <c r="AZ3606" i="6"/>
  <c r="AY3606" i="6"/>
  <c r="AZ3605" i="6"/>
  <c r="AY3605" i="6"/>
  <c r="AZ3604" i="6"/>
  <c r="AY3604" i="6"/>
  <c r="AZ3603" i="6"/>
  <c r="AY3603" i="6"/>
  <c r="AZ3602" i="6"/>
  <c r="AY3602" i="6"/>
  <c r="AZ3601" i="6"/>
  <c r="AY3601" i="6"/>
  <c r="AZ3600" i="6"/>
  <c r="AY3600" i="6"/>
  <c r="AZ3599" i="6"/>
  <c r="AY3599" i="6"/>
  <c r="AZ3598" i="6"/>
  <c r="AY3598" i="6"/>
  <c r="AZ3597" i="6"/>
  <c r="AY3597" i="6"/>
  <c r="AZ3596" i="6"/>
  <c r="AY3596" i="6"/>
  <c r="AZ3595" i="6"/>
  <c r="AY3595" i="6"/>
  <c r="AZ3594" i="6"/>
  <c r="AY3594" i="6"/>
  <c r="AZ3593" i="6"/>
  <c r="AY3593" i="6"/>
  <c r="AZ3592" i="6"/>
  <c r="AY3592" i="6"/>
  <c r="AZ3591" i="6"/>
  <c r="AY3591" i="6"/>
  <c r="AZ3590" i="6"/>
  <c r="AY3590" i="6"/>
  <c r="AZ3589" i="6"/>
  <c r="AY3589" i="6"/>
  <c r="AZ3588" i="6"/>
  <c r="AY3588" i="6"/>
  <c r="AZ3587" i="6"/>
  <c r="AY3587" i="6"/>
  <c r="AZ3586" i="6"/>
  <c r="AY3586" i="6"/>
  <c r="AZ3585" i="6"/>
  <c r="AY3585" i="6"/>
  <c r="AZ3584" i="6"/>
  <c r="AY3584" i="6"/>
  <c r="AZ3583" i="6"/>
  <c r="AY3583" i="6"/>
  <c r="AZ3582" i="6"/>
  <c r="AY3582" i="6"/>
  <c r="AZ3581" i="6"/>
  <c r="AY3581" i="6"/>
  <c r="AZ3580" i="6"/>
  <c r="AY3580" i="6"/>
  <c r="AZ3579" i="6"/>
  <c r="AY3579" i="6"/>
  <c r="AZ3578" i="6"/>
  <c r="AY3578" i="6"/>
  <c r="AZ3577" i="6"/>
  <c r="AY3577" i="6"/>
  <c r="AZ3576" i="6"/>
  <c r="AY3576" i="6"/>
  <c r="AZ3575" i="6"/>
  <c r="AY3575" i="6"/>
  <c r="AZ3574" i="6"/>
  <c r="AY3574" i="6"/>
  <c r="AZ3573" i="6"/>
  <c r="AY3573" i="6"/>
  <c r="AZ3572" i="6"/>
  <c r="AY3572" i="6"/>
  <c r="AZ3571" i="6"/>
  <c r="AY3571" i="6"/>
  <c r="AZ3570" i="6"/>
  <c r="AY3570" i="6"/>
  <c r="AZ3569" i="6"/>
  <c r="AY3569" i="6"/>
  <c r="AZ3568" i="6"/>
  <c r="AY3568" i="6"/>
  <c r="AZ3567" i="6"/>
  <c r="AY3567" i="6"/>
  <c r="AZ3566" i="6"/>
  <c r="AY3566" i="6"/>
  <c r="AZ3565" i="6"/>
  <c r="AY3565" i="6"/>
  <c r="AZ3564" i="6"/>
  <c r="AY3564" i="6"/>
  <c r="AZ3563" i="6"/>
  <c r="AY3563" i="6"/>
  <c r="AZ3562" i="6"/>
  <c r="AY3562" i="6"/>
  <c r="AZ3561" i="6"/>
  <c r="AY3561" i="6"/>
  <c r="AZ3560" i="6"/>
  <c r="AY3560" i="6"/>
  <c r="AZ3559" i="6"/>
  <c r="AY3559" i="6"/>
  <c r="AZ3558" i="6"/>
  <c r="AY3558" i="6"/>
  <c r="AZ3557" i="6"/>
  <c r="AY3557" i="6"/>
  <c r="AZ3556" i="6"/>
  <c r="AY3556" i="6"/>
  <c r="AZ3555" i="6"/>
  <c r="AY3555" i="6"/>
  <c r="AZ3554" i="6"/>
  <c r="AY3554" i="6"/>
  <c r="AZ3553" i="6"/>
  <c r="AY3553" i="6"/>
  <c r="AZ3552" i="6"/>
  <c r="AY3552" i="6"/>
  <c r="AZ3551" i="6"/>
  <c r="AY3551" i="6"/>
  <c r="AZ3550" i="6"/>
  <c r="AY3550" i="6"/>
  <c r="AZ3549" i="6"/>
  <c r="AY3549" i="6"/>
  <c r="AZ3548" i="6"/>
  <c r="AY3548" i="6"/>
  <c r="AZ3547" i="6"/>
  <c r="AY3547" i="6"/>
  <c r="AZ3546" i="6"/>
  <c r="AY3546" i="6"/>
  <c r="AZ3545" i="6"/>
  <c r="AY3545" i="6"/>
  <c r="AZ3544" i="6"/>
  <c r="AY3544" i="6"/>
  <c r="AZ3543" i="6"/>
  <c r="AY3543" i="6"/>
  <c r="AZ3542" i="6"/>
  <c r="AY3542" i="6"/>
  <c r="AZ3541" i="6"/>
  <c r="AY3541" i="6"/>
  <c r="AZ3540" i="6"/>
  <c r="AY3540" i="6"/>
  <c r="AZ3539" i="6"/>
  <c r="AY3539" i="6"/>
  <c r="AZ3538" i="6"/>
  <c r="AY3538" i="6"/>
  <c r="AZ3537" i="6"/>
  <c r="AY3537" i="6"/>
  <c r="AZ3536" i="6"/>
  <c r="AY3536" i="6"/>
  <c r="AZ3535" i="6"/>
  <c r="AY3535" i="6"/>
  <c r="AZ3534" i="6"/>
  <c r="AY3534" i="6"/>
  <c r="AZ3533" i="6"/>
  <c r="AY3533" i="6"/>
  <c r="AZ3532" i="6"/>
  <c r="AY3532" i="6"/>
  <c r="AZ3531" i="6"/>
  <c r="AY3531" i="6"/>
  <c r="AZ3530" i="6"/>
  <c r="AY3530" i="6"/>
  <c r="AZ3529" i="6"/>
  <c r="AY3529" i="6"/>
  <c r="AZ3528" i="6"/>
  <c r="AY3528" i="6"/>
  <c r="AZ3527" i="6"/>
  <c r="AY3527" i="6"/>
  <c r="AZ3526" i="6"/>
  <c r="AY3526" i="6"/>
  <c r="AZ3525" i="6"/>
  <c r="AY3525" i="6"/>
  <c r="AZ3524" i="6"/>
  <c r="AY3524" i="6"/>
  <c r="AZ3523" i="6"/>
  <c r="AY3523" i="6"/>
  <c r="AZ3522" i="6"/>
  <c r="AY3522" i="6"/>
  <c r="AZ3521" i="6"/>
  <c r="AY3521" i="6"/>
  <c r="AZ3520" i="6"/>
  <c r="AY3520" i="6"/>
  <c r="AZ3519" i="6"/>
  <c r="AY3519" i="6"/>
  <c r="AZ3518" i="6"/>
  <c r="AY3518" i="6"/>
  <c r="AZ3517" i="6"/>
  <c r="AY3517" i="6"/>
  <c r="AZ3516" i="6"/>
  <c r="AY3516" i="6"/>
  <c r="AZ3515" i="6"/>
  <c r="AY3515" i="6"/>
  <c r="AZ3514" i="6"/>
  <c r="AY3514" i="6"/>
  <c r="AZ3513" i="6"/>
  <c r="AY3513" i="6"/>
  <c r="AZ3512" i="6"/>
  <c r="AY3512" i="6"/>
  <c r="AZ3511" i="6"/>
  <c r="AY3511" i="6"/>
  <c r="AZ3510" i="6"/>
  <c r="AY3510" i="6"/>
  <c r="AZ3509" i="6"/>
  <c r="AY3509" i="6"/>
  <c r="AZ3508" i="6"/>
  <c r="AY3508" i="6"/>
  <c r="AZ3507" i="6"/>
  <c r="AY3507" i="6"/>
  <c r="AZ3506" i="6"/>
  <c r="AY3506" i="6"/>
  <c r="AZ3505" i="6"/>
  <c r="AY3505" i="6"/>
  <c r="AZ3504" i="6"/>
  <c r="AY3504" i="6"/>
  <c r="AZ3503" i="6"/>
  <c r="AY3503" i="6"/>
  <c r="AZ3502" i="6"/>
  <c r="AY3502" i="6"/>
  <c r="AZ3501" i="6"/>
  <c r="AY3501" i="6"/>
  <c r="AZ3500" i="6"/>
  <c r="AY3500" i="6"/>
  <c r="AZ3499" i="6"/>
  <c r="AY3499" i="6"/>
  <c r="AZ3498" i="6"/>
  <c r="AY3498" i="6"/>
  <c r="AZ3497" i="6"/>
  <c r="AY3497" i="6"/>
  <c r="AZ3496" i="6"/>
  <c r="AY3496" i="6"/>
  <c r="AZ3495" i="6"/>
  <c r="AY3495" i="6"/>
  <c r="AZ3494" i="6"/>
  <c r="AY3494" i="6"/>
  <c r="AZ3493" i="6"/>
  <c r="AY3493" i="6"/>
  <c r="AZ3492" i="6"/>
  <c r="AY3492" i="6"/>
  <c r="AZ3491" i="6"/>
  <c r="AY3491" i="6"/>
  <c r="AZ3490" i="6"/>
  <c r="AY3490" i="6"/>
  <c r="AZ3489" i="6"/>
  <c r="AY3489" i="6"/>
  <c r="AZ3488" i="6"/>
  <c r="AY3488" i="6"/>
  <c r="AZ3487" i="6"/>
  <c r="AY3487" i="6"/>
  <c r="AZ3486" i="6"/>
  <c r="AY3486" i="6"/>
  <c r="AZ3485" i="6"/>
  <c r="AY3485" i="6"/>
  <c r="AZ3484" i="6"/>
  <c r="AY3484" i="6"/>
  <c r="AZ3483" i="6"/>
  <c r="AY3483" i="6"/>
  <c r="AZ3482" i="6"/>
  <c r="AY3482" i="6"/>
  <c r="AZ3481" i="6"/>
  <c r="AY3481" i="6"/>
  <c r="AZ3480" i="6"/>
  <c r="AY3480" i="6"/>
  <c r="AZ3479" i="6"/>
  <c r="AY3479" i="6"/>
  <c r="AZ3478" i="6"/>
  <c r="AY3478" i="6"/>
  <c r="AZ3477" i="6"/>
  <c r="AY3477" i="6"/>
  <c r="AZ3476" i="6"/>
  <c r="AY3476" i="6"/>
  <c r="AZ3475" i="6"/>
  <c r="AY3475" i="6"/>
  <c r="AZ3474" i="6"/>
  <c r="AY3474" i="6"/>
  <c r="AZ3473" i="6"/>
  <c r="AY3473" i="6"/>
  <c r="AZ3472" i="6"/>
  <c r="AY3472" i="6"/>
  <c r="AZ3471" i="6"/>
  <c r="AY3471" i="6"/>
  <c r="AZ3470" i="6"/>
  <c r="AY3470" i="6"/>
  <c r="AZ3469" i="6"/>
  <c r="AY3469" i="6"/>
  <c r="AZ3468" i="6"/>
  <c r="AY3468" i="6"/>
  <c r="AZ3467" i="6"/>
  <c r="AY3467" i="6"/>
  <c r="AZ3466" i="6"/>
  <c r="AY3466" i="6"/>
  <c r="AZ3465" i="6"/>
  <c r="AY3465" i="6"/>
  <c r="AZ3464" i="6"/>
  <c r="AY3464" i="6"/>
  <c r="AZ3463" i="6"/>
  <c r="AY3463" i="6"/>
  <c r="AZ3462" i="6"/>
  <c r="AY3462" i="6"/>
  <c r="AZ3461" i="6"/>
  <c r="AY3461" i="6"/>
  <c r="AZ3460" i="6"/>
  <c r="AY3460" i="6"/>
  <c r="AZ3459" i="6"/>
  <c r="AY3459" i="6"/>
  <c r="AZ3458" i="6"/>
  <c r="AY3458" i="6"/>
  <c r="AZ3457" i="6"/>
  <c r="AY3457" i="6"/>
  <c r="AZ3456" i="6"/>
  <c r="AY3456" i="6"/>
  <c r="AZ3455" i="6"/>
  <c r="AY3455" i="6"/>
  <c r="AZ3454" i="6"/>
  <c r="AY3454" i="6"/>
  <c r="AZ3453" i="6"/>
  <c r="AY3453" i="6"/>
  <c r="AZ3452" i="6"/>
  <c r="AY3452" i="6"/>
  <c r="AZ3451" i="6"/>
  <c r="AY3451" i="6"/>
  <c r="AZ3450" i="6"/>
  <c r="AY3450" i="6"/>
  <c r="AZ3449" i="6"/>
  <c r="AY3449" i="6"/>
  <c r="AZ3448" i="6"/>
  <c r="AY3448" i="6"/>
  <c r="AZ3447" i="6"/>
  <c r="AY3447" i="6"/>
  <c r="AZ3446" i="6"/>
  <c r="AY3446" i="6"/>
  <c r="AZ3445" i="6"/>
  <c r="AY3445" i="6"/>
  <c r="AZ3444" i="6"/>
  <c r="AY3444" i="6"/>
  <c r="AZ3443" i="6"/>
  <c r="AY3443" i="6"/>
  <c r="AZ3442" i="6"/>
  <c r="AY3442" i="6"/>
  <c r="AZ3441" i="6"/>
  <c r="AY3441" i="6"/>
  <c r="AZ3440" i="6"/>
  <c r="AY3440" i="6"/>
  <c r="AZ3439" i="6"/>
  <c r="AY3439" i="6"/>
  <c r="AZ3438" i="6"/>
  <c r="AY3438" i="6"/>
  <c r="AZ3437" i="6"/>
  <c r="AY3437" i="6"/>
  <c r="AZ3436" i="6"/>
  <c r="AY3436" i="6"/>
  <c r="AZ3435" i="6"/>
  <c r="AY3435" i="6"/>
  <c r="AZ3434" i="6"/>
  <c r="AY3434" i="6"/>
  <c r="AZ3433" i="6"/>
  <c r="AY3433" i="6"/>
  <c r="AZ3432" i="6"/>
  <c r="AY3432" i="6"/>
  <c r="AZ3431" i="6"/>
  <c r="AY3431" i="6"/>
  <c r="AZ3430" i="6"/>
  <c r="AY3430" i="6"/>
  <c r="AZ3429" i="6"/>
  <c r="AY3429" i="6"/>
  <c r="AZ3428" i="6"/>
  <c r="AY3428" i="6"/>
  <c r="AZ3427" i="6"/>
  <c r="AY3427" i="6"/>
  <c r="AZ3426" i="6"/>
  <c r="AY3426" i="6"/>
  <c r="AZ3425" i="6"/>
  <c r="AY3425" i="6"/>
  <c r="AZ3424" i="6"/>
  <c r="AY3424" i="6"/>
  <c r="AZ3423" i="6"/>
  <c r="AY3423" i="6"/>
  <c r="AZ3422" i="6"/>
  <c r="AY3422" i="6"/>
  <c r="AZ3421" i="6"/>
  <c r="AY3421" i="6"/>
  <c r="AZ3420" i="6"/>
  <c r="AY3420" i="6"/>
  <c r="AZ3419" i="6"/>
  <c r="AY3419" i="6"/>
  <c r="AZ3418" i="6"/>
  <c r="AY3418" i="6"/>
  <c r="AZ3417" i="6"/>
  <c r="AY3417" i="6"/>
  <c r="AZ3416" i="6"/>
  <c r="AY3416" i="6"/>
  <c r="AZ3415" i="6"/>
  <c r="AY3415" i="6"/>
  <c r="AZ3414" i="6"/>
  <c r="AY3414" i="6"/>
  <c r="AZ3413" i="6"/>
  <c r="AY3413" i="6"/>
  <c r="AZ3412" i="6"/>
  <c r="AY3412" i="6"/>
  <c r="AZ3411" i="6"/>
  <c r="AY3411" i="6"/>
  <c r="AZ3410" i="6"/>
  <c r="AY3410" i="6"/>
  <c r="AZ3409" i="6"/>
  <c r="AY3409" i="6"/>
  <c r="AZ3408" i="6"/>
  <c r="AY3408" i="6"/>
  <c r="AZ3407" i="6"/>
  <c r="AY3407" i="6"/>
  <c r="AZ3406" i="6"/>
  <c r="AY3406" i="6"/>
  <c r="AZ3405" i="6"/>
  <c r="AY3405" i="6"/>
  <c r="AZ3404" i="6"/>
  <c r="AY3404" i="6"/>
  <c r="AZ3403" i="6"/>
  <c r="AY3403" i="6"/>
  <c r="AZ3402" i="6"/>
  <c r="AY3402" i="6"/>
  <c r="AZ3401" i="6"/>
  <c r="AY3401" i="6"/>
  <c r="AZ3400" i="6"/>
  <c r="AY3400" i="6"/>
  <c r="AZ3399" i="6"/>
  <c r="AY3399" i="6"/>
  <c r="AZ3398" i="6"/>
  <c r="AY3398" i="6"/>
  <c r="AZ3397" i="6"/>
  <c r="AY3397" i="6"/>
  <c r="AZ3396" i="6"/>
  <c r="AY3396" i="6"/>
  <c r="AZ3395" i="6"/>
  <c r="AY3395" i="6"/>
  <c r="AZ3394" i="6"/>
  <c r="AY3394" i="6"/>
  <c r="AZ3393" i="6"/>
  <c r="AY3393" i="6"/>
  <c r="AZ3392" i="6"/>
  <c r="AY3392" i="6"/>
  <c r="AZ3391" i="6"/>
  <c r="AY3391" i="6"/>
  <c r="AZ3390" i="6"/>
  <c r="AY3390" i="6"/>
  <c r="AZ3389" i="6"/>
  <c r="AY3389" i="6"/>
  <c r="AZ3388" i="6"/>
  <c r="AY3388" i="6"/>
  <c r="AZ3387" i="6"/>
  <c r="AY3387" i="6"/>
  <c r="AZ3386" i="6"/>
  <c r="AY3386" i="6"/>
  <c r="AZ3385" i="6"/>
  <c r="AY3385" i="6"/>
  <c r="AZ3384" i="6"/>
  <c r="AY3384" i="6"/>
  <c r="AZ3383" i="6"/>
  <c r="AY3383" i="6"/>
  <c r="AZ3382" i="6"/>
  <c r="AY3382" i="6"/>
  <c r="AZ3381" i="6"/>
  <c r="AY3381" i="6"/>
  <c r="AZ3380" i="6"/>
  <c r="AY3380" i="6"/>
  <c r="AZ3379" i="6"/>
  <c r="AY3379" i="6"/>
  <c r="AZ3378" i="6"/>
  <c r="AY3378" i="6"/>
  <c r="AZ3377" i="6"/>
  <c r="AY3377" i="6"/>
  <c r="AZ3376" i="6"/>
  <c r="AY3376" i="6"/>
  <c r="AZ3375" i="6"/>
  <c r="AY3375" i="6"/>
  <c r="AZ3374" i="6"/>
  <c r="AY3374" i="6"/>
  <c r="AZ3373" i="6"/>
  <c r="AY3373" i="6"/>
  <c r="AZ3372" i="6"/>
  <c r="AY3372" i="6"/>
  <c r="AZ3371" i="6"/>
  <c r="AY3371" i="6"/>
  <c r="AZ3370" i="6"/>
  <c r="AY3370" i="6"/>
  <c r="AZ3369" i="6"/>
  <c r="AY3369" i="6"/>
  <c r="AZ3368" i="6"/>
  <c r="AY3368" i="6"/>
  <c r="AZ3367" i="6"/>
  <c r="AY3367" i="6"/>
  <c r="AZ3366" i="6"/>
  <c r="AY3366" i="6"/>
  <c r="AZ3365" i="6"/>
  <c r="AY3365" i="6"/>
  <c r="AZ3364" i="6"/>
  <c r="AY3364" i="6"/>
  <c r="AZ3363" i="6"/>
  <c r="AY3363" i="6"/>
  <c r="AZ3362" i="6"/>
  <c r="AY3362" i="6"/>
  <c r="AZ3361" i="6"/>
  <c r="AY3361" i="6"/>
  <c r="AZ3360" i="6"/>
  <c r="AY3360" i="6"/>
  <c r="AZ3359" i="6"/>
  <c r="AY3359" i="6"/>
  <c r="AZ3358" i="6"/>
  <c r="AY3358" i="6"/>
  <c r="AZ3357" i="6"/>
  <c r="AY3357" i="6"/>
  <c r="AZ3356" i="6"/>
  <c r="AY3356" i="6"/>
  <c r="AZ3355" i="6"/>
  <c r="AY3355" i="6"/>
  <c r="AZ3354" i="6"/>
  <c r="AY3354" i="6"/>
  <c r="AZ3353" i="6"/>
  <c r="AY3353" i="6"/>
  <c r="AZ3352" i="6"/>
  <c r="AY3352" i="6"/>
  <c r="AZ3351" i="6"/>
  <c r="AY3351" i="6"/>
  <c r="AZ3350" i="6"/>
  <c r="AY3350" i="6"/>
  <c r="AZ3349" i="6"/>
  <c r="AY3349" i="6"/>
  <c r="AZ3348" i="6"/>
  <c r="AY3348" i="6"/>
  <c r="AZ3347" i="6"/>
  <c r="AY3347" i="6"/>
  <c r="AZ3346" i="6"/>
  <c r="AY3346" i="6"/>
  <c r="AZ3345" i="6"/>
  <c r="AY3345" i="6"/>
  <c r="AZ3344" i="6"/>
  <c r="AY3344" i="6"/>
  <c r="AZ3343" i="6"/>
  <c r="AY3343" i="6"/>
  <c r="AZ3342" i="6"/>
  <c r="AY3342" i="6"/>
  <c r="AZ3341" i="6"/>
  <c r="AY3341" i="6"/>
  <c r="AZ3340" i="6"/>
  <c r="AY3340" i="6"/>
  <c r="AZ3339" i="6"/>
  <c r="AY3339" i="6"/>
  <c r="AZ3338" i="6"/>
  <c r="AY3338" i="6"/>
  <c r="AZ3337" i="6"/>
  <c r="AY3337" i="6"/>
  <c r="AZ3336" i="6"/>
  <c r="AY3336" i="6"/>
  <c r="AZ3335" i="6"/>
  <c r="AY3335" i="6"/>
  <c r="AZ3334" i="6"/>
  <c r="AY3334" i="6"/>
  <c r="AZ3333" i="6"/>
  <c r="AY3333" i="6"/>
  <c r="AZ3332" i="6"/>
  <c r="AY3332" i="6"/>
  <c r="AZ3331" i="6"/>
  <c r="AY3331" i="6"/>
  <c r="AZ3330" i="6"/>
  <c r="AY3330" i="6"/>
  <c r="AZ3329" i="6"/>
  <c r="AY3329" i="6"/>
  <c r="AZ3328" i="6"/>
  <c r="AY3328" i="6"/>
  <c r="AZ3327" i="6"/>
  <c r="AY3327" i="6"/>
  <c r="AZ3326" i="6"/>
  <c r="AY3326" i="6"/>
  <c r="AZ3325" i="6"/>
  <c r="AY3325" i="6"/>
  <c r="AZ3324" i="6"/>
  <c r="AY3324" i="6"/>
  <c r="AZ3323" i="6"/>
  <c r="AY3323" i="6"/>
  <c r="AZ3322" i="6"/>
  <c r="AY3322" i="6"/>
  <c r="AZ3321" i="6"/>
  <c r="AY3321" i="6"/>
  <c r="AZ3320" i="6"/>
  <c r="AY3320" i="6"/>
  <c r="AZ3319" i="6"/>
  <c r="AY3319" i="6"/>
  <c r="AZ3318" i="6"/>
  <c r="AY3318" i="6"/>
  <c r="AZ3317" i="6"/>
  <c r="AY3317" i="6"/>
  <c r="AZ3316" i="6"/>
  <c r="AY3316" i="6"/>
  <c r="AZ3315" i="6"/>
  <c r="AY3315" i="6"/>
  <c r="AZ3314" i="6"/>
  <c r="AY3314" i="6"/>
  <c r="AZ3313" i="6"/>
  <c r="AY3313" i="6"/>
  <c r="AZ3312" i="6"/>
  <c r="AY3312" i="6"/>
  <c r="AZ3311" i="6"/>
  <c r="AY3311" i="6"/>
  <c r="AZ3310" i="6"/>
  <c r="AY3310" i="6"/>
  <c r="AZ3309" i="6"/>
  <c r="AY3309" i="6"/>
  <c r="AZ3308" i="6"/>
  <c r="AY3308" i="6"/>
  <c r="AZ3307" i="6"/>
  <c r="AY3307" i="6"/>
  <c r="AZ3306" i="6"/>
  <c r="AY3306" i="6"/>
  <c r="AZ3305" i="6"/>
  <c r="AY3305" i="6"/>
  <c r="AZ3304" i="6"/>
  <c r="AY3304" i="6"/>
  <c r="AZ3303" i="6"/>
  <c r="AY3303" i="6"/>
  <c r="AZ3302" i="6"/>
  <c r="AY3302" i="6"/>
  <c r="AZ3301" i="6"/>
  <c r="AY3301" i="6"/>
  <c r="AZ3300" i="6"/>
  <c r="AY3300" i="6"/>
  <c r="AZ3299" i="6"/>
  <c r="AY3299" i="6"/>
  <c r="AZ3298" i="6"/>
  <c r="AY3298" i="6"/>
  <c r="AZ3297" i="6"/>
  <c r="AY3297" i="6"/>
  <c r="AZ3296" i="6"/>
  <c r="AY3296" i="6"/>
  <c r="AZ3295" i="6"/>
  <c r="AY3295" i="6"/>
  <c r="AZ3294" i="6"/>
  <c r="AY3294" i="6"/>
  <c r="AZ3293" i="6"/>
  <c r="AY3293" i="6"/>
  <c r="AZ3292" i="6"/>
  <c r="AY3292" i="6"/>
  <c r="AZ3291" i="6"/>
  <c r="AY3291" i="6"/>
  <c r="AZ3290" i="6"/>
  <c r="AY3290" i="6"/>
  <c r="AZ3289" i="6"/>
  <c r="AY3289" i="6"/>
  <c r="AZ3288" i="6"/>
  <c r="AY3288" i="6"/>
  <c r="AZ3287" i="6"/>
  <c r="AY3287" i="6"/>
  <c r="AZ3286" i="6"/>
  <c r="AY3286" i="6"/>
  <c r="AZ3285" i="6"/>
  <c r="AY3285" i="6"/>
  <c r="AZ3284" i="6"/>
  <c r="AY3284" i="6"/>
  <c r="AZ3283" i="6"/>
  <c r="AY3283" i="6"/>
  <c r="AZ3282" i="6"/>
  <c r="AY3282" i="6"/>
  <c r="AZ3281" i="6"/>
  <c r="AY3281" i="6"/>
  <c r="AZ3280" i="6"/>
  <c r="AY3280" i="6"/>
  <c r="AZ3279" i="6"/>
  <c r="AY3279" i="6"/>
  <c r="AZ3278" i="6"/>
  <c r="AY3278" i="6"/>
  <c r="AZ3277" i="6"/>
  <c r="AY3277" i="6"/>
  <c r="AZ3276" i="6"/>
  <c r="AY3276" i="6"/>
  <c r="AZ3275" i="6"/>
  <c r="AY3275" i="6"/>
  <c r="AZ3274" i="6"/>
  <c r="AY3274" i="6"/>
  <c r="AZ3273" i="6"/>
  <c r="AY3273" i="6"/>
  <c r="AZ3272" i="6"/>
  <c r="AY3272" i="6"/>
  <c r="AZ3271" i="6"/>
  <c r="AY3271" i="6"/>
  <c r="AZ3270" i="6"/>
  <c r="AY3270" i="6"/>
  <c r="AZ3269" i="6"/>
  <c r="AY3269" i="6"/>
  <c r="AZ3268" i="6"/>
  <c r="AY3268" i="6"/>
  <c r="AZ3267" i="6"/>
  <c r="AY3267" i="6"/>
  <c r="AZ3266" i="6"/>
  <c r="AY3266" i="6"/>
  <c r="AZ3265" i="6"/>
  <c r="AY3265" i="6"/>
  <c r="AZ3264" i="6"/>
  <c r="AY3264" i="6"/>
  <c r="AZ3263" i="6"/>
  <c r="AY3263" i="6"/>
  <c r="AZ3262" i="6"/>
  <c r="AY3262" i="6"/>
  <c r="AZ3261" i="6"/>
  <c r="AY3261" i="6"/>
  <c r="AZ3260" i="6"/>
  <c r="AY3260" i="6"/>
  <c r="AZ3259" i="6"/>
  <c r="AY3259" i="6"/>
  <c r="AZ3258" i="6"/>
  <c r="AY3258" i="6"/>
  <c r="AZ3257" i="6"/>
  <c r="AY3257" i="6"/>
  <c r="AZ3256" i="6"/>
  <c r="AY3256" i="6"/>
  <c r="AZ3255" i="6"/>
  <c r="AY3255" i="6"/>
  <c r="AZ3254" i="6"/>
  <c r="AY3254" i="6"/>
  <c r="AZ3253" i="6"/>
  <c r="AY3253" i="6"/>
  <c r="AZ3252" i="6"/>
  <c r="AY3252" i="6"/>
  <c r="AZ3251" i="6"/>
  <c r="AY3251" i="6"/>
  <c r="AZ3250" i="6"/>
  <c r="AY3250" i="6"/>
  <c r="AZ3249" i="6"/>
  <c r="AY3249" i="6"/>
  <c r="AZ3248" i="6"/>
  <c r="AY3248" i="6"/>
  <c r="AZ3247" i="6"/>
  <c r="AY3247" i="6"/>
  <c r="AZ3246" i="6"/>
  <c r="AY3246" i="6"/>
  <c r="AZ3245" i="6"/>
  <c r="AY3245" i="6"/>
  <c r="AZ3244" i="6"/>
  <c r="AY3244" i="6"/>
  <c r="AZ3243" i="6"/>
  <c r="AY3243" i="6"/>
  <c r="AZ3242" i="6"/>
  <c r="AY3242" i="6"/>
  <c r="AZ3241" i="6"/>
  <c r="AY3241" i="6"/>
  <c r="AZ3240" i="6"/>
  <c r="AY3240" i="6"/>
  <c r="AZ3239" i="6"/>
  <c r="AY3239" i="6"/>
  <c r="AZ3238" i="6"/>
  <c r="AY3238" i="6"/>
  <c r="AZ3237" i="6"/>
  <c r="AY3237" i="6"/>
  <c r="AZ3236" i="6"/>
  <c r="AY3236" i="6"/>
  <c r="AZ3235" i="6"/>
  <c r="AY3235" i="6"/>
  <c r="AZ3234" i="6"/>
  <c r="AY3234" i="6"/>
  <c r="AZ3233" i="6"/>
  <c r="AY3233" i="6"/>
  <c r="AZ3232" i="6"/>
  <c r="AY3232" i="6"/>
  <c r="AZ3231" i="6"/>
  <c r="AY3231" i="6"/>
  <c r="AZ3230" i="6"/>
  <c r="AY3230" i="6"/>
  <c r="AZ3229" i="6"/>
  <c r="AY3229" i="6"/>
  <c r="AZ3228" i="6"/>
  <c r="AY3228" i="6"/>
  <c r="AZ3227" i="6"/>
  <c r="AY3227" i="6"/>
  <c r="AZ3226" i="6"/>
  <c r="AY3226" i="6"/>
  <c r="AZ3225" i="6"/>
  <c r="AY3225" i="6"/>
  <c r="AZ3224" i="6"/>
  <c r="AY3224" i="6"/>
  <c r="AZ3223" i="6"/>
  <c r="AY3223" i="6"/>
  <c r="AZ3222" i="6"/>
  <c r="AY3222" i="6"/>
  <c r="AZ3221" i="6"/>
  <c r="AY3221" i="6"/>
  <c r="AZ3220" i="6"/>
  <c r="AY3220" i="6"/>
  <c r="AZ3219" i="6"/>
  <c r="AY3219" i="6"/>
  <c r="AZ3218" i="6"/>
  <c r="AY3218" i="6"/>
  <c r="AZ3217" i="6"/>
  <c r="AY3217" i="6"/>
  <c r="AZ3216" i="6"/>
  <c r="AY3216" i="6"/>
  <c r="AZ3215" i="6"/>
  <c r="AY3215" i="6"/>
  <c r="AZ3214" i="6"/>
  <c r="AY3214" i="6"/>
  <c r="AZ3213" i="6"/>
  <c r="AY3213" i="6"/>
  <c r="AZ3212" i="6"/>
  <c r="AY3212" i="6"/>
  <c r="AZ3211" i="6"/>
  <c r="AY3211" i="6"/>
  <c r="AZ3210" i="6"/>
  <c r="AY3210" i="6"/>
  <c r="AZ3209" i="6"/>
  <c r="AY3209" i="6"/>
  <c r="AZ3208" i="6"/>
  <c r="AY3208" i="6"/>
  <c r="AZ3207" i="6"/>
  <c r="AY3207" i="6"/>
  <c r="AZ3206" i="6"/>
  <c r="AY3206" i="6"/>
  <c r="AZ3205" i="6"/>
  <c r="AY3205" i="6"/>
  <c r="AZ3204" i="6"/>
  <c r="AY3204" i="6"/>
  <c r="AZ3203" i="6"/>
  <c r="AY3203" i="6"/>
  <c r="AZ3202" i="6"/>
  <c r="AY3202" i="6"/>
  <c r="AZ3201" i="6"/>
  <c r="AY3201" i="6"/>
  <c r="AZ3200" i="6"/>
  <c r="AY3200" i="6"/>
  <c r="AZ3199" i="6"/>
  <c r="AY3199" i="6"/>
  <c r="AZ3198" i="6"/>
  <c r="AY3198" i="6"/>
  <c r="AZ3197" i="6"/>
  <c r="AY3197" i="6"/>
  <c r="AZ3196" i="6"/>
  <c r="AY3196" i="6"/>
  <c r="AZ3195" i="6"/>
  <c r="AY3195" i="6"/>
  <c r="AZ3194" i="6"/>
  <c r="AY3194" i="6"/>
  <c r="AZ3193" i="6"/>
  <c r="AY3193" i="6"/>
  <c r="AZ3192" i="6"/>
  <c r="AY3192" i="6"/>
  <c r="AZ3191" i="6"/>
  <c r="AY3191" i="6"/>
  <c r="AZ3190" i="6"/>
  <c r="AY3190" i="6"/>
  <c r="AZ3189" i="6"/>
  <c r="AY3189" i="6"/>
  <c r="AZ3188" i="6"/>
  <c r="AY3188" i="6"/>
  <c r="AZ3187" i="6"/>
  <c r="AY3187" i="6"/>
  <c r="AZ3186" i="6"/>
  <c r="AY3186" i="6"/>
  <c r="AZ3185" i="6"/>
  <c r="AY3185" i="6"/>
  <c r="AZ3184" i="6"/>
  <c r="AY3184" i="6"/>
  <c r="AZ3183" i="6"/>
  <c r="AY3183" i="6"/>
  <c r="AZ3182" i="6"/>
  <c r="AY3182" i="6"/>
  <c r="AZ3181" i="6"/>
  <c r="AY3181" i="6"/>
  <c r="AZ3180" i="6"/>
  <c r="AY3180" i="6"/>
  <c r="AZ3179" i="6"/>
  <c r="AY3179" i="6"/>
  <c r="AZ3178" i="6"/>
  <c r="AY3178" i="6"/>
  <c r="AZ3177" i="6"/>
  <c r="AY3177" i="6"/>
  <c r="AZ3176" i="6"/>
  <c r="AY3176" i="6"/>
  <c r="AZ3175" i="6"/>
  <c r="AY3175" i="6"/>
  <c r="AZ3174" i="6"/>
  <c r="AY3174" i="6"/>
  <c r="AZ3173" i="6"/>
  <c r="AY3173" i="6"/>
  <c r="AZ3172" i="6"/>
  <c r="AY3172" i="6"/>
  <c r="AZ3171" i="6"/>
  <c r="AY3171" i="6"/>
  <c r="AZ3170" i="6"/>
  <c r="AY3170" i="6"/>
  <c r="AZ3169" i="6"/>
  <c r="AY3169" i="6"/>
  <c r="AZ3168" i="6"/>
  <c r="AY3168" i="6"/>
  <c r="AZ3167" i="6"/>
  <c r="AY3167" i="6"/>
  <c r="AZ3166" i="6"/>
  <c r="AY3166" i="6"/>
  <c r="AZ3165" i="6"/>
  <c r="AY3165" i="6"/>
  <c r="AZ3164" i="6"/>
  <c r="AY3164" i="6"/>
  <c r="AZ3163" i="6"/>
  <c r="AY3163" i="6"/>
  <c r="AZ3162" i="6"/>
  <c r="AY3162" i="6"/>
  <c r="AZ3161" i="6"/>
  <c r="AY3161" i="6"/>
  <c r="AZ3160" i="6"/>
  <c r="AY3160" i="6"/>
  <c r="AZ3159" i="6"/>
  <c r="AY3159" i="6"/>
  <c r="AZ3158" i="6"/>
  <c r="AY3158" i="6"/>
  <c r="AZ3157" i="6"/>
  <c r="AY3157" i="6"/>
  <c r="AZ3156" i="6"/>
  <c r="AY3156" i="6"/>
  <c r="AZ3155" i="6"/>
  <c r="AY3155" i="6"/>
  <c r="AZ3154" i="6"/>
  <c r="AY3154" i="6"/>
  <c r="AZ3153" i="6"/>
  <c r="AY3153" i="6"/>
  <c r="AZ3152" i="6"/>
  <c r="AY3152" i="6"/>
  <c r="AZ3151" i="6"/>
  <c r="AY3151" i="6"/>
  <c r="AZ3150" i="6"/>
  <c r="AY3150" i="6"/>
  <c r="AZ3149" i="6"/>
  <c r="AY3149" i="6"/>
  <c r="AZ3148" i="6"/>
  <c r="AY3148" i="6"/>
  <c r="AZ3147" i="6"/>
  <c r="AY3147" i="6"/>
  <c r="AZ3146" i="6"/>
  <c r="AY3146" i="6"/>
  <c r="AZ3145" i="6"/>
  <c r="AY3145" i="6"/>
  <c r="AZ3144" i="6"/>
  <c r="AY3144" i="6"/>
  <c r="AZ3143" i="6"/>
  <c r="AY3143" i="6"/>
  <c r="AZ3142" i="6"/>
  <c r="AY3142" i="6"/>
  <c r="AZ3141" i="6"/>
  <c r="AY3141" i="6"/>
  <c r="AZ3140" i="6"/>
  <c r="AY3140" i="6"/>
  <c r="AZ3139" i="6"/>
  <c r="AY3139" i="6"/>
  <c r="AZ3138" i="6"/>
  <c r="AY3138" i="6"/>
  <c r="AZ3137" i="6"/>
  <c r="AY3137" i="6"/>
  <c r="AZ3136" i="6"/>
  <c r="AY3136" i="6"/>
  <c r="AZ3135" i="6"/>
  <c r="AY3135" i="6"/>
  <c r="AZ3134" i="6"/>
  <c r="AY3134" i="6"/>
  <c r="AZ3133" i="6"/>
  <c r="AY3133" i="6"/>
  <c r="AZ3132" i="6"/>
  <c r="AY3132" i="6"/>
  <c r="AZ3131" i="6"/>
  <c r="AY3131" i="6"/>
  <c r="AZ3130" i="6"/>
  <c r="AY3130" i="6"/>
  <c r="AZ3129" i="6"/>
  <c r="AY3129" i="6"/>
  <c r="AZ3128" i="6"/>
  <c r="AY3128" i="6"/>
  <c r="AZ3127" i="6"/>
  <c r="AY3127" i="6"/>
  <c r="AZ3126" i="6"/>
  <c r="AY3126" i="6"/>
  <c r="AZ3125" i="6"/>
  <c r="AY3125" i="6"/>
  <c r="AZ3124" i="6"/>
  <c r="AY3124" i="6"/>
  <c r="AZ3123" i="6"/>
  <c r="AY3123" i="6"/>
  <c r="AZ3122" i="6"/>
  <c r="AY3122" i="6"/>
  <c r="AZ3121" i="6"/>
  <c r="AY3121" i="6"/>
  <c r="AZ3120" i="6"/>
  <c r="AY3120" i="6"/>
  <c r="AZ3119" i="6"/>
  <c r="AY3119" i="6"/>
  <c r="AZ3118" i="6"/>
  <c r="AY3118" i="6"/>
  <c r="AZ3117" i="6"/>
  <c r="AY3117" i="6"/>
  <c r="AZ3116" i="6"/>
  <c r="AY3116" i="6"/>
  <c r="AZ3115" i="6"/>
  <c r="AY3115" i="6"/>
  <c r="AZ3114" i="6"/>
  <c r="AY3114" i="6"/>
  <c r="AZ3113" i="6"/>
  <c r="AY3113" i="6"/>
  <c r="AZ3112" i="6"/>
  <c r="AY3112" i="6"/>
  <c r="AZ3111" i="6"/>
  <c r="AY3111" i="6"/>
  <c r="AZ3110" i="6"/>
  <c r="AY3110" i="6"/>
  <c r="AZ3109" i="6"/>
  <c r="AY3109" i="6"/>
  <c r="AZ3108" i="6"/>
  <c r="AY3108" i="6"/>
  <c r="AZ3107" i="6"/>
  <c r="AY3107" i="6"/>
  <c r="AZ3106" i="6"/>
  <c r="AY3106" i="6"/>
  <c r="AZ3105" i="6"/>
  <c r="AY3105" i="6"/>
  <c r="AZ3104" i="6"/>
  <c r="AY3104" i="6"/>
  <c r="AZ3103" i="6"/>
  <c r="AY3103" i="6"/>
  <c r="AZ3102" i="6"/>
  <c r="AY3102" i="6"/>
  <c r="AZ3101" i="6"/>
  <c r="AY3101" i="6"/>
  <c r="AZ3100" i="6"/>
  <c r="AY3100" i="6"/>
  <c r="AZ3099" i="6"/>
  <c r="AY3099" i="6"/>
  <c r="AZ3098" i="6"/>
  <c r="AY3098" i="6"/>
  <c r="AZ3097" i="6"/>
  <c r="AY3097" i="6"/>
  <c r="AZ3096" i="6"/>
  <c r="AY3096" i="6"/>
  <c r="AZ3095" i="6"/>
  <c r="AY3095" i="6"/>
  <c r="AZ3094" i="6"/>
  <c r="AY3094" i="6"/>
  <c r="AZ3093" i="6"/>
  <c r="AY3093" i="6"/>
  <c r="AZ3092" i="6"/>
  <c r="AY3092" i="6"/>
  <c r="AZ3091" i="6"/>
  <c r="AY3091" i="6"/>
  <c r="AZ3090" i="6"/>
  <c r="AY3090" i="6"/>
  <c r="AZ3089" i="6"/>
  <c r="AY3089" i="6"/>
  <c r="AZ3088" i="6"/>
  <c r="AY3088" i="6"/>
  <c r="AZ3087" i="6"/>
  <c r="AY3087" i="6"/>
  <c r="AZ3086" i="6"/>
  <c r="AY3086" i="6"/>
  <c r="AZ3085" i="6"/>
  <c r="AY3085" i="6"/>
  <c r="AZ3084" i="6"/>
  <c r="AY3084" i="6"/>
  <c r="AZ3083" i="6"/>
  <c r="AY3083" i="6"/>
  <c r="AZ3082" i="6"/>
  <c r="AY3082" i="6"/>
  <c r="AZ3081" i="6"/>
  <c r="AY3081" i="6"/>
  <c r="AZ3080" i="6"/>
  <c r="AY3080" i="6"/>
  <c r="AZ3079" i="6"/>
  <c r="AY3079" i="6"/>
  <c r="AZ3078" i="6"/>
  <c r="AY3078" i="6"/>
  <c r="AZ3077" i="6"/>
  <c r="AY3077" i="6"/>
  <c r="AZ3076" i="6"/>
  <c r="AY3076" i="6"/>
  <c r="AZ3075" i="6"/>
  <c r="AY3075" i="6"/>
  <c r="AZ3074" i="6"/>
  <c r="AY3074" i="6"/>
  <c r="AZ3073" i="6"/>
  <c r="AY3073" i="6"/>
  <c r="AZ3072" i="6"/>
  <c r="AY3072" i="6"/>
  <c r="AZ3071" i="6"/>
  <c r="AY3071" i="6"/>
  <c r="AZ3070" i="6"/>
  <c r="AY3070" i="6"/>
  <c r="AZ3069" i="6"/>
  <c r="AY3069" i="6"/>
  <c r="AZ3068" i="6"/>
  <c r="AY3068" i="6"/>
  <c r="AZ3067" i="6"/>
  <c r="AY3067" i="6"/>
  <c r="AZ3066" i="6"/>
  <c r="AY3066" i="6"/>
  <c r="AZ3065" i="6"/>
  <c r="AY3065" i="6"/>
  <c r="AZ3064" i="6"/>
  <c r="AY3064" i="6"/>
  <c r="AZ3063" i="6"/>
  <c r="AY3063" i="6"/>
  <c r="AZ3062" i="6"/>
  <c r="AY3062" i="6"/>
  <c r="AZ3061" i="6"/>
  <c r="AY3061" i="6"/>
  <c r="AZ3060" i="6"/>
  <c r="AY3060" i="6"/>
  <c r="AZ3059" i="6"/>
  <c r="AY3059" i="6"/>
  <c r="AZ3058" i="6"/>
  <c r="AY3058" i="6"/>
  <c r="AZ3057" i="6"/>
  <c r="AY3057" i="6"/>
  <c r="AZ3056" i="6"/>
  <c r="AY3056" i="6"/>
  <c r="AZ3055" i="6"/>
  <c r="AY3055" i="6"/>
  <c r="AZ3054" i="6"/>
  <c r="AY3054" i="6"/>
  <c r="AZ3053" i="6"/>
  <c r="AY3053" i="6"/>
  <c r="AZ3052" i="6"/>
  <c r="AY3052" i="6"/>
  <c r="AZ3051" i="6"/>
  <c r="AY3051" i="6"/>
  <c r="AZ3050" i="6"/>
  <c r="AY3050" i="6"/>
  <c r="AZ3049" i="6"/>
  <c r="AY3049" i="6"/>
  <c r="AZ3048" i="6"/>
  <c r="AY3048" i="6"/>
  <c r="AZ3047" i="6"/>
  <c r="AY3047" i="6"/>
  <c r="AZ3046" i="6"/>
  <c r="AY3046" i="6"/>
  <c r="AZ3045" i="6"/>
  <c r="AY3045" i="6"/>
  <c r="AZ3044" i="6"/>
  <c r="AY3044" i="6"/>
  <c r="AZ3043" i="6"/>
  <c r="AY3043" i="6"/>
  <c r="AZ3042" i="6"/>
  <c r="AY3042" i="6"/>
  <c r="AZ3041" i="6"/>
  <c r="AY3041" i="6"/>
  <c r="AZ3040" i="6"/>
  <c r="AY3040" i="6"/>
  <c r="AZ3039" i="6"/>
  <c r="AY3039" i="6"/>
  <c r="AZ3038" i="6"/>
  <c r="AY3038" i="6"/>
  <c r="AZ3037" i="6"/>
  <c r="AY3037" i="6"/>
  <c r="AZ3036" i="6"/>
  <c r="AY3036" i="6"/>
  <c r="AZ3035" i="6"/>
  <c r="AY3035" i="6"/>
  <c r="AZ3034" i="6"/>
  <c r="AY3034" i="6"/>
  <c r="AZ3033" i="6"/>
  <c r="AY3033" i="6"/>
  <c r="AZ3032" i="6"/>
  <c r="AY3032" i="6"/>
  <c r="AZ3031" i="6"/>
  <c r="AY3031" i="6"/>
  <c r="AZ3030" i="6"/>
  <c r="AY3030" i="6"/>
  <c r="AZ3029" i="6"/>
  <c r="AY3029" i="6"/>
  <c r="AZ3028" i="6"/>
  <c r="AY3028" i="6"/>
  <c r="AZ3027" i="6"/>
  <c r="AY3027" i="6"/>
  <c r="AZ3026" i="6"/>
  <c r="AY3026" i="6"/>
  <c r="AZ3025" i="6"/>
  <c r="AY3025" i="6"/>
  <c r="AZ3024" i="6"/>
  <c r="AY3024" i="6"/>
  <c r="AZ3023" i="6"/>
  <c r="AY3023" i="6"/>
  <c r="AZ3022" i="6"/>
  <c r="AY3022" i="6"/>
  <c r="AZ3021" i="6"/>
  <c r="AY3021" i="6"/>
  <c r="AZ3020" i="6"/>
  <c r="AY3020" i="6"/>
  <c r="AZ3019" i="6"/>
  <c r="AY3019" i="6"/>
  <c r="AZ3018" i="6"/>
  <c r="AY3018" i="6"/>
  <c r="AZ3017" i="6"/>
  <c r="AY3017" i="6"/>
  <c r="AZ3016" i="6"/>
  <c r="AY3016" i="6"/>
  <c r="AZ3015" i="6"/>
  <c r="AY3015" i="6"/>
  <c r="AZ3014" i="6"/>
  <c r="AY3014" i="6"/>
  <c r="AZ3013" i="6"/>
  <c r="AY3013" i="6"/>
  <c r="AZ3012" i="6"/>
  <c r="AY3012" i="6"/>
  <c r="AZ3011" i="6"/>
  <c r="AY3011" i="6"/>
  <c r="AZ3010" i="6"/>
  <c r="AY3010" i="6"/>
  <c r="AZ3009" i="6"/>
  <c r="AY3009" i="6"/>
  <c r="AZ3008" i="6"/>
  <c r="AY3008" i="6"/>
  <c r="AZ3007" i="6"/>
  <c r="AY3007" i="6"/>
  <c r="AZ3006" i="6"/>
  <c r="AY3006" i="6"/>
  <c r="AZ3005" i="6"/>
  <c r="AY3005" i="6"/>
  <c r="AZ3004" i="6"/>
  <c r="AY3004" i="6"/>
  <c r="AZ3003" i="6"/>
  <c r="AY3003" i="6"/>
  <c r="AZ3002" i="6"/>
  <c r="AY3002" i="6"/>
  <c r="AZ3001" i="6"/>
  <c r="AY3001" i="6"/>
  <c r="AZ3000" i="6"/>
  <c r="AY3000" i="6"/>
  <c r="AZ2999" i="6"/>
  <c r="AY2999" i="6"/>
  <c r="AZ2998" i="6"/>
  <c r="AY2998" i="6"/>
  <c r="AZ2997" i="6"/>
  <c r="AY2997" i="6"/>
  <c r="AZ2996" i="6"/>
  <c r="AY2996" i="6"/>
  <c r="AZ2995" i="6"/>
  <c r="AY2995" i="6"/>
  <c r="AZ2994" i="6"/>
  <c r="AY2994" i="6"/>
  <c r="AZ2993" i="6"/>
  <c r="AY2993" i="6"/>
  <c r="AZ2992" i="6"/>
  <c r="AY2992" i="6"/>
  <c r="AZ2991" i="6"/>
  <c r="AY2991" i="6"/>
  <c r="AZ2990" i="6"/>
  <c r="AY2990" i="6"/>
  <c r="AZ2989" i="6"/>
  <c r="AY2989" i="6"/>
  <c r="AZ2988" i="6"/>
  <c r="AY2988" i="6"/>
  <c r="AZ2987" i="6"/>
  <c r="AY2987" i="6"/>
  <c r="AZ2986" i="6"/>
  <c r="AY2986" i="6"/>
  <c r="AZ2985" i="6"/>
  <c r="AY2985" i="6"/>
  <c r="AZ2984" i="6"/>
  <c r="AY2984" i="6"/>
  <c r="AZ2983" i="6"/>
  <c r="AY2983" i="6"/>
  <c r="AZ2982" i="6"/>
  <c r="AY2982" i="6"/>
  <c r="AZ2981" i="6"/>
  <c r="AY2981" i="6"/>
  <c r="AZ2980" i="6"/>
  <c r="AY2980" i="6"/>
  <c r="AZ2979" i="6"/>
  <c r="AY2979" i="6"/>
  <c r="AZ2978" i="6"/>
  <c r="AY2978" i="6"/>
  <c r="AZ2977" i="6"/>
  <c r="AY2977" i="6"/>
  <c r="AZ2976" i="6"/>
  <c r="AY2976" i="6"/>
  <c r="AZ2975" i="6"/>
  <c r="AY2975" i="6"/>
  <c r="AZ2974" i="6"/>
  <c r="AY2974" i="6"/>
  <c r="AZ2973" i="6"/>
  <c r="AY2973" i="6"/>
  <c r="AZ2972" i="6"/>
  <c r="AY2972" i="6"/>
  <c r="AZ2971" i="6"/>
  <c r="AY2971" i="6"/>
  <c r="AZ2970" i="6"/>
  <c r="AY2970" i="6"/>
  <c r="AZ2969" i="6"/>
  <c r="AY2969" i="6"/>
  <c r="AZ2968" i="6"/>
  <c r="AY2968" i="6"/>
  <c r="AZ2967" i="6"/>
  <c r="AY2967" i="6"/>
  <c r="AZ2966" i="6"/>
  <c r="AY2966" i="6"/>
  <c r="AZ2965" i="6"/>
  <c r="AY2965" i="6"/>
  <c r="AZ2964" i="6"/>
  <c r="AY2964" i="6"/>
  <c r="AZ2963" i="6"/>
  <c r="AY2963" i="6"/>
  <c r="AZ2962" i="6"/>
  <c r="AY2962" i="6"/>
  <c r="AZ2961" i="6"/>
  <c r="AY2961" i="6"/>
  <c r="AZ2960" i="6"/>
  <c r="AY2960" i="6"/>
  <c r="AZ2959" i="6"/>
  <c r="AY2959" i="6"/>
  <c r="AZ2958" i="6"/>
  <c r="AY2958" i="6"/>
  <c r="AZ2957" i="6"/>
  <c r="AY2957" i="6"/>
  <c r="AZ2956" i="6"/>
  <c r="AY2956" i="6"/>
  <c r="AZ2955" i="6"/>
  <c r="AY2955" i="6"/>
  <c r="AZ2954" i="6"/>
  <c r="AY2954" i="6"/>
  <c r="AZ2953" i="6"/>
  <c r="AY2953" i="6"/>
  <c r="AZ2952" i="6"/>
  <c r="AY2952" i="6"/>
  <c r="AZ2951" i="6"/>
  <c r="AY2951" i="6"/>
  <c r="AZ2950" i="6"/>
  <c r="AY2950" i="6"/>
  <c r="AZ2949" i="6"/>
  <c r="AY2949" i="6"/>
  <c r="AZ2948" i="6"/>
  <c r="AY2948" i="6"/>
  <c r="AZ2947" i="6"/>
  <c r="AY2947" i="6"/>
  <c r="AZ2946" i="6"/>
  <c r="AY2946" i="6"/>
  <c r="AZ2945" i="6"/>
  <c r="AY2945" i="6"/>
  <c r="AZ2944" i="6"/>
  <c r="AY2944" i="6"/>
  <c r="AZ2943" i="6"/>
  <c r="AY2943" i="6"/>
  <c r="AZ2942" i="6"/>
  <c r="AY2942" i="6"/>
  <c r="AZ2941" i="6"/>
  <c r="AY2941" i="6"/>
  <c r="AZ2940" i="6"/>
  <c r="AY2940" i="6"/>
  <c r="AZ2939" i="6"/>
  <c r="AY2939" i="6"/>
  <c r="AZ2938" i="6"/>
  <c r="AY2938" i="6"/>
  <c r="AZ2937" i="6"/>
  <c r="AY2937" i="6"/>
  <c r="AZ2936" i="6"/>
  <c r="AY2936" i="6"/>
  <c r="AZ2935" i="6"/>
  <c r="AY2935" i="6"/>
  <c r="AZ2934" i="6"/>
  <c r="AY2934" i="6"/>
  <c r="AZ2933" i="6"/>
  <c r="AY2933" i="6"/>
  <c r="AZ2932" i="6"/>
  <c r="AY2932" i="6"/>
  <c r="AZ2931" i="6"/>
  <c r="AY2931" i="6"/>
  <c r="AZ2930" i="6"/>
  <c r="AY2930" i="6"/>
  <c r="AZ2929" i="6"/>
  <c r="AY2929" i="6"/>
  <c r="AZ2928" i="6"/>
  <c r="AY2928" i="6"/>
  <c r="AZ2927" i="6"/>
  <c r="AY2927" i="6"/>
  <c r="AZ2926" i="6"/>
  <c r="AY2926" i="6"/>
  <c r="AZ2925" i="6"/>
  <c r="AY2925" i="6"/>
  <c r="AZ2924" i="6"/>
  <c r="AY2924" i="6"/>
  <c r="AZ2923" i="6"/>
  <c r="AY2923" i="6"/>
  <c r="AZ2922" i="6"/>
  <c r="AY2922" i="6"/>
  <c r="AZ2921" i="6"/>
  <c r="AY2921" i="6"/>
  <c r="AZ2920" i="6"/>
  <c r="AY2920" i="6"/>
  <c r="AZ2919" i="6"/>
  <c r="AY2919" i="6"/>
  <c r="AZ2918" i="6"/>
  <c r="AY2918" i="6"/>
  <c r="AZ2917" i="6"/>
  <c r="AY2917" i="6"/>
  <c r="AZ2916" i="6"/>
  <c r="AY2916" i="6"/>
  <c r="AZ2915" i="6"/>
  <c r="AY2915" i="6"/>
  <c r="AZ2914" i="6"/>
  <c r="AY2914" i="6"/>
  <c r="AZ2913" i="6"/>
  <c r="AY2913" i="6"/>
  <c r="AZ2912" i="6"/>
  <c r="AY2912" i="6"/>
  <c r="AZ2911" i="6"/>
  <c r="AY2911" i="6"/>
  <c r="AZ2910" i="6"/>
  <c r="AY2910" i="6"/>
  <c r="AZ2909" i="6"/>
  <c r="AY2909" i="6"/>
  <c r="AZ2908" i="6"/>
  <c r="AY2908" i="6"/>
  <c r="AZ2907" i="6"/>
  <c r="AY2907" i="6"/>
  <c r="AZ2906" i="6"/>
  <c r="AY2906" i="6"/>
  <c r="AZ2905" i="6"/>
  <c r="AY2905" i="6"/>
  <c r="AZ2904" i="6"/>
  <c r="AY2904" i="6"/>
  <c r="AZ2903" i="6"/>
  <c r="AY2903" i="6"/>
  <c r="AZ2902" i="6"/>
  <c r="AY2902" i="6"/>
  <c r="AZ2901" i="6"/>
  <c r="AY2901" i="6"/>
  <c r="AZ2900" i="6"/>
  <c r="AY2900" i="6"/>
  <c r="AZ2899" i="6"/>
  <c r="AY2899" i="6"/>
  <c r="AZ2898" i="6"/>
  <c r="AY2898" i="6"/>
  <c r="AZ2897" i="6"/>
  <c r="AY2897" i="6"/>
  <c r="AZ2896" i="6"/>
  <c r="AY2896" i="6"/>
  <c r="AZ2895" i="6"/>
  <c r="AY2895" i="6"/>
  <c r="AZ2894" i="6"/>
  <c r="AY2894" i="6"/>
  <c r="AZ2893" i="6"/>
  <c r="AY2893" i="6"/>
  <c r="AZ2892" i="6"/>
  <c r="AY2892" i="6"/>
  <c r="AZ2891" i="6"/>
  <c r="AY2891" i="6"/>
  <c r="AZ2890" i="6"/>
  <c r="AY2890" i="6"/>
  <c r="AZ2889" i="6"/>
  <c r="AY2889" i="6"/>
  <c r="AZ2888" i="6"/>
  <c r="AY2888" i="6"/>
  <c r="AZ2887" i="6"/>
  <c r="AY2887" i="6"/>
  <c r="AZ2886" i="6"/>
  <c r="AY2886" i="6"/>
  <c r="AZ2885" i="6"/>
  <c r="AY2885" i="6"/>
  <c r="AZ2884" i="6"/>
  <c r="AY2884" i="6"/>
  <c r="AZ2883" i="6"/>
  <c r="AY2883" i="6"/>
  <c r="AZ2882" i="6"/>
  <c r="AY2882" i="6"/>
  <c r="AZ2881" i="6"/>
  <c r="AY2881" i="6"/>
  <c r="AZ2880" i="6"/>
  <c r="AY2880" i="6"/>
  <c r="AZ2879" i="6"/>
  <c r="AY2879" i="6"/>
  <c r="AZ2878" i="6"/>
  <c r="AY2878" i="6"/>
  <c r="AZ2877" i="6"/>
  <c r="AY2877" i="6"/>
  <c r="AZ2876" i="6"/>
  <c r="AY2876" i="6"/>
  <c r="AZ2875" i="6"/>
  <c r="AY2875" i="6"/>
  <c r="AZ2874" i="6"/>
  <c r="AY2874" i="6"/>
  <c r="AZ2873" i="6"/>
  <c r="AY2873" i="6"/>
  <c r="AZ2872" i="6"/>
  <c r="AY2872" i="6"/>
  <c r="AZ2871" i="6"/>
  <c r="AY2871" i="6"/>
  <c r="AZ2870" i="6"/>
  <c r="AY2870" i="6"/>
  <c r="AZ2869" i="6"/>
  <c r="AY2869" i="6"/>
  <c r="AZ2868" i="6"/>
  <c r="AY2868" i="6"/>
  <c r="AZ2867" i="6"/>
  <c r="AY2867" i="6"/>
  <c r="AZ2866" i="6"/>
  <c r="AY2866" i="6"/>
  <c r="AZ2865" i="6"/>
  <c r="AY2865" i="6"/>
  <c r="AZ2864" i="6"/>
  <c r="AY2864" i="6"/>
  <c r="AZ2863" i="6"/>
  <c r="AY2863" i="6"/>
  <c r="AZ2862" i="6"/>
  <c r="AY2862" i="6"/>
  <c r="AZ2861" i="6"/>
  <c r="AY2861" i="6"/>
  <c r="AZ2860" i="6"/>
  <c r="AY2860" i="6"/>
  <c r="AZ2859" i="6"/>
  <c r="AY2859" i="6"/>
  <c r="AZ2858" i="6"/>
  <c r="AY2858" i="6"/>
  <c r="AZ2857" i="6"/>
  <c r="AY2857" i="6"/>
  <c r="AZ2856" i="6"/>
  <c r="AY2856" i="6"/>
  <c r="AZ2855" i="6"/>
  <c r="AY2855" i="6"/>
  <c r="AZ2854" i="6"/>
  <c r="AY2854" i="6"/>
  <c r="AZ2853" i="6"/>
  <c r="AY2853" i="6"/>
  <c r="AZ2852" i="6"/>
  <c r="AY2852" i="6"/>
  <c r="AZ2851" i="6"/>
  <c r="AY2851" i="6"/>
  <c r="AZ2850" i="6"/>
  <c r="AY2850" i="6"/>
  <c r="AZ2849" i="6"/>
  <c r="AY2849" i="6"/>
  <c r="AZ2848" i="6"/>
  <c r="AY2848" i="6"/>
  <c r="AZ2847" i="6"/>
  <c r="AY2847" i="6"/>
  <c r="AZ2846" i="6"/>
  <c r="AY2846" i="6"/>
  <c r="AZ2845" i="6"/>
  <c r="AY2845" i="6"/>
  <c r="AZ2844" i="6"/>
  <c r="AY2844" i="6"/>
  <c r="AZ2843" i="6"/>
  <c r="AY2843" i="6"/>
  <c r="AZ2842" i="6"/>
  <c r="AY2842" i="6"/>
  <c r="AZ2841" i="6"/>
  <c r="AY2841" i="6"/>
  <c r="AZ2840" i="6"/>
  <c r="AY2840" i="6"/>
  <c r="AZ2839" i="6"/>
  <c r="AY2839" i="6"/>
  <c r="AZ2838" i="6"/>
  <c r="AY2838" i="6"/>
  <c r="AZ2837" i="6"/>
  <c r="AY2837" i="6"/>
  <c r="AZ2836" i="6"/>
  <c r="AY2836" i="6"/>
  <c r="AZ2835" i="6"/>
  <c r="AY2835" i="6"/>
  <c r="AZ2834" i="6"/>
  <c r="AY2834" i="6"/>
  <c r="AZ2833" i="6"/>
  <c r="AY2833" i="6"/>
  <c r="AZ2832" i="6"/>
  <c r="AY2832" i="6"/>
  <c r="AZ2831" i="6"/>
  <c r="AY2831" i="6"/>
  <c r="AZ2830" i="6"/>
  <c r="AY2830" i="6"/>
  <c r="AZ2829" i="6"/>
  <c r="AY2829" i="6"/>
  <c r="AZ2828" i="6"/>
  <c r="AY2828" i="6"/>
  <c r="AZ2827" i="6"/>
  <c r="AY2827" i="6"/>
  <c r="AZ2826" i="6"/>
  <c r="AY2826" i="6"/>
  <c r="AZ2825" i="6"/>
  <c r="AY2825" i="6"/>
  <c r="AZ2824" i="6"/>
  <c r="AY2824" i="6"/>
  <c r="AZ2823" i="6"/>
  <c r="AY2823" i="6"/>
  <c r="AZ2822" i="6"/>
  <c r="AY2822" i="6"/>
  <c r="AZ2821" i="6"/>
  <c r="AY2821" i="6"/>
  <c r="AZ2820" i="6"/>
  <c r="AY2820" i="6"/>
  <c r="AZ2819" i="6"/>
  <c r="AY2819" i="6"/>
  <c r="AZ2818" i="6"/>
  <c r="AY2818" i="6"/>
  <c r="AZ2817" i="6"/>
  <c r="AY2817" i="6"/>
  <c r="AZ2816" i="6"/>
  <c r="AY2816" i="6"/>
  <c r="AZ2815" i="6"/>
  <c r="AY2815" i="6"/>
  <c r="AZ2814" i="6"/>
  <c r="AY2814" i="6"/>
  <c r="AZ2813" i="6"/>
  <c r="AY2813" i="6"/>
  <c r="AZ2812" i="6"/>
  <c r="AY2812" i="6"/>
  <c r="AZ2811" i="6"/>
  <c r="AY2811" i="6"/>
  <c r="AZ2810" i="6"/>
  <c r="AY2810" i="6"/>
  <c r="AZ2809" i="6"/>
  <c r="AY2809" i="6"/>
  <c r="AZ2808" i="6"/>
  <c r="AY2808" i="6"/>
  <c r="AZ2807" i="6"/>
  <c r="AY2807" i="6"/>
  <c r="AZ2806" i="6"/>
  <c r="AY2806" i="6"/>
  <c r="AZ2805" i="6"/>
  <c r="AY2805" i="6"/>
  <c r="AZ2804" i="6"/>
  <c r="AY2804" i="6"/>
  <c r="AZ2803" i="6"/>
  <c r="AY2803" i="6"/>
  <c r="AZ2802" i="6"/>
  <c r="AY2802" i="6"/>
  <c r="AZ2801" i="6"/>
  <c r="AY2801" i="6"/>
  <c r="AZ2800" i="6"/>
  <c r="AY2800" i="6"/>
  <c r="AZ2799" i="6"/>
  <c r="AY2799" i="6"/>
  <c r="AZ2798" i="6"/>
  <c r="AY2798" i="6"/>
  <c r="AZ2797" i="6"/>
  <c r="AY2797" i="6"/>
  <c r="AZ2796" i="6"/>
  <c r="AY2796" i="6"/>
  <c r="AZ2795" i="6"/>
  <c r="AY2795" i="6"/>
  <c r="AZ2794" i="6"/>
  <c r="AY2794" i="6"/>
  <c r="AZ2793" i="6"/>
  <c r="AY2793" i="6"/>
  <c r="AZ2792" i="6"/>
  <c r="AY2792" i="6"/>
  <c r="AZ2791" i="6"/>
  <c r="AY2791" i="6"/>
  <c r="AZ2790" i="6"/>
  <c r="AY2790" i="6"/>
  <c r="AZ2789" i="6"/>
  <c r="AY2789" i="6"/>
  <c r="AZ2788" i="6"/>
  <c r="AY2788" i="6"/>
  <c r="AZ2787" i="6"/>
  <c r="AY2787" i="6"/>
  <c r="AZ2786" i="6"/>
  <c r="AY2786" i="6"/>
  <c r="AZ2785" i="6"/>
  <c r="AY2785" i="6"/>
  <c r="AZ2784" i="6"/>
  <c r="AY2784" i="6"/>
  <c r="AZ2783" i="6"/>
  <c r="AY2783" i="6"/>
  <c r="AZ2782" i="6"/>
  <c r="AY2782" i="6"/>
  <c r="AZ2781" i="6"/>
  <c r="AY2781" i="6"/>
  <c r="AZ2780" i="6"/>
  <c r="AY2780" i="6"/>
  <c r="AZ2779" i="6"/>
  <c r="AY2779" i="6"/>
  <c r="AZ2778" i="6"/>
  <c r="AY2778" i="6"/>
  <c r="AZ2777" i="6"/>
  <c r="AY2777" i="6"/>
  <c r="AZ2776" i="6"/>
  <c r="AY2776" i="6"/>
  <c r="AZ2775" i="6"/>
  <c r="AY2775" i="6"/>
  <c r="AZ2774" i="6"/>
  <c r="AY2774" i="6"/>
  <c r="AZ2773" i="6"/>
  <c r="AY2773" i="6"/>
  <c r="AZ2772" i="6"/>
  <c r="AY2772" i="6"/>
  <c r="AZ2771" i="6"/>
  <c r="AY2771" i="6"/>
  <c r="AZ2770" i="6"/>
  <c r="AY2770" i="6"/>
  <c r="AZ2769" i="6"/>
  <c r="AY2769" i="6"/>
  <c r="AZ2768" i="6"/>
  <c r="AY2768" i="6"/>
  <c r="AZ2767" i="6"/>
  <c r="AY2767" i="6"/>
  <c r="AZ2766" i="6"/>
  <c r="AY2766" i="6"/>
  <c r="AZ2765" i="6"/>
  <c r="AY2765" i="6"/>
  <c r="AZ2764" i="6"/>
  <c r="AY2764" i="6"/>
  <c r="AZ2763" i="6"/>
  <c r="AY2763" i="6"/>
  <c r="AZ2762" i="6"/>
  <c r="AY2762" i="6"/>
  <c r="AZ2761" i="6"/>
  <c r="AY2761" i="6"/>
  <c r="AZ2760" i="6"/>
  <c r="AY2760" i="6"/>
  <c r="AZ2759" i="6"/>
  <c r="AY2759" i="6"/>
  <c r="AZ2758" i="6"/>
  <c r="AY2758" i="6"/>
  <c r="AZ2757" i="6"/>
  <c r="AY2757" i="6"/>
  <c r="AZ2756" i="6"/>
  <c r="AY2756" i="6"/>
  <c r="AZ2755" i="6"/>
  <c r="AY2755" i="6"/>
  <c r="AZ2754" i="6"/>
  <c r="AY2754" i="6"/>
  <c r="AZ2753" i="6"/>
  <c r="AY2753" i="6"/>
  <c r="AZ2752" i="6"/>
  <c r="AY2752" i="6"/>
  <c r="AZ2751" i="6"/>
  <c r="AY2751" i="6"/>
  <c r="AZ2750" i="6"/>
  <c r="AY2750" i="6"/>
  <c r="AZ2749" i="6"/>
  <c r="AY2749" i="6"/>
  <c r="AZ2748" i="6"/>
  <c r="AY2748" i="6"/>
  <c r="AZ2747" i="6"/>
  <c r="AY2747" i="6"/>
  <c r="AZ2746" i="6"/>
  <c r="AY2746" i="6"/>
  <c r="AZ2745" i="6"/>
  <c r="AY2745" i="6"/>
  <c r="AZ2744" i="6"/>
  <c r="AY2744" i="6"/>
  <c r="AZ2743" i="6"/>
  <c r="AY2743" i="6"/>
  <c r="AZ2742" i="6"/>
  <c r="AY2742" i="6"/>
  <c r="AZ2741" i="6"/>
  <c r="AY2741" i="6"/>
  <c r="AZ2740" i="6"/>
  <c r="AY2740" i="6"/>
  <c r="AZ2739" i="6"/>
  <c r="AY2739" i="6"/>
  <c r="AZ2738" i="6"/>
  <c r="AY2738" i="6"/>
  <c r="AZ2737" i="6"/>
  <c r="AY2737" i="6"/>
  <c r="AZ2736" i="6"/>
  <c r="AY2736" i="6"/>
  <c r="AZ2735" i="6"/>
  <c r="AY2735" i="6"/>
  <c r="AZ2734" i="6"/>
  <c r="AY2734" i="6"/>
  <c r="AZ2733" i="6"/>
  <c r="AY2733" i="6"/>
  <c r="AZ2732" i="6"/>
  <c r="AY2732" i="6"/>
  <c r="AZ2731" i="6"/>
  <c r="AY2731" i="6"/>
  <c r="AZ2730" i="6"/>
  <c r="AY2730" i="6"/>
  <c r="AZ2729" i="6"/>
  <c r="AY2729" i="6"/>
  <c r="AZ2728" i="6"/>
  <c r="AY2728" i="6"/>
  <c r="AZ2727" i="6"/>
  <c r="AY2727" i="6"/>
  <c r="AZ2726" i="6"/>
  <c r="AY2726" i="6"/>
  <c r="AZ2725" i="6"/>
  <c r="AY2725" i="6"/>
  <c r="AZ2724" i="6"/>
  <c r="AY2724" i="6"/>
  <c r="AZ2723" i="6"/>
  <c r="AY2723" i="6"/>
  <c r="AZ2722" i="6"/>
  <c r="AY2722" i="6"/>
  <c r="AZ2721" i="6"/>
  <c r="AY2721" i="6"/>
  <c r="AZ2720" i="6"/>
  <c r="AY2720" i="6"/>
  <c r="AZ2719" i="6"/>
  <c r="AY2719" i="6"/>
  <c r="AZ2718" i="6"/>
  <c r="AY2718" i="6"/>
  <c r="AZ2717" i="6"/>
  <c r="AY2717" i="6"/>
  <c r="AZ2716" i="6"/>
  <c r="AY2716" i="6"/>
  <c r="AZ2715" i="6"/>
  <c r="AY2715" i="6"/>
  <c r="AZ2714" i="6"/>
  <c r="AY2714" i="6"/>
  <c r="AZ2713" i="6"/>
  <c r="AY2713" i="6"/>
  <c r="AZ2712" i="6"/>
  <c r="AY2712" i="6"/>
  <c r="AZ2711" i="6"/>
  <c r="AY2711" i="6"/>
  <c r="AZ2710" i="6"/>
  <c r="AY2710" i="6"/>
  <c r="AZ2709" i="6"/>
  <c r="AY2709" i="6"/>
  <c r="AZ2708" i="6"/>
  <c r="AY2708" i="6"/>
  <c r="AZ2707" i="6"/>
  <c r="AY2707" i="6"/>
  <c r="AZ2706" i="6"/>
  <c r="AY2706" i="6"/>
  <c r="AZ2705" i="6"/>
  <c r="AY2705" i="6"/>
  <c r="AZ2704" i="6"/>
  <c r="AY2704" i="6"/>
  <c r="AZ2703" i="6"/>
  <c r="AY2703" i="6"/>
  <c r="AZ2702" i="6"/>
  <c r="AY2702" i="6"/>
  <c r="AZ2701" i="6"/>
  <c r="AY2701" i="6"/>
  <c r="AZ2700" i="6"/>
  <c r="AY2700" i="6"/>
  <c r="AZ2699" i="6"/>
  <c r="AY2699" i="6"/>
  <c r="AZ2698" i="6"/>
  <c r="AY2698" i="6"/>
  <c r="AZ2697" i="6"/>
  <c r="AY2697" i="6"/>
  <c r="AZ2696" i="6"/>
  <c r="AY2696" i="6"/>
  <c r="AZ2695" i="6"/>
  <c r="AY2695" i="6"/>
  <c r="AZ2694" i="6"/>
  <c r="AY2694" i="6"/>
  <c r="AZ2693" i="6"/>
  <c r="AY2693" i="6"/>
  <c r="AZ2692" i="6"/>
  <c r="AY2692" i="6"/>
  <c r="AZ2691" i="6"/>
  <c r="AY2691" i="6"/>
  <c r="AZ2690" i="6"/>
  <c r="AY2690" i="6"/>
  <c r="AZ2689" i="6"/>
  <c r="AY2689" i="6"/>
  <c r="AZ2688" i="6"/>
  <c r="AY2688" i="6"/>
  <c r="AZ2687" i="6"/>
  <c r="AY2687" i="6"/>
  <c r="AZ2686" i="6"/>
  <c r="AY2686" i="6"/>
  <c r="AZ2685" i="6"/>
  <c r="AY2685" i="6"/>
  <c r="AZ2684" i="6"/>
  <c r="AY2684" i="6"/>
  <c r="AZ2683" i="6"/>
  <c r="AY2683" i="6"/>
  <c r="AZ2682" i="6"/>
  <c r="AY2682" i="6"/>
  <c r="AZ2681" i="6"/>
  <c r="AY2681" i="6"/>
  <c r="AZ2680" i="6"/>
  <c r="AY2680" i="6"/>
  <c r="AZ2679" i="6"/>
  <c r="AY2679" i="6"/>
  <c r="AZ2678" i="6"/>
  <c r="AY2678" i="6"/>
  <c r="AZ2677" i="6"/>
  <c r="AY2677" i="6"/>
  <c r="AZ2676" i="6"/>
  <c r="AY2676" i="6"/>
  <c r="AZ2675" i="6"/>
  <c r="AY2675" i="6"/>
  <c r="AZ2674" i="6"/>
  <c r="AY2674" i="6"/>
  <c r="AZ2673" i="6"/>
  <c r="AY2673" i="6"/>
  <c r="AZ2672" i="6"/>
  <c r="AY2672" i="6"/>
  <c r="AZ2671" i="6"/>
  <c r="AY2671" i="6"/>
  <c r="AZ2670" i="6"/>
  <c r="AY2670" i="6"/>
  <c r="AZ2669" i="6"/>
  <c r="AY2669" i="6"/>
  <c r="AZ2668" i="6"/>
  <c r="AY2668" i="6"/>
  <c r="AZ2667" i="6"/>
  <c r="AY2667" i="6"/>
  <c r="AZ2666" i="6"/>
  <c r="AY2666" i="6"/>
  <c r="AZ2665" i="6"/>
  <c r="AY2665" i="6"/>
  <c r="AZ2664" i="6"/>
  <c r="AY2664" i="6"/>
  <c r="AZ2663" i="6"/>
  <c r="AY2663" i="6"/>
  <c r="AZ2662" i="6"/>
  <c r="AY2662" i="6"/>
  <c r="AZ2661" i="6"/>
  <c r="AY2661" i="6"/>
  <c r="AZ2660" i="6"/>
  <c r="AY2660" i="6"/>
  <c r="AZ2659" i="6"/>
  <c r="AY2659" i="6"/>
  <c r="AZ2658" i="6"/>
  <c r="AY2658" i="6"/>
  <c r="AZ2657" i="6"/>
  <c r="AY2657" i="6"/>
  <c r="AZ2656" i="6"/>
  <c r="AY2656" i="6"/>
  <c r="AZ2655" i="6"/>
  <c r="AY2655" i="6"/>
  <c r="AZ2654" i="6"/>
  <c r="AY2654" i="6"/>
  <c r="AZ2653" i="6"/>
  <c r="AY2653" i="6"/>
  <c r="AZ2652" i="6"/>
  <c r="AY2652" i="6"/>
  <c r="AZ2651" i="6"/>
  <c r="AY2651" i="6"/>
  <c r="AZ2650" i="6"/>
  <c r="AY2650" i="6"/>
  <c r="AZ2649" i="6"/>
  <c r="AY2649" i="6"/>
  <c r="AZ2648" i="6"/>
  <c r="AY2648" i="6"/>
  <c r="AZ2647" i="6"/>
  <c r="AY2647" i="6"/>
  <c r="AZ2646" i="6"/>
  <c r="AY2646" i="6"/>
  <c r="AZ2645" i="6"/>
  <c r="AY2645" i="6"/>
  <c r="AZ2644" i="6"/>
  <c r="AY2644" i="6"/>
  <c r="AZ2643" i="6"/>
  <c r="AY2643" i="6"/>
  <c r="AZ2642" i="6"/>
  <c r="AY2642" i="6"/>
  <c r="AZ2641" i="6"/>
  <c r="AY2641" i="6"/>
  <c r="AZ2640" i="6"/>
  <c r="AY2640" i="6"/>
  <c r="AZ2639" i="6"/>
  <c r="AY2639" i="6"/>
  <c r="AZ2638" i="6"/>
  <c r="AY2638" i="6"/>
  <c r="AZ2637" i="6"/>
  <c r="AY2637" i="6"/>
  <c r="AZ2636" i="6"/>
  <c r="AY2636" i="6"/>
  <c r="AZ2635" i="6"/>
  <c r="AY2635" i="6"/>
  <c r="AZ2634" i="6"/>
  <c r="AY2634" i="6"/>
  <c r="AZ2633" i="6"/>
  <c r="AY2633" i="6"/>
  <c r="AZ2632" i="6"/>
  <c r="AY2632" i="6"/>
  <c r="AZ2631" i="6"/>
  <c r="AY2631" i="6"/>
  <c r="AZ2630" i="6"/>
  <c r="AY2630" i="6"/>
  <c r="AZ2629" i="6"/>
  <c r="AY2629" i="6"/>
  <c r="AZ2628" i="6"/>
  <c r="AY2628" i="6"/>
  <c r="AZ2627" i="6"/>
  <c r="AY2627" i="6"/>
  <c r="AZ2626" i="6"/>
  <c r="AY2626" i="6"/>
  <c r="AZ2625" i="6"/>
  <c r="AY2625" i="6"/>
  <c r="AZ2624" i="6"/>
  <c r="AY2624" i="6"/>
  <c r="AZ2623" i="6"/>
  <c r="AY2623" i="6"/>
  <c r="AZ2622" i="6"/>
  <c r="AY2622" i="6"/>
  <c r="AZ2621" i="6"/>
  <c r="AY2621" i="6"/>
  <c r="AZ2620" i="6"/>
  <c r="AY2620" i="6"/>
  <c r="AZ2619" i="6"/>
  <c r="AY2619" i="6"/>
  <c r="AZ2618" i="6"/>
  <c r="AY2618" i="6"/>
  <c r="AZ2617" i="6"/>
  <c r="AY2617" i="6"/>
  <c r="AZ2616" i="6"/>
  <c r="AY2616" i="6"/>
  <c r="AZ2615" i="6"/>
  <c r="AY2615" i="6"/>
  <c r="AZ2614" i="6"/>
  <c r="AY2614" i="6"/>
  <c r="AZ2613" i="6"/>
  <c r="AY2613" i="6"/>
  <c r="AZ2612" i="6"/>
  <c r="AY2612" i="6"/>
  <c r="AZ2611" i="6"/>
  <c r="AY2611" i="6"/>
  <c r="AZ2610" i="6"/>
  <c r="AY2610" i="6"/>
  <c r="AZ2609" i="6"/>
  <c r="AY2609" i="6"/>
  <c r="AZ2608" i="6"/>
  <c r="AY2608" i="6"/>
  <c r="AZ2607" i="6"/>
  <c r="AY2607" i="6"/>
  <c r="AZ2606" i="6"/>
  <c r="AY2606" i="6"/>
  <c r="AZ2605" i="6"/>
  <c r="AY2605" i="6"/>
  <c r="AZ2604" i="6"/>
  <c r="AY2604" i="6"/>
  <c r="AZ2603" i="6"/>
  <c r="AY2603" i="6"/>
  <c r="AZ2602" i="6"/>
  <c r="AY2602" i="6"/>
  <c r="AZ2601" i="6"/>
  <c r="AY2601" i="6"/>
  <c r="AZ2600" i="6"/>
  <c r="AY2600" i="6"/>
  <c r="AZ2599" i="6"/>
  <c r="AY2599" i="6"/>
  <c r="AZ2598" i="6"/>
  <c r="AY2598" i="6"/>
  <c r="AZ2597" i="6"/>
  <c r="AY2597" i="6"/>
  <c r="AZ2596" i="6"/>
  <c r="AY2596" i="6"/>
  <c r="AZ2595" i="6"/>
  <c r="AY2595" i="6"/>
  <c r="AZ2594" i="6"/>
  <c r="AY2594" i="6"/>
  <c r="AZ2593" i="6"/>
  <c r="AY2593" i="6"/>
  <c r="AZ2592" i="6"/>
  <c r="AY2592" i="6"/>
  <c r="AZ2591" i="6"/>
  <c r="AY2591" i="6"/>
  <c r="AZ2590" i="6"/>
  <c r="AY2590" i="6"/>
  <c r="AZ2589" i="6"/>
  <c r="AY2589" i="6"/>
  <c r="AZ2588" i="6"/>
  <c r="AY2588" i="6"/>
  <c r="AZ2587" i="6"/>
  <c r="AY2587" i="6"/>
  <c r="AZ2586" i="6"/>
  <c r="AY2586" i="6"/>
  <c r="AZ2585" i="6"/>
  <c r="AY2585" i="6"/>
  <c r="AZ2584" i="6"/>
  <c r="AY2584" i="6"/>
  <c r="AZ2583" i="6"/>
  <c r="AY2583" i="6"/>
  <c r="AZ2582" i="6"/>
  <c r="AY2582" i="6"/>
  <c r="AZ2581" i="6"/>
  <c r="AY2581" i="6"/>
  <c r="AZ2580" i="6"/>
  <c r="AY2580" i="6"/>
  <c r="AZ2579" i="6"/>
  <c r="AY2579" i="6"/>
  <c r="AZ2578" i="6"/>
  <c r="AY2578" i="6"/>
  <c r="AZ2577" i="6"/>
  <c r="AY2577" i="6"/>
  <c r="AZ2576" i="6"/>
  <c r="AY2576" i="6"/>
  <c r="AZ2575" i="6"/>
  <c r="AY2575" i="6"/>
  <c r="AZ2574" i="6"/>
  <c r="AY2574" i="6"/>
  <c r="AZ2573" i="6"/>
  <c r="AY2573" i="6"/>
  <c r="AZ2572" i="6"/>
  <c r="AY2572" i="6"/>
  <c r="AZ2571" i="6"/>
  <c r="AY2571" i="6"/>
  <c r="AZ2570" i="6"/>
  <c r="AY2570" i="6"/>
  <c r="AZ2569" i="6"/>
  <c r="AY2569" i="6"/>
  <c r="AZ2568" i="6"/>
  <c r="AY2568" i="6"/>
  <c r="AZ2567" i="6"/>
  <c r="AY2567" i="6"/>
  <c r="AZ2566" i="6"/>
  <c r="AY2566" i="6"/>
  <c r="AZ2565" i="6"/>
  <c r="AY2565" i="6"/>
  <c r="AZ2564" i="6"/>
  <c r="AY2564" i="6"/>
  <c r="AZ2563" i="6"/>
  <c r="AY2563" i="6"/>
  <c r="AZ2562" i="6"/>
  <c r="AY2562" i="6"/>
  <c r="AZ2561" i="6"/>
  <c r="AY2561" i="6"/>
  <c r="AZ2560" i="6"/>
  <c r="AY2560" i="6"/>
  <c r="AZ2559" i="6"/>
  <c r="AY2559" i="6"/>
  <c r="AZ2558" i="6"/>
  <c r="AY2558" i="6"/>
  <c r="AZ2557" i="6"/>
  <c r="AY2557" i="6"/>
  <c r="AZ2556" i="6"/>
  <c r="AY2556" i="6"/>
  <c r="AZ2555" i="6"/>
  <c r="AY2555" i="6"/>
  <c r="AZ2554" i="6"/>
  <c r="AY2554" i="6"/>
  <c r="AZ2553" i="6"/>
  <c r="AY2553" i="6"/>
  <c r="AZ2552" i="6"/>
  <c r="AY2552" i="6"/>
  <c r="AZ2551" i="6"/>
  <c r="AY2551" i="6"/>
  <c r="AZ2550" i="6"/>
  <c r="AY2550" i="6"/>
  <c r="AZ2549" i="6"/>
  <c r="AY2549" i="6"/>
  <c r="AZ2548" i="6"/>
  <c r="AY2548" i="6"/>
  <c r="AZ2547" i="6"/>
  <c r="AY2547" i="6"/>
  <c r="AZ2546" i="6"/>
  <c r="AY2546" i="6"/>
  <c r="AZ2545" i="6"/>
  <c r="AY2545" i="6"/>
  <c r="AZ2544" i="6"/>
  <c r="AY2544" i="6"/>
  <c r="AZ2543" i="6"/>
  <c r="AY2543" i="6"/>
  <c r="AZ2542" i="6"/>
  <c r="AY2542" i="6"/>
  <c r="AZ2541" i="6"/>
  <c r="AY2541" i="6"/>
  <c r="AZ2540" i="6"/>
  <c r="AY2540" i="6"/>
  <c r="AZ2539" i="6"/>
  <c r="AY2539" i="6"/>
  <c r="AZ2538" i="6"/>
  <c r="AY2538" i="6"/>
  <c r="AZ2537" i="6"/>
  <c r="AY2537" i="6"/>
  <c r="AZ2536" i="6"/>
  <c r="AY2536" i="6"/>
  <c r="AZ2535" i="6"/>
  <c r="AY2535" i="6"/>
  <c r="AZ2534" i="6"/>
  <c r="AY2534" i="6"/>
  <c r="AZ2533" i="6"/>
  <c r="AY2533" i="6"/>
  <c r="AZ2532" i="6"/>
  <c r="AY2532" i="6"/>
  <c r="AZ2531" i="6"/>
  <c r="AY2531" i="6"/>
  <c r="AZ2530" i="6"/>
  <c r="AY2530" i="6"/>
  <c r="AZ2529" i="6"/>
  <c r="AY2529" i="6"/>
  <c r="AZ2528" i="6"/>
  <c r="AY2528" i="6"/>
  <c r="AZ2527" i="6"/>
  <c r="AY2527" i="6"/>
  <c r="AZ2526" i="6"/>
  <c r="AY2526" i="6"/>
  <c r="AZ2525" i="6"/>
  <c r="AY2525" i="6"/>
  <c r="AZ2524" i="6"/>
  <c r="AY2524" i="6"/>
  <c r="AZ2523" i="6"/>
  <c r="AY2523" i="6"/>
  <c r="AZ2522" i="6"/>
  <c r="AY2522" i="6"/>
  <c r="AZ2521" i="6"/>
  <c r="AY2521" i="6"/>
  <c r="AZ2520" i="6"/>
  <c r="AY2520" i="6"/>
  <c r="AZ2519" i="6"/>
  <c r="AY2519" i="6"/>
  <c r="AZ2518" i="6"/>
  <c r="AY2518" i="6"/>
  <c r="AZ2517" i="6"/>
  <c r="AY2517" i="6"/>
  <c r="AZ2516" i="6"/>
  <c r="AY2516" i="6"/>
  <c r="AZ2515" i="6"/>
  <c r="AY2515" i="6"/>
  <c r="AZ2514" i="6"/>
  <c r="AY2514" i="6"/>
  <c r="AZ2513" i="6"/>
  <c r="AY2513" i="6"/>
  <c r="AZ2512" i="6"/>
  <c r="AY2512" i="6"/>
  <c r="AZ2511" i="6"/>
  <c r="AY2511" i="6"/>
  <c r="AZ2510" i="6"/>
  <c r="AY2510" i="6"/>
  <c r="AZ2509" i="6"/>
  <c r="AY2509" i="6"/>
  <c r="AZ2508" i="6"/>
  <c r="AY2508" i="6"/>
  <c r="AZ2507" i="6"/>
  <c r="AY2507" i="6"/>
  <c r="AZ2506" i="6"/>
  <c r="AY2506" i="6"/>
  <c r="AZ2505" i="6"/>
  <c r="AY2505" i="6"/>
  <c r="AZ2504" i="6"/>
  <c r="AY2504" i="6"/>
  <c r="AZ2503" i="6"/>
  <c r="AY2503" i="6"/>
  <c r="AZ2502" i="6"/>
  <c r="AY2502" i="6"/>
  <c r="AZ2501" i="6"/>
  <c r="AY2501" i="6"/>
  <c r="AZ2500" i="6"/>
  <c r="AY2500" i="6"/>
  <c r="AZ2499" i="6"/>
  <c r="AY2499" i="6"/>
  <c r="AZ2498" i="6"/>
  <c r="AY2498" i="6"/>
  <c r="AZ2497" i="6"/>
  <c r="AY2497" i="6"/>
  <c r="AZ2496" i="6"/>
  <c r="AY2496" i="6"/>
  <c r="AZ2495" i="6"/>
  <c r="AY2495" i="6"/>
  <c r="AZ2494" i="6"/>
  <c r="AY2494" i="6"/>
  <c r="AZ2493" i="6"/>
  <c r="AY2493" i="6"/>
  <c r="AZ2492" i="6"/>
  <c r="AY2492" i="6"/>
  <c r="AZ2491" i="6"/>
  <c r="AY2491" i="6"/>
  <c r="AZ2490" i="6"/>
  <c r="AY2490" i="6"/>
  <c r="AZ2489" i="6"/>
  <c r="AY2489" i="6"/>
  <c r="AZ2488" i="6"/>
  <c r="AY2488" i="6"/>
  <c r="AZ2487" i="6"/>
  <c r="AY2487" i="6"/>
  <c r="AZ2486" i="6"/>
  <c r="AY2486" i="6"/>
  <c r="AZ2485" i="6"/>
  <c r="AY2485" i="6"/>
  <c r="AZ2484" i="6"/>
  <c r="AY2484" i="6"/>
  <c r="AZ2483" i="6"/>
  <c r="AY2483" i="6"/>
  <c r="AZ2482" i="6"/>
  <c r="AY2482" i="6"/>
  <c r="AZ2481" i="6"/>
  <c r="AY2481" i="6"/>
  <c r="AZ2480" i="6"/>
  <c r="AY2480" i="6"/>
  <c r="AZ2479" i="6"/>
  <c r="AY2479" i="6"/>
  <c r="AZ2478" i="6"/>
  <c r="AY2478" i="6"/>
  <c r="AZ2477" i="6"/>
  <c r="AY2477" i="6"/>
  <c r="AZ2476" i="6"/>
  <c r="AY2476" i="6"/>
  <c r="AZ2475" i="6"/>
  <c r="AY2475" i="6"/>
  <c r="AZ2474" i="6"/>
  <c r="AY2474" i="6"/>
  <c r="AZ2473" i="6"/>
  <c r="AY2473" i="6"/>
  <c r="AZ2472" i="6"/>
  <c r="AY2472" i="6"/>
  <c r="AZ2471" i="6"/>
  <c r="AY2471" i="6"/>
  <c r="AZ2470" i="6"/>
  <c r="AY2470" i="6"/>
  <c r="AZ2469" i="6"/>
  <c r="AY2469" i="6"/>
  <c r="AZ2468" i="6"/>
  <c r="AY2468" i="6"/>
  <c r="AZ2467" i="6"/>
  <c r="AY2467" i="6"/>
  <c r="AZ2466" i="6"/>
  <c r="AY2466" i="6"/>
  <c r="AZ2465" i="6"/>
  <c r="AY2465" i="6"/>
  <c r="AZ2464" i="6"/>
  <c r="AY2464" i="6"/>
  <c r="AZ2463" i="6"/>
  <c r="AY2463" i="6"/>
  <c r="AZ2462" i="6"/>
  <c r="AY2462" i="6"/>
  <c r="AZ2461" i="6"/>
  <c r="AY2461" i="6"/>
  <c r="AZ2460" i="6"/>
  <c r="AY2460" i="6"/>
  <c r="AZ2459" i="6"/>
  <c r="AY2459" i="6"/>
  <c r="AZ2458" i="6"/>
  <c r="AY2458" i="6"/>
  <c r="AZ2457" i="6"/>
  <c r="AY2457" i="6"/>
  <c r="AZ2456" i="6"/>
  <c r="AY2456" i="6"/>
  <c r="AZ2455" i="6"/>
  <c r="AY2455" i="6"/>
  <c r="AZ2454" i="6"/>
  <c r="AY2454" i="6"/>
  <c r="AZ2453" i="6"/>
  <c r="AY2453" i="6"/>
  <c r="AZ2452" i="6"/>
  <c r="AY2452" i="6"/>
  <c r="AZ2451" i="6"/>
  <c r="AY2451" i="6"/>
  <c r="AZ2450" i="6"/>
  <c r="AY2450" i="6"/>
  <c r="AZ2449" i="6"/>
  <c r="AY2449" i="6"/>
  <c r="AZ2448" i="6"/>
  <c r="AY2448" i="6"/>
  <c r="AZ2447" i="6"/>
  <c r="AY2447" i="6"/>
  <c r="AZ2446" i="6"/>
  <c r="AY2446" i="6"/>
  <c r="AZ2445" i="6"/>
  <c r="AY2445" i="6"/>
  <c r="AZ2444" i="6"/>
  <c r="AY2444" i="6"/>
  <c r="AZ2443" i="6"/>
  <c r="AY2443" i="6"/>
  <c r="AZ2442" i="6"/>
  <c r="AY2442" i="6"/>
  <c r="AZ2441" i="6"/>
  <c r="AY2441" i="6"/>
  <c r="AZ2440" i="6"/>
  <c r="AY2440" i="6"/>
  <c r="AZ2439" i="6"/>
  <c r="AY2439" i="6"/>
  <c r="AZ2438" i="6"/>
  <c r="AY2438" i="6"/>
  <c r="AZ2437" i="6"/>
  <c r="AY2437" i="6"/>
  <c r="AZ2436" i="6"/>
  <c r="AY2436" i="6"/>
  <c r="AZ2435" i="6"/>
  <c r="AY2435" i="6"/>
  <c r="AZ2434" i="6"/>
  <c r="AY2434" i="6"/>
  <c r="AZ2433" i="6"/>
  <c r="AY2433" i="6"/>
  <c r="AZ2432" i="6"/>
  <c r="AY2432" i="6"/>
  <c r="AZ2431" i="6"/>
  <c r="AY2431" i="6"/>
  <c r="AZ2430" i="6"/>
  <c r="AY2430" i="6"/>
  <c r="AZ2429" i="6"/>
  <c r="AY2429" i="6"/>
  <c r="AZ2428" i="6"/>
  <c r="AY2428" i="6"/>
  <c r="AZ2427" i="6"/>
  <c r="AY2427" i="6"/>
  <c r="AZ2426" i="6"/>
  <c r="AY2426" i="6"/>
  <c r="AZ2425" i="6"/>
  <c r="AY2425" i="6"/>
  <c r="AZ2424" i="6"/>
  <c r="AY2424" i="6"/>
  <c r="AZ2423" i="6"/>
  <c r="AY2423" i="6"/>
  <c r="AZ2422" i="6"/>
  <c r="AY2422" i="6"/>
  <c r="AZ2421" i="6"/>
  <c r="AY2421" i="6"/>
  <c r="AZ2420" i="6"/>
  <c r="AY2420" i="6"/>
  <c r="AZ2419" i="6"/>
  <c r="AY2419" i="6"/>
  <c r="AZ2418" i="6"/>
  <c r="AY2418" i="6"/>
  <c r="AZ2417" i="6"/>
  <c r="AY2417" i="6"/>
  <c r="AZ2416" i="6"/>
  <c r="AY2416" i="6"/>
  <c r="AZ2415" i="6"/>
  <c r="AY2415" i="6"/>
  <c r="AZ2414" i="6"/>
  <c r="AY2414" i="6"/>
  <c r="AZ2413" i="6"/>
  <c r="AY2413" i="6"/>
  <c r="AZ2412" i="6"/>
  <c r="AY2412" i="6"/>
  <c r="AZ2411" i="6"/>
  <c r="AY2411" i="6"/>
  <c r="AZ2410" i="6"/>
  <c r="AY2410" i="6"/>
  <c r="AZ2409" i="6"/>
  <c r="AY2409" i="6"/>
  <c r="AZ2408" i="6"/>
  <c r="AY2408" i="6"/>
  <c r="AZ2407" i="6"/>
  <c r="AY2407" i="6"/>
  <c r="AZ2406" i="6"/>
  <c r="AY2406" i="6"/>
  <c r="AZ2405" i="6"/>
  <c r="AY2405" i="6"/>
  <c r="AZ2404" i="6"/>
  <c r="AY2404" i="6"/>
  <c r="AZ2403" i="6"/>
  <c r="AY2403" i="6"/>
  <c r="AZ2402" i="6"/>
  <c r="AY2402" i="6"/>
  <c r="AZ2401" i="6"/>
  <c r="AY2401" i="6"/>
  <c r="AZ2400" i="6"/>
  <c r="AY2400" i="6"/>
  <c r="AZ2399" i="6"/>
  <c r="AY2399" i="6"/>
  <c r="AZ2398" i="6"/>
  <c r="AY2398" i="6"/>
  <c r="AZ2397" i="6"/>
  <c r="AY2397" i="6"/>
  <c r="AZ2396" i="6"/>
  <c r="AY2396" i="6"/>
  <c r="AZ2395" i="6"/>
  <c r="AY2395" i="6"/>
  <c r="AZ2394" i="6"/>
  <c r="AY2394" i="6"/>
  <c r="AZ2393" i="6"/>
  <c r="AY2393" i="6"/>
  <c r="AZ2392" i="6"/>
  <c r="AY2392" i="6"/>
  <c r="AZ2391" i="6"/>
  <c r="AY2391" i="6"/>
  <c r="AZ2390" i="6"/>
  <c r="AY2390" i="6"/>
  <c r="AZ2389" i="6"/>
  <c r="AY2389" i="6"/>
  <c r="AZ2388" i="6"/>
  <c r="AY2388" i="6"/>
  <c r="AZ2387" i="6"/>
  <c r="AY2387" i="6"/>
  <c r="AZ2386" i="6"/>
  <c r="AY2386" i="6"/>
  <c r="AZ2385" i="6"/>
  <c r="AY2385" i="6"/>
  <c r="AZ2384" i="6"/>
  <c r="AY2384" i="6"/>
  <c r="AZ2383" i="6"/>
  <c r="AY2383" i="6"/>
  <c r="AZ2382" i="6"/>
  <c r="AY2382" i="6"/>
  <c r="AZ2381" i="6"/>
  <c r="AY2381" i="6"/>
  <c r="AZ2380" i="6"/>
  <c r="AY2380" i="6"/>
  <c r="AZ2379" i="6"/>
  <c r="AY2379" i="6"/>
  <c r="AZ2378" i="6"/>
  <c r="AY2378" i="6"/>
  <c r="AZ2377" i="6"/>
  <c r="AY2377" i="6"/>
  <c r="AZ2376" i="6"/>
  <c r="AY2376" i="6"/>
  <c r="AZ2375" i="6"/>
  <c r="AY2375" i="6"/>
  <c r="AZ2374" i="6"/>
  <c r="AY2374" i="6"/>
  <c r="AZ2373" i="6"/>
  <c r="AY2373" i="6"/>
  <c r="AZ2372" i="6"/>
  <c r="AY2372" i="6"/>
  <c r="AZ2371" i="6"/>
  <c r="AY2371" i="6"/>
  <c r="AZ2370" i="6"/>
  <c r="AY2370" i="6"/>
  <c r="AZ2369" i="6"/>
  <c r="AY2369" i="6"/>
  <c r="AZ2368" i="6"/>
  <c r="AY2368" i="6"/>
  <c r="AZ2367" i="6"/>
  <c r="AY2367" i="6"/>
  <c r="AZ2366" i="6"/>
  <c r="AY2366" i="6"/>
  <c r="AZ2365" i="6"/>
  <c r="AY2365" i="6"/>
  <c r="AZ2364" i="6"/>
  <c r="AY2364" i="6"/>
  <c r="AZ2363" i="6"/>
  <c r="AY2363" i="6"/>
  <c r="AZ2362" i="6"/>
  <c r="AY2362" i="6"/>
  <c r="AZ2361" i="6"/>
  <c r="AY2361" i="6"/>
  <c r="AZ2360" i="6"/>
  <c r="AY2360" i="6"/>
  <c r="AZ2359" i="6"/>
  <c r="AY2359" i="6"/>
  <c r="AZ2358" i="6"/>
  <c r="AY2358" i="6"/>
  <c r="AZ2357" i="6"/>
  <c r="AY2357" i="6"/>
  <c r="AZ2356" i="6"/>
  <c r="AY2356" i="6"/>
  <c r="AZ2355" i="6"/>
  <c r="AY2355" i="6"/>
  <c r="AZ2354" i="6"/>
  <c r="AY2354" i="6"/>
  <c r="AZ2353" i="6"/>
  <c r="AY2353" i="6"/>
  <c r="AZ2352" i="6"/>
  <c r="AY2352" i="6"/>
  <c r="AZ2351" i="6"/>
  <c r="AY2351" i="6"/>
  <c r="AZ2350" i="6"/>
  <c r="AY2350" i="6"/>
  <c r="AZ2349" i="6"/>
  <c r="AY2349" i="6"/>
  <c r="AZ2348" i="6"/>
  <c r="AY2348" i="6"/>
  <c r="AZ2347" i="6"/>
  <c r="AY2347" i="6"/>
  <c r="AZ2346" i="6"/>
  <c r="AY2346" i="6"/>
  <c r="AZ2345" i="6"/>
  <c r="AY2345" i="6"/>
  <c r="AZ2344" i="6"/>
  <c r="AY2344" i="6"/>
  <c r="AZ2343" i="6"/>
  <c r="AY2343" i="6"/>
  <c r="AZ2342" i="6"/>
  <c r="AY2342" i="6"/>
  <c r="AZ2341" i="6"/>
  <c r="AY2341" i="6"/>
  <c r="AZ2340" i="6"/>
  <c r="AY2340" i="6"/>
  <c r="AZ2339" i="6"/>
  <c r="AY2339" i="6"/>
  <c r="AZ2338" i="6"/>
  <c r="AY2338" i="6"/>
  <c r="AZ2337" i="6"/>
  <c r="AY2337" i="6"/>
  <c r="AZ2336" i="6"/>
  <c r="AY2336" i="6"/>
  <c r="AZ2335" i="6"/>
  <c r="AY2335" i="6"/>
  <c r="AZ2334" i="6"/>
  <c r="AY2334" i="6"/>
  <c r="AZ2333" i="6"/>
  <c r="AY2333" i="6"/>
  <c r="AZ2332" i="6"/>
  <c r="AY2332" i="6"/>
  <c r="AZ2331" i="6"/>
  <c r="AY2331" i="6"/>
  <c r="AZ2330" i="6"/>
  <c r="AY2330" i="6"/>
  <c r="AZ2329" i="6"/>
  <c r="AY2329" i="6"/>
  <c r="AZ2328" i="6"/>
  <c r="AY2328" i="6"/>
  <c r="AZ2327" i="6"/>
  <c r="AY2327" i="6"/>
  <c r="AZ2326" i="6"/>
  <c r="AY2326" i="6"/>
  <c r="AZ2325" i="6"/>
  <c r="AY2325" i="6"/>
  <c r="AZ2324" i="6"/>
  <c r="AY2324" i="6"/>
  <c r="AZ2323" i="6"/>
  <c r="AY2323" i="6"/>
  <c r="AZ2322" i="6"/>
  <c r="AY2322" i="6"/>
  <c r="AZ2321" i="6"/>
  <c r="AY2321" i="6"/>
  <c r="AZ2320" i="6"/>
  <c r="AY2320" i="6"/>
  <c r="AZ2319" i="6"/>
  <c r="AY2319" i="6"/>
  <c r="AZ2318" i="6"/>
  <c r="AY2318" i="6"/>
  <c r="AZ2317" i="6"/>
  <c r="AY2317" i="6"/>
  <c r="AZ2316" i="6"/>
  <c r="AY2316" i="6"/>
  <c r="AZ2315" i="6"/>
  <c r="AY2315" i="6"/>
  <c r="AZ2314" i="6"/>
  <c r="AY2314" i="6"/>
  <c r="AZ2313" i="6"/>
  <c r="AY2313" i="6"/>
  <c r="AZ2312" i="6"/>
  <c r="AY2312" i="6"/>
  <c r="AZ2311" i="6"/>
  <c r="AY2311" i="6"/>
  <c r="AZ2310" i="6"/>
  <c r="AY2310" i="6"/>
  <c r="AZ2309" i="6"/>
  <c r="AY2309" i="6"/>
  <c r="AZ2308" i="6"/>
  <c r="AY2308" i="6"/>
  <c r="AZ2307" i="6"/>
  <c r="AY2307" i="6"/>
  <c r="AZ2306" i="6"/>
  <c r="AY2306" i="6"/>
  <c r="AZ2305" i="6"/>
  <c r="AY2305" i="6"/>
  <c r="AZ2304" i="6"/>
  <c r="AY2304" i="6"/>
  <c r="AZ2303" i="6"/>
  <c r="AY2303" i="6"/>
  <c r="AZ2302" i="6"/>
  <c r="AY2302" i="6"/>
  <c r="AZ2301" i="6"/>
  <c r="AY2301" i="6"/>
  <c r="AZ2300" i="6"/>
  <c r="AY2300" i="6"/>
  <c r="AZ2299" i="6"/>
  <c r="AY2299" i="6"/>
  <c r="AZ2298" i="6"/>
  <c r="AY2298" i="6"/>
  <c r="AZ2297" i="6"/>
  <c r="AY2297" i="6"/>
  <c r="AZ2296" i="6"/>
  <c r="AY2296" i="6"/>
  <c r="AZ2295" i="6"/>
  <c r="AY2295" i="6"/>
  <c r="AZ2294" i="6"/>
  <c r="AY2294" i="6"/>
  <c r="AZ2293" i="6"/>
  <c r="AY2293" i="6"/>
  <c r="AZ2292" i="6"/>
  <c r="AY2292" i="6"/>
  <c r="AZ2291" i="6"/>
  <c r="AY2291" i="6"/>
  <c r="AZ2290" i="6"/>
  <c r="AY2290" i="6"/>
  <c r="AZ2289" i="6"/>
  <c r="AY2289" i="6"/>
  <c r="AZ2288" i="6"/>
  <c r="AY2288" i="6"/>
  <c r="AZ2287" i="6"/>
  <c r="AY2287" i="6"/>
  <c r="AZ2286" i="6"/>
  <c r="AY2286" i="6"/>
  <c r="AZ2285" i="6"/>
  <c r="AY2285" i="6"/>
  <c r="AZ2284" i="6"/>
  <c r="AY2284" i="6"/>
  <c r="AZ2283" i="6"/>
  <c r="AY2283" i="6"/>
  <c r="AZ2282" i="6"/>
  <c r="AY2282" i="6"/>
  <c r="AZ2281" i="6"/>
  <c r="AY2281" i="6"/>
  <c r="AZ2280" i="6"/>
  <c r="AY2280" i="6"/>
  <c r="AZ2279" i="6"/>
  <c r="AY2279" i="6"/>
  <c r="AZ2278" i="6"/>
  <c r="AY2278" i="6"/>
  <c r="AZ2277" i="6"/>
  <c r="AY2277" i="6"/>
  <c r="AZ2276" i="6"/>
  <c r="AY2276" i="6"/>
  <c r="AZ2275" i="6"/>
  <c r="AY2275" i="6"/>
  <c r="AZ2274" i="6"/>
  <c r="AY2274" i="6"/>
  <c r="AZ2273" i="6"/>
  <c r="AY2273" i="6"/>
  <c r="AZ2272" i="6"/>
  <c r="AY2272" i="6"/>
  <c r="AZ2271" i="6"/>
  <c r="AY2271" i="6"/>
  <c r="AZ2270" i="6"/>
  <c r="AY2270" i="6"/>
  <c r="AZ2269" i="6"/>
  <c r="AY2269" i="6"/>
  <c r="AZ2268" i="6"/>
  <c r="AY2268" i="6"/>
  <c r="AZ2267" i="6"/>
  <c r="AY2267" i="6"/>
  <c r="AZ2266" i="6"/>
  <c r="AY2266" i="6"/>
  <c r="AZ2265" i="6"/>
  <c r="AY2265" i="6"/>
  <c r="AZ2264" i="6"/>
  <c r="AY2264" i="6"/>
  <c r="AZ2263" i="6"/>
  <c r="AY2263" i="6"/>
  <c r="AZ2262" i="6"/>
  <c r="AY2262" i="6"/>
  <c r="AZ2261" i="6"/>
  <c r="AY2261" i="6"/>
  <c r="AZ2260" i="6"/>
  <c r="AY2260" i="6"/>
  <c r="AZ2259" i="6"/>
  <c r="AY2259" i="6"/>
  <c r="AZ2258" i="6"/>
  <c r="AY2258" i="6"/>
  <c r="AZ2257" i="6"/>
  <c r="AY2257" i="6"/>
  <c r="AZ2256" i="6"/>
  <c r="AY2256" i="6"/>
  <c r="AZ2255" i="6"/>
  <c r="AY2255" i="6"/>
  <c r="AZ2254" i="6"/>
  <c r="AY2254" i="6"/>
  <c r="AZ2253" i="6"/>
  <c r="AY2253" i="6"/>
  <c r="AZ2252" i="6"/>
  <c r="AY2252" i="6"/>
  <c r="AZ2251" i="6"/>
  <c r="AY2251" i="6"/>
  <c r="AZ2250" i="6"/>
  <c r="AY2250" i="6"/>
  <c r="AZ2249" i="6"/>
  <c r="AY2249" i="6"/>
  <c r="AZ2248" i="6"/>
  <c r="AY2248" i="6"/>
  <c r="AZ2247" i="6"/>
  <c r="AY2247" i="6"/>
  <c r="AZ2246" i="6"/>
  <c r="AY2246" i="6"/>
  <c r="AZ2245" i="6"/>
  <c r="AY2245" i="6"/>
  <c r="AZ2244" i="6"/>
  <c r="AY2244" i="6"/>
  <c r="AZ2243" i="6"/>
  <c r="AY2243" i="6"/>
  <c r="AZ2242" i="6"/>
  <c r="AY2242" i="6"/>
  <c r="AZ2241" i="6"/>
  <c r="AY2241" i="6"/>
  <c r="AZ2240" i="6"/>
  <c r="AY2240" i="6"/>
  <c r="AZ2239" i="6"/>
  <c r="AY2239" i="6"/>
  <c r="AZ2238" i="6"/>
  <c r="AY2238" i="6"/>
  <c r="AZ2237" i="6"/>
  <c r="AY2237" i="6"/>
  <c r="AZ2236" i="6"/>
  <c r="AY2236" i="6"/>
  <c r="AZ2235" i="6"/>
  <c r="AY2235" i="6"/>
  <c r="AZ2234" i="6"/>
  <c r="AY2234" i="6"/>
  <c r="AZ2233" i="6"/>
  <c r="AY2233" i="6"/>
  <c r="AZ2232" i="6"/>
  <c r="AY2232" i="6"/>
  <c r="AZ2231" i="6"/>
  <c r="AY2231" i="6"/>
  <c r="AZ2230" i="6"/>
  <c r="AY2230" i="6"/>
  <c r="AZ2229" i="6"/>
  <c r="AY2229" i="6"/>
  <c r="AZ2228" i="6"/>
  <c r="AY2228" i="6"/>
  <c r="AZ2227" i="6"/>
  <c r="AY2227" i="6"/>
  <c r="AZ2226" i="6"/>
  <c r="AY2226" i="6"/>
  <c r="AZ2225" i="6"/>
  <c r="AY2225" i="6"/>
  <c r="AZ2224" i="6"/>
  <c r="AY2224" i="6"/>
  <c r="AZ2223" i="6"/>
  <c r="AY2223" i="6"/>
  <c r="AZ2222" i="6"/>
  <c r="AY2222" i="6"/>
  <c r="AZ2221" i="6"/>
  <c r="AY2221" i="6"/>
  <c r="AZ2220" i="6"/>
  <c r="AY2220" i="6"/>
  <c r="AZ2219" i="6"/>
  <c r="AY2219" i="6"/>
  <c r="AZ2218" i="6"/>
  <c r="AY2218" i="6"/>
  <c r="AZ2217" i="6"/>
  <c r="AY2217" i="6"/>
  <c r="AZ2216" i="6"/>
  <c r="AY2216" i="6"/>
  <c r="AZ2215" i="6"/>
  <c r="AY2215" i="6"/>
  <c r="AZ2214" i="6"/>
  <c r="AY2214" i="6"/>
  <c r="AZ2213" i="6"/>
  <c r="AY2213" i="6"/>
  <c r="AZ2212" i="6"/>
  <c r="AY2212" i="6"/>
  <c r="AZ2211" i="6"/>
  <c r="AY2211" i="6"/>
  <c r="AZ2210" i="6"/>
  <c r="AY2210" i="6"/>
  <c r="AZ2209" i="6"/>
  <c r="AY2209" i="6"/>
  <c r="AZ2208" i="6"/>
  <c r="AY2208" i="6"/>
  <c r="AZ2207" i="6"/>
  <c r="AY2207" i="6"/>
  <c r="AZ2206" i="6"/>
  <c r="AY2206" i="6"/>
  <c r="AZ2205" i="6"/>
  <c r="AY2205" i="6"/>
  <c r="AZ2204" i="6"/>
  <c r="AY2204" i="6"/>
  <c r="AZ2203" i="6"/>
  <c r="AY2203" i="6"/>
  <c r="AZ2202" i="6"/>
  <c r="AY2202" i="6"/>
  <c r="AZ2201" i="6"/>
  <c r="AY2201" i="6"/>
  <c r="AZ2200" i="6"/>
  <c r="AY2200" i="6"/>
  <c r="AZ2199" i="6"/>
  <c r="AY2199" i="6"/>
  <c r="AZ2198" i="6"/>
  <c r="AY2198" i="6"/>
  <c r="AZ2197" i="6"/>
  <c r="AY2197" i="6"/>
  <c r="AZ2196" i="6"/>
  <c r="AY2196" i="6"/>
  <c r="AZ2195" i="6"/>
  <c r="AY2195" i="6"/>
  <c r="AZ2194" i="6"/>
  <c r="AY2194" i="6"/>
  <c r="AZ2193" i="6"/>
  <c r="AY2193" i="6"/>
  <c r="AZ2192" i="6"/>
  <c r="AY2192" i="6"/>
  <c r="AZ2191" i="6"/>
  <c r="AY2191" i="6"/>
  <c r="AZ2190" i="6"/>
  <c r="AY2190" i="6"/>
  <c r="AZ2189" i="6"/>
  <c r="AY2189" i="6"/>
  <c r="AZ2188" i="6"/>
  <c r="AY2188" i="6"/>
  <c r="AZ2187" i="6"/>
  <c r="AY2187" i="6"/>
  <c r="AZ2186" i="6"/>
  <c r="AY2186" i="6"/>
  <c r="AZ2185" i="6"/>
  <c r="AY2185" i="6"/>
  <c r="AZ2184" i="6"/>
  <c r="AY2184" i="6"/>
  <c r="AZ2183" i="6"/>
  <c r="AY2183" i="6"/>
  <c r="AZ2182" i="6"/>
  <c r="AY2182" i="6"/>
  <c r="AZ2181" i="6"/>
  <c r="AY2181" i="6"/>
  <c r="AZ2180" i="6"/>
  <c r="AY2180" i="6"/>
  <c r="AZ2179" i="6"/>
  <c r="AY2179" i="6"/>
  <c r="AZ2178" i="6"/>
  <c r="AY2178" i="6"/>
  <c r="AZ2177" i="6"/>
  <c r="AY2177" i="6"/>
  <c r="AZ2176" i="6"/>
  <c r="AY2176" i="6"/>
  <c r="AZ2175" i="6"/>
  <c r="AY2175" i="6"/>
  <c r="AZ2174" i="6"/>
  <c r="AY2174" i="6"/>
  <c r="AZ2173" i="6"/>
  <c r="AY2173" i="6"/>
  <c r="AZ2172" i="6"/>
  <c r="AY2172" i="6"/>
  <c r="AZ2171" i="6"/>
  <c r="AY2171" i="6"/>
  <c r="AZ2170" i="6"/>
  <c r="AY2170" i="6"/>
  <c r="AZ2169" i="6"/>
  <c r="AY2169" i="6"/>
  <c r="AZ2168" i="6"/>
  <c r="AY2168" i="6"/>
  <c r="AZ2167" i="6"/>
  <c r="AY2167" i="6"/>
  <c r="AZ2166" i="6"/>
  <c r="AY2166" i="6"/>
  <c r="AZ2165" i="6"/>
  <c r="AY2165" i="6"/>
  <c r="AZ2164" i="6"/>
  <c r="AY2164" i="6"/>
  <c r="AZ2163" i="6"/>
  <c r="AY2163" i="6"/>
  <c r="AZ2162" i="6"/>
  <c r="AY2162" i="6"/>
  <c r="AZ2161" i="6"/>
  <c r="AY2161" i="6"/>
  <c r="AZ2160" i="6"/>
  <c r="AY2160" i="6"/>
  <c r="AZ2159" i="6"/>
  <c r="AY2159" i="6"/>
  <c r="AZ2158" i="6"/>
  <c r="AY2158" i="6"/>
  <c r="AZ2157" i="6"/>
  <c r="AY2157" i="6"/>
  <c r="AZ2156" i="6"/>
  <c r="AY2156" i="6"/>
  <c r="AZ2155" i="6"/>
  <c r="AY2155" i="6"/>
  <c r="AZ2154" i="6"/>
  <c r="AY2154" i="6"/>
  <c r="AZ2153" i="6"/>
  <c r="AY2153" i="6"/>
  <c r="AZ2152" i="6"/>
  <c r="AY2152" i="6"/>
  <c r="AZ2151" i="6"/>
  <c r="AY2151" i="6"/>
  <c r="AZ2150" i="6"/>
  <c r="AY2150" i="6"/>
  <c r="AZ2149" i="6"/>
  <c r="AY2149" i="6"/>
  <c r="AZ2148" i="6"/>
  <c r="AY2148" i="6"/>
  <c r="AZ2147" i="6"/>
  <c r="AY2147" i="6"/>
  <c r="AZ2146" i="6"/>
  <c r="AY2146" i="6"/>
  <c r="AZ2145" i="6"/>
  <c r="AY2145" i="6"/>
  <c r="AZ2144" i="6"/>
  <c r="AY2144" i="6"/>
  <c r="AZ2143" i="6"/>
  <c r="AY2143" i="6"/>
  <c r="AZ2142" i="6"/>
  <c r="AY2142" i="6"/>
  <c r="AZ2141" i="6"/>
  <c r="AY2141" i="6"/>
  <c r="AZ2140" i="6"/>
  <c r="AY2140" i="6"/>
  <c r="AZ2139" i="6"/>
  <c r="AY2139" i="6"/>
  <c r="AZ2138" i="6"/>
  <c r="AY2138" i="6"/>
  <c r="AZ2137" i="6"/>
  <c r="AY2137" i="6"/>
  <c r="AZ2136" i="6"/>
  <c r="AY2136" i="6"/>
  <c r="AZ2135" i="6"/>
  <c r="AY2135" i="6"/>
  <c r="AZ2134" i="6"/>
  <c r="AY2134" i="6"/>
  <c r="AZ2133" i="6"/>
  <c r="AY2133" i="6"/>
  <c r="AZ2132" i="6"/>
  <c r="AY2132" i="6"/>
  <c r="AZ2131" i="6"/>
  <c r="AY2131" i="6"/>
  <c r="AZ2130" i="6"/>
  <c r="AY2130" i="6"/>
  <c r="AZ2129" i="6"/>
  <c r="AY2129" i="6"/>
  <c r="AZ2128" i="6"/>
  <c r="AY2128" i="6"/>
  <c r="AZ2127" i="6"/>
  <c r="AY2127" i="6"/>
  <c r="AZ2126" i="6"/>
  <c r="AY2126" i="6"/>
  <c r="AZ2125" i="6"/>
  <c r="AY2125" i="6"/>
  <c r="AZ2124" i="6"/>
  <c r="AY2124" i="6"/>
  <c r="AZ2123" i="6"/>
  <c r="AY2123" i="6"/>
  <c r="AZ2122" i="6"/>
  <c r="AY2122" i="6"/>
  <c r="AZ2121" i="6"/>
  <c r="AY2121" i="6"/>
  <c r="AZ2120" i="6"/>
  <c r="AY2120" i="6"/>
  <c r="AZ2119" i="6"/>
  <c r="AY2119" i="6"/>
  <c r="AZ2118" i="6"/>
  <c r="AY2118" i="6"/>
  <c r="AZ2117" i="6"/>
  <c r="AY2117" i="6"/>
  <c r="AZ2116" i="6"/>
  <c r="AY2116" i="6"/>
  <c r="AZ2115" i="6"/>
  <c r="AY2115" i="6"/>
  <c r="AZ2114" i="6"/>
  <c r="AY2114" i="6"/>
  <c r="AZ2113" i="6"/>
  <c r="AY2113" i="6"/>
  <c r="AZ2112" i="6"/>
  <c r="AY2112" i="6"/>
  <c r="AZ2111" i="6"/>
  <c r="AY2111" i="6"/>
  <c r="AZ2110" i="6"/>
  <c r="AY2110" i="6"/>
  <c r="AZ2109" i="6"/>
  <c r="AY2109" i="6"/>
  <c r="AZ2108" i="6"/>
  <c r="AY2108" i="6"/>
  <c r="AZ2107" i="6"/>
  <c r="AY2107" i="6"/>
  <c r="AZ2106" i="6"/>
  <c r="AY2106" i="6"/>
  <c r="AZ2105" i="6"/>
  <c r="AY2105" i="6"/>
  <c r="AZ2104" i="6"/>
  <c r="AY2104" i="6"/>
  <c r="AZ2103" i="6"/>
  <c r="AY2103" i="6"/>
  <c r="AZ2102" i="6"/>
  <c r="AY2102" i="6"/>
  <c r="AZ2101" i="6"/>
  <c r="AY2101" i="6"/>
  <c r="AZ2100" i="6"/>
  <c r="AY2100" i="6"/>
  <c r="AZ2099" i="6"/>
  <c r="AY2099" i="6"/>
  <c r="AZ2098" i="6"/>
  <c r="AY2098" i="6"/>
  <c r="AZ2097" i="6"/>
  <c r="AY2097" i="6"/>
  <c r="AZ2096" i="6"/>
  <c r="AY2096" i="6"/>
  <c r="AZ2095" i="6"/>
  <c r="AY2095" i="6"/>
  <c r="AZ2094" i="6"/>
  <c r="AY2094" i="6"/>
  <c r="AZ2093" i="6"/>
  <c r="AY2093" i="6"/>
  <c r="AZ2092" i="6"/>
  <c r="AY2092" i="6"/>
  <c r="AZ2091" i="6"/>
  <c r="AY2091" i="6"/>
  <c r="AZ2090" i="6"/>
  <c r="AY2090" i="6"/>
  <c r="AZ2089" i="6"/>
  <c r="AY2089" i="6"/>
  <c r="AZ2088" i="6"/>
  <c r="AY2088" i="6"/>
  <c r="AZ2087" i="6"/>
  <c r="AY2087" i="6"/>
  <c r="AZ2086" i="6"/>
  <c r="AY2086" i="6"/>
  <c r="AZ2085" i="6"/>
  <c r="AY2085" i="6"/>
  <c r="AZ2084" i="6"/>
  <c r="AY2084" i="6"/>
  <c r="AZ2083" i="6"/>
  <c r="AY2083" i="6"/>
  <c r="AZ2082" i="6"/>
  <c r="AY2082" i="6"/>
  <c r="AZ2081" i="6"/>
  <c r="AY2081" i="6"/>
  <c r="AZ2080" i="6"/>
  <c r="AY2080" i="6"/>
  <c r="AZ2079" i="6"/>
  <c r="AY2079" i="6"/>
  <c r="AZ2078" i="6"/>
  <c r="AY2078" i="6"/>
  <c r="AZ2077" i="6"/>
  <c r="AY2077" i="6"/>
  <c r="AZ2076" i="6"/>
  <c r="AY2076" i="6"/>
  <c r="AZ2075" i="6"/>
  <c r="AY2075" i="6"/>
  <c r="AZ2074" i="6"/>
  <c r="AY2074" i="6"/>
  <c r="AZ2073" i="6"/>
  <c r="AY2073" i="6"/>
  <c r="AZ2072" i="6"/>
  <c r="AY2072" i="6"/>
  <c r="AZ2071" i="6"/>
  <c r="AY2071" i="6"/>
  <c r="AZ2070" i="6"/>
  <c r="AY2070" i="6"/>
  <c r="AZ2069" i="6"/>
  <c r="AY2069" i="6"/>
  <c r="AZ2068" i="6"/>
  <c r="AY2068" i="6"/>
  <c r="AZ2067" i="6"/>
  <c r="AY2067" i="6"/>
  <c r="AZ2066" i="6"/>
  <c r="AY2066" i="6"/>
  <c r="AZ2065" i="6"/>
  <c r="AY2065" i="6"/>
  <c r="AZ2064" i="6"/>
  <c r="AY2064" i="6"/>
  <c r="AZ2063" i="6"/>
  <c r="AY2063" i="6"/>
  <c r="AZ2062" i="6"/>
  <c r="AY2062" i="6"/>
  <c r="AZ2061" i="6"/>
  <c r="AY2061" i="6"/>
  <c r="AZ2060" i="6"/>
  <c r="AY2060" i="6"/>
  <c r="AZ2059" i="6"/>
  <c r="AY2059" i="6"/>
  <c r="AZ2058" i="6"/>
  <c r="AY2058" i="6"/>
  <c r="AZ2057" i="6"/>
  <c r="AY2057" i="6"/>
  <c r="AZ2056" i="6"/>
  <c r="AY2056" i="6"/>
  <c r="AZ2055" i="6"/>
  <c r="AY2055" i="6"/>
  <c r="AZ2054" i="6"/>
  <c r="AY2054" i="6"/>
  <c r="AZ2053" i="6"/>
  <c r="AY2053" i="6"/>
  <c r="AZ2052" i="6"/>
  <c r="AY2052" i="6"/>
  <c r="AZ2051" i="6"/>
  <c r="AY2051" i="6"/>
  <c r="AZ2050" i="6"/>
  <c r="AY2050" i="6"/>
  <c r="AZ2049" i="6"/>
  <c r="AY2049" i="6"/>
  <c r="AZ2048" i="6"/>
  <c r="AY2048" i="6"/>
  <c r="AZ2047" i="6"/>
  <c r="AY2047" i="6"/>
  <c r="AZ2046" i="6"/>
  <c r="AY2046" i="6"/>
  <c r="AZ2045" i="6"/>
  <c r="AY2045" i="6"/>
  <c r="AZ2044" i="6"/>
  <c r="AY2044" i="6"/>
  <c r="AZ2043" i="6"/>
  <c r="AY2043" i="6"/>
  <c r="AZ2042" i="6"/>
  <c r="AY2042" i="6"/>
  <c r="AZ2041" i="6"/>
  <c r="AY2041" i="6"/>
  <c r="AZ2040" i="6"/>
  <c r="AY2040" i="6"/>
  <c r="AZ2039" i="6"/>
  <c r="AY2039" i="6"/>
  <c r="AZ2038" i="6"/>
  <c r="AY2038" i="6"/>
  <c r="AZ2037" i="6"/>
  <c r="AY2037" i="6"/>
  <c r="AZ2036" i="6"/>
  <c r="AY2036" i="6"/>
  <c r="AZ2035" i="6"/>
  <c r="AY2035" i="6"/>
  <c r="AZ2034" i="6"/>
  <c r="AY2034" i="6"/>
  <c r="AZ2033" i="6"/>
  <c r="AY2033" i="6"/>
  <c r="AZ2032" i="6"/>
  <c r="AY2032" i="6"/>
  <c r="AZ2031" i="6"/>
  <c r="AY2031" i="6"/>
  <c r="AZ2030" i="6"/>
  <c r="AY2030" i="6"/>
  <c r="AZ2029" i="6"/>
  <c r="AY2029" i="6"/>
  <c r="AZ2028" i="6"/>
  <c r="AY2028" i="6"/>
  <c r="AZ2027" i="6"/>
  <c r="AY2027" i="6"/>
  <c r="AZ2026" i="6"/>
  <c r="AY2026" i="6"/>
  <c r="AZ2025" i="6"/>
  <c r="AY2025" i="6"/>
  <c r="AZ2024" i="6"/>
  <c r="AY2024" i="6"/>
  <c r="AZ2023" i="6"/>
  <c r="AY2023" i="6"/>
  <c r="AZ2022" i="6"/>
  <c r="AY2022" i="6"/>
  <c r="AZ2021" i="6"/>
  <c r="AY2021" i="6"/>
  <c r="AZ2020" i="6"/>
  <c r="AY2020" i="6"/>
  <c r="AZ2019" i="6"/>
  <c r="AY2019" i="6"/>
  <c r="AZ2018" i="6"/>
  <c r="AY2018" i="6"/>
  <c r="AZ2017" i="6"/>
  <c r="AY2017" i="6"/>
  <c r="AZ2016" i="6"/>
  <c r="AY2016" i="6"/>
  <c r="AZ2015" i="6"/>
  <c r="AY2015" i="6"/>
  <c r="AZ2014" i="6"/>
  <c r="AY2014" i="6"/>
  <c r="AZ2013" i="6"/>
  <c r="AY2013" i="6"/>
  <c r="AZ2012" i="6"/>
  <c r="AY2012" i="6"/>
  <c r="AZ2011" i="6"/>
  <c r="AY2011" i="6"/>
  <c r="AZ2010" i="6"/>
  <c r="AY2010" i="6"/>
  <c r="AZ2009" i="6"/>
  <c r="AY2009" i="6"/>
  <c r="AZ2008" i="6"/>
  <c r="AY2008" i="6"/>
  <c r="AZ2007" i="6"/>
  <c r="AY2007" i="6"/>
  <c r="AZ2006" i="6"/>
  <c r="AY2006" i="6"/>
  <c r="AZ2005" i="6"/>
  <c r="AY2005" i="6"/>
  <c r="AZ2004" i="6"/>
  <c r="AY2004" i="6"/>
  <c r="AZ2003" i="6"/>
  <c r="AY2003" i="6"/>
  <c r="AZ2002" i="6"/>
  <c r="AY2002" i="6"/>
  <c r="AZ2001" i="6"/>
  <c r="AY2001" i="6"/>
  <c r="AZ2000" i="6"/>
  <c r="AY2000" i="6"/>
  <c r="AZ1999" i="6"/>
  <c r="AY1999" i="6"/>
  <c r="AZ1998" i="6"/>
  <c r="AY1998" i="6"/>
  <c r="AZ1997" i="6"/>
  <c r="AY1997" i="6"/>
  <c r="AZ1996" i="6"/>
  <c r="AY1996" i="6"/>
  <c r="AZ1995" i="6"/>
  <c r="AY1995" i="6"/>
  <c r="AZ1994" i="6"/>
  <c r="AY1994" i="6"/>
  <c r="AZ1993" i="6"/>
  <c r="AY1993" i="6"/>
  <c r="AZ1992" i="6"/>
  <c r="AY1992" i="6"/>
  <c r="AZ1991" i="6"/>
  <c r="AY1991" i="6"/>
  <c r="AZ1990" i="6"/>
  <c r="AY1990" i="6"/>
  <c r="AZ1989" i="6"/>
  <c r="AY1989" i="6"/>
  <c r="AZ1988" i="6"/>
  <c r="AY1988" i="6"/>
  <c r="AZ1987" i="6"/>
  <c r="AY1987" i="6"/>
  <c r="AZ1986" i="6"/>
  <c r="AY1986" i="6"/>
  <c r="AZ1985" i="6"/>
  <c r="AY1985" i="6"/>
  <c r="AZ1984" i="6"/>
  <c r="AY1984" i="6"/>
  <c r="AZ1983" i="6"/>
  <c r="AY1983" i="6"/>
  <c r="AZ1982" i="6"/>
  <c r="AY1982" i="6"/>
  <c r="AZ1981" i="6"/>
  <c r="AY1981" i="6"/>
  <c r="AZ1980" i="6"/>
  <c r="AY1980" i="6"/>
  <c r="AZ1979" i="6"/>
  <c r="AY1979" i="6"/>
  <c r="AZ1978" i="6"/>
  <c r="AY1978" i="6"/>
  <c r="AZ1977" i="6"/>
  <c r="AY1977" i="6"/>
  <c r="AZ1976" i="6"/>
  <c r="AY1976" i="6"/>
  <c r="AZ1975" i="6"/>
  <c r="AY1975" i="6"/>
  <c r="AZ1974" i="6"/>
  <c r="AY1974" i="6"/>
  <c r="AZ1973" i="6"/>
  <c r="AY1973" i="6"/>
  <c r="AZ1972" i="6"/>
  <c r="AY1972" i="6"/>
  <c r="AZ1971" i="6"/>
  <c r="AY1971" i="6"/>
  <c r="AZ1970" i="6"/>
  <c r="AY1970" i="6"/>
  <c r="AZ1969" i="6"/>
  <c r="AY1969" i="6"/>
  <c r="AZ1968" i="6"/>
  <c r="AY1968" i="6"/>
  <c r="AZ1967" i="6"/>
  <c r="AY1967" i="6"/>
  <c r="AZ1966" i="6"/>
  <c r="AY1966" i="6"/>
  <c r="AZ1965" i="6"/>
  <c r="AY1965" i="6"/>
  <c r="AZ1964" i="6"/>
  <c r="AY1964" i="6"/>
  <c r="AZ1963" i="6"/>
  <c r="AY1963" i="6"/>
  <c r="AZ1962" i="6"/>
  <c r="AY1962" i="6"/>
  <c r="AZ1961" i="6"/>
  <c r="AY1961" i="6"/>
  <c r="AZ1960" i="6"/>
  <c r="AY1960" i="6"/>
  <c r="AZ1959" i="6"/>
  <c r="AY1959" i="6"/>
  <c r="AZ1958" i="6"/>
  <c r="AY1958" i="6"/>
  <c r="AZ1957" i="6"/>
  <c r="AY1957" i="6"/>
  <c r="AZ1956" i="6"/>
  <c r="AY1956" i="6"/>
  <c r="AZ1955" i="6"/>
  <c r="AY1955" i="6"/>
  <c r="AZ1954" i="6"/>
  <c r="AY1954" i="6"/>
  <c r="AZ1953" i="6"/>
  <c r="AY1953" i="6"/>
  <c r="AZ1952" i="6"/>
  <c r="AY1952" i="6"/>
  <c r="AZ1951" i="6"/>
  <c r="AY1951" i="6"/>
  <c r="AZ1950" i="6"/>
  <c r="AY1950" i="6"/>
  <c r="AZ1949" i="6"/>
  <c r="AY1949" i="6"/>
  <c r="AZ1948" i="6"/>
  <c r="AY1948" i="6"/>
  <c r="AZ1947" i="6"/>
  <c r="AY1947" i="6"/>
  <c r="AZ1946" i="6"/>
  <c r="AY1946" i="6"/>
  <c r="AZ1945" i="6"/>
  <c r="AY1945" i="6"/>
  <c r="AZ1944" i="6"/>
  <c r="AY1944" i="6"/>
  <c r="AZ1943" i="6"/>
  <c r="AY1943" i="6"/>
  <c r="AZ1942" i="6"/>
  <c r="AY1942" i="6"/>
  <c r="AZ1941" i="6"/>
  <c r="AY1941" i="6"/>
  <c r="AZ1940" i="6"/>
  <c r="AY1940" i="6"/>
  <c r="AZ1939" i="6"/>
  <c r="AY1939" i="6"/>
  <c r="AZ1938" i="6"/>
  <c r="AY1938" i="6"/>
  <c r="AZ1937" i="6"/>
  <c r="AY1937" i="6"/>
  <c r="AZ1936" i="6"/>
  <c r="AY1936" i="6"/>
  <c r="AZ1935" i="6"/>
  <c r="AY1935" i="6"/>
  <c r="AZ1934" i="6"/>
  <c r="AY1934" i="6"/>
  <c r="AZ1933" i="6"/>
  <c r="AY1933" i="6"/>
  <c r="AZ1932" i="6"/>
  <c r="AY1932" i="6"/>
  <c r="AZ1931" i="6"/>
  <c r="AY1931" i="6"/>
  <c r="AZ1930" i="6"/>
  <c r="AY1930" i="6"/>
  <c r="AZ1929" i="6"/>
  <c r="AY1929" i="6"/>
  <c r="AZ1928" i="6"/>
  <c r="AY1928" i="6"/>
  <c r="AZ1927" i="6"/>
  <c r="AY1927" i="6"/>
  <c r="AZ1926" i="6"/>
  <c r="AY1926" i="6"/>
  <c r="AZ1925" i="6"/>
  <c r="AY1925" i="6"/>
  <c r="AZ1924" i="6"/>
  <c r="AY1924" i="6"/>
  <c r="AZ1923" i="6"/>
  <c r="AY1923" i="6"/>
  <c r="AZ1922" i="6"/>
  <c r="AY1922" i="6"/>
  <c r="AZ1921" i="6"/>
  <c r="AY1921" i="6"/>
  <c r="AZ1920" i="6"/>
  <c r="AY1920" i="6"/>
  <c r="AZ1919" i="6"/>
  <c r="AY1919" i="6"/>
  <c r="AZ1918" i="6"/>
  <c r="AY1918" i="6"/>
  <c r="AZ1917" i="6"/>
  <c r="AY1917" i="6"/>
  <c r="AZ1916" i="6"/>
  <c r="AY1916" i="6"/>
  <c r="AZ1915" i="6"/>
  <c r="AY1915" i="6"/>
  <c r="AZ1914" i="6"/>
  <c r="AY1914" i="6"/>
  <c r="AZ1913" i="6"/>
  <c r="AY1913" i="6"/>
  <c r="AZ1912" i="6"/>
  <c r="AY1912" i="6"/>
  <c r="AZ1911" i="6"/>
  <c r="AY1911" i="6"/>
  <c r="AZ1910" i="6"/>
  <c r="AY1910" i="6"/>
  <c r="AZ1909" i="6"/>
  <c r="AY1909" i="6"/>
  <c r="AZ1908" i="6"/>
  <c r="AY1908" i="6"/>
  <c r="AZ1907" i="6"/>
  <c r="AY1907" i="6"/>
  <c r="AZ1906" i="6"/>
  <c r="AY1906" i="6"/>
  <c r="AZ1905" i="6"/>
  <c r="AY1905" i="6"/>
  <c r="AZ1904" i="6"/>
  <c r="AY1904" i="6"/>
  <c r="AZ1903" i="6"/>
  <c r="AY1903" i="6"/>
  <c r="AZ1902" i="6"/>
  <c r="AY1902" i="6"/>
  <c r="AZ1901" i="6"/>
  <c r="AY1901" i="6"/>
  <c r="AZ1900" i="6"/>
  <c r="AY1900" i="6"/>
  <c r="AZ1899" i="6"/>
  <c r="AY1899" i="6"/>
  <c r="AZ1898" i="6"/>
  <c r="AY1898" i="6"/>
  <c r="AZ1897" i="6"/>
  <c r="AY1897" i="6"/>
  <c r="AZ1896" i="6"/>
  <c r="AY1896" i="6"/>
  <c r="AZ1895" i="6"/>
  <c r="AY1895" i="6"/>
  <c r="AZ1894" i="6"/>
  <c r="AY1894" i="6"/>
  <c r="AZ1893" i="6"/>
  <c r="AY1893" i="6"/>
  <c r="AZ1892" i="6"/>
  <c r="AY1892" i="6"/>
  <c r="AZ1891" i="6"/>
  <c r="AY1891" i="6"/>
  <c r="AZ1890" i="6"/>
  <c r="AY1890" i="6"/>
  <c r="AZ1889" i="6"/>
  <c r="AY1889" i="6"/>
  <c r="AZ1888" i="6"/>
  <c r="AY1888" i="6"/>
  <c r="AZ1887" i="6"/>
  <c r="AY1887" i="6"/>
  <c r="AZ1886" i="6"/>
  <c r="AY1886" i="6"/>
  <c r="AZ1885" i="6"/>
  <c r="AY1885" i="6"/>
  <c r="AZ1884" i="6"/>
  <c r="AY1884" i="6"/>
  <c r="AZ1883" i="6"/>
  <c r="AY1883" i="6"/>
  <c r="AZ1882" i="6"/>
  <c r="AY1882" i="6"/>
  <c r="AZ1881" i="6"/>
  <c r="AY1881" i="6"/>
  <c r="AZ1880" i="6"/>
  <c r="AY1880" i="6"/>
  <c r="AZ1879" i="6"/>
  <c r="AY1879" i="6"/>
  <c r="AZ1878" i="6"/>
  <c r="AY1878" i="6"/>
  <c r="AZ1877" i="6"/>
  <c r="AY1877" i="6"/>
  <c r="AZ1876" i="6"/>
  <c r="AY1876" i="6"/>
  <c r="AZ1875" i="6"/>
  <c r="AY1875" i="6"/>
  <c r="AZ1874" i="6"/>
  <c r="AY1874" i="6"/>
  <c r="AZ1873" i="6"/>
  <c r="AY1873" i="6"/>
  <c r="AZ1872" i="6"/>
  <c r="AY1872" i="6"/>
  <c r="AZ1871" i="6"/>
  <c r="AY1871" i="6"/>
  <c r="AZ1870" i="6"/>
  <c r="AY1870" i="6"/>
  <c r="AZ1869" i="6"/>
  <c r="AY1869" i="6"/>
  <c r="AZ1868" i="6"/>
  <c r="AY1868" i="6"/>
  <c r="AZ1867" i="6"/>
  <c r="AY1867" i="6"/>
  <c r="AZ1866" i="6"/>
  <c r="AY1866" i="6"/>
  <c r="AZ1865" i="6"/>
  <c r="AY1865" i="6"/>
  <c r="AZ1864" i="6"/>
  <c r="AY1864" i="6"/>
  <c r="AZ1863" i="6"/>
  <c r="AY1863" i="6"/>
  <c r="AZ1862" i="6"/>
  <c r="AY1862" i="6"/>
  <c r="AZ1861" i="6"/>
  <c r="AY1861" i="6"/>
  <c r="AZ1860" i="6"/>
  <c r="AY1860" i="6"/>
  <c r="AZ1859" i="6"/>
  <c r="AY1859" i="6"/>
  <c r="AZ1858" i="6"/>
  <c r="AY1858" i="6"/>
  <c r="AZ1857" i="6"/>
  <c r="AY1857" i="6"/>
  <c r="AZ1856" i="6"/>
  <c r="AY1856" i="6"/>
  <c r="AZ1855" i="6"/>
  <c r="AY1855" i="6"/>
  <c r="AZ1854" i="6"/>
  <c r="AY1854" i="6"/>
  <c r="AZ1853" i="6"/>
  <c r="AY1853" i="6"/>
  <c r="AZ1852" i="6"/>
  <c r="AY1852" i="6"/>
  <c r="AZ1851" i="6"/>
  <c r="AY1851" i="6"/>
  <c r="AZ1850" i="6"/>
  <c r="AY1850" i="6"/>
  <c r="AZ1849" i="6"/>
  <c r="AY1849" i="6"/>
  <c r="AZ1848" i="6"/>
  <c r="AY1848" i="6"/>
  <c r="AZ1847" i="6"/>
  <c r="AY1847" i="6"/>
  <c r="AZ1846" i="6"/>
  <c r="AY1846" i="6"/>
  <c r="AZ1845" i="6"/>
  <c r="AY1845" i="6"/>
  <c r="AZ1844" i="6"/>
  <c r="AY1844" i="6"/>
  <c r="AZ1843" i="6"/>
  <c r="AY1843" i="6"/>
  <c r="AZ1842" i="6"/>
  <c r="AY1842" i="6"/>
  <c r="AZ1841" i="6"/>
  <c r="AY1841" i="6"/>
  <c r="AZ1840" i="6"/>
  <c r="AY1840" i="6"/>
  <c r="AZ1839" i="6"/>
  <c r="AY1839" i="6"/>
  <c r="AZ1838" i="6"/>
  <c r="AY1838" i="6"/>
  <c r="AZ1837" i="6"/>
  <c r="AY1837" i="6"/>
  <c r="AZ1836" i="6"/>
  <c r="AY1836" i="6"/>
  <c r="AZ1835" i="6"/>
  <c r="AY1835" i="6"/>
  <c r="AZ1834" i="6"/>
  <c r="AY1834" i="6"/>
  <c r="AZ1833" i="6"/>
  <c r="AY1833" i="6"/>
  <c r="AZ1832" i="6"/>
  <c r="AY1832" i="6"/>
  <c r="AZ1831" i="6"/>
  <c r="AY1831" i="6"/>
  <c r="AZ1830" i="6"/>
  <c r="AY1830" i="6"/>
  <c r="AZ1829" i="6"/>
  <c r="AY1829" i="6"/>
  <c r="AZ1828" i="6"/>
  <c r="AY1828" i="6"/>
  <c r="AZ1827" i="6"/>
  <c r="AY1827" i="6"/>
  <c r="AZ1826" i="6"/>
  <c r="AY1826" i="6"/>
  <c r="AZ1825" i="6"/>
  <c r="AY1825" i="6"/>
  <c r="AZ1824" i="6"/>
  <c r="AY1824" i="6"/>
  <c r="AZ1823" i="6"/>
  <c r="AY1823" i="6"/>
  <c r="AZ1822" i="6"/>
  <c r="AY1822" i="6"/>
  <c r="AZ1821" i="6"/>
  <c r="AY1821" i="6"/>
  <c r="AZ1820" i="6"/>
  <c r="AY1820" i="6"/>
  <c r="AZ1819" i="6"/>
  <c r="AY1819" i="6"/>
  <c r="AZ1818" i="6"/>
  <c r="AY1818" i="6"/>
  <c r="AZ1817" i="6"/>
  <c r="AY1817" i="6"/>
  <c r="AZ1816" i="6"/>
  <c r="AY1816" i="6"/>
  <c r="AZ1815" i="6"/>
  <c r="AY1815" i="6"/>
  <c r="AZ1814" i="6"/>
  <c r="AY1814" i="6"/>
  <c r="AZ1813" i="6"/>
  <c r="AY1813" i="6"/>
  <c r="AZ1812" i="6"/>
  <c r="AY1812" i="6"/>
  <c r="AZ1811" i="6"/>
  <c r="AY1811" i="6"/>
  <c r="AZ1810" i="6"/>
  <c r="AY1810" i="6"/>
  <c r="AZ1809" i="6"/>
  <c r="AY1809" i="6"/>
  <c r="AZ1808" i="6"/>
  <c r="AY1808" i="6"/>
  <c r="AZ1807" i="6"/>
  <c r="AY1807" i="6"/>
  <c r="AZ1806" i="6"/>
  <c r="AY1806" i="6"/>
  <c r="AZ1805" i="6"/>
  <c r="AY1805" i="6"/>
  <c r="AZ1804" i="6"/>
  <c r="AY1804" i="6"/>
  <c r="AZ1803" i="6"/>
  <c r="AY1803" i="6"/>
  <c r="AZ1802" i="6"/>
  <c r="AY1802" i="6"/>
  <c r="AZ1801" i="6"/>
  <c r="AY1801" i="6"/>
  <c r="AZ1800" i="6"/>
  <c r="AY1800" i="6"/>
  <c r="AZ1799" i="6"/>
  <c r="AY1799" i="6"/>
  <c r="AZ1798" i="6"/>
  <c r="AY1798" i="6"/>
  <c r="AZ1797" i="6"/>
  <c r="AY1797" i="6"/>
  <c r="AZ1796" i="6"/>
  <c r="AY1796" i="6"/>
  <c r="AZ1795" i="6"/>
  <c r="AY1795" i="6"/>
  <c r="AZ1794" i="6"/>
  <c r="AY1794" i="6"/>
  <c r="AZ1793" i="6"/>
  <c r="AY1793" i="6"/>
  <c r="AZ1792" i="6"/>
  <c r="AY1792" i="6"/>
  <c r="AZ1791" i="6"/>
  <c r="AY1791" i="6"/>
  <c r="AZ1790" i="6"/>
  <c r="AY1790" i="6"/>
  <c r="AZ1789" i="6"/>
  <c r="AY1789" i="6"/>
  <c r="AZ1788" i="6"/>
  <c r="AY1788" i="6"/>
  <c r="AZ1787" i="6"/>
  <c r="AY1787" i="6"/>
  <c r="AZ1786" i="6"/>
  <c r="AY1786" i="6"/>
  <c r="AZ1785" i="6"/>
  <c r="AY1785" i="6"/>
  <c r="AZ1784" i="6"/>
  <c r="AY1784" i="6"/>
  <c r="AZ1783" i="6"/>
  <c r="AY1783" i="6"/>
  <c r="AZ1782" i="6"/>
  <c r="AY1782" i="6"/>
  <c r="AZ1781" i="6"/>
  <c r="AY1781" i="6"/>
  <c r="AZ1780" i="6"/>
  <c r="AY1780" i="6"/>
  <c r="AZ1779" i="6"/>
  <c r="AY1779" i="6"/>
  <c r="AZ1778" i="6"/>
  <c r="AY1778" i="6"/>
  <c r="AZ1777" i="6"/>
  <c r="AY1777" i="6"/>
  <c r="AZ1776" i="6"/>
  <c r="AY1776" i="6"/>
  <c r="AZ1775" i="6"/>
  <c r="AY1775" i="6"/>
  <c r="AZ1774" i="6"/>
  <c r="AY1774" i="6"/>
  <c r="AZ1773" i="6"/>
  <c r="AY1773" i="6"/>
  <c r="AZ1772" i="6"/>
  <c r="AY1772" i="6"/>
  <c r="AZ1771" i="6"/>
  <c r="AY1771" i="6"/>
  <c r="AZ1770" i="6"/>
  <c r="AY1770" i="6"/>
  <c r="AZ1769" i="6"/>
  <c r="AY1769" i="6"/>
  <c r="AZ1768" i="6"/>
  <c r="AY1768" i="6"/>
  <c r="AZ1767" i="6"/>
  <c r="AY1767" i="6"/>
  <c r="AZ1766" i="6"/>
  <c r="AY1766" i="6"/>
  <c r="AZ1765" i="6"/>
  <c r="AY1765" i="6"/>
  <c r="AZ1764" i="6"/>
  <c r="AY1764" i="6"/>
  <c r="AZ1763" i="6"/>
  <c r="AY1763" i="6"/>
  <c r="AZ1762" i="6"/>
  <c r="AY1762" i="6"/>
  <c r="AZ1761" i="6"/>
  <c r="AY1761" i="6"/>
  <c r="AZ1760" i="6"/>
  <c r="AY1760" i="6"/>
  <c r="AZ1759" i="6"/>
  <c r="AY1759" i="6"/>
  <c r="AZ1758" i="6"/>
  <c r="AY1758" i="6"/>
  <c r="AZ1757" i="6"/>
  <c r="AY1757" i="6"/>
  <c r="AZ1756" i="6"/>
  <c r="AY1756" i="6"/>
  <c r="AZ1755" i="6"/>
  <c r="AY1755" i="6"/>
  <c r="AZ1754" i="6"/>
  <c r="AY1754" i="6"/>
  <c r="AZ1753" i="6"/>
  <c r="AY1753" i="6"/>
  <c r="AZ1752" i="6"/>
  <c r="AY1752" i="6"/>
  <c r="AZ1751" i="6"/>
  <c r="AY1751" i="6"/>
  <c r="AZ1750" i="6"/>
  <c r="AY1750" i="6"/>
  <c r="AZ1749" i="6"/>
  <c r="AY1749" i="6"/>
  <c r="AZ1748" i="6"/>
  <c r="AY1748" i="6"/>
  <c r="AZ1747" i="6"/>
  <c r="AY1747" i="6"/>
  <c r="AZ1746" i="6"/>
  <c r="AY1746" i="6"/>
  <c r="AZ1745" i="6"/>
  <c r="AY1745" i="6"/>
  <c r="AZ1744" i="6"/>
  <c r="AY1744" i="6"/>
  <c r="AZ1743" i="6"/>
  <c r="AY1743" i="6"/>
  <c r="AZ1742" i="6"/>
  <c r="AY1742" i="6"/>
  <c r="AZ1741" i="6"/>
  <c r="AY1741" i="6"/>
  <c r="AZ1740" i="6"/>
  <c r="AY1740" i="6"/>
  <c r="AZ1739" i="6"/>
  <c r="AY1739" i="6"/>
  <c r="AZ1738" i="6"/>
  <c r="AY1738" i="6"/>
  <c r="AZ1737" i="6"/>
  <c r="AY1737" i="6"/>
  <c r="AZ1736" i="6"/>
  <c r="AY1736" i="6"/>
  <c r="AZ1735" i="6"/>
  <c r="AY1735" i="6"/>
  <c r="AZ1734" i="6"/>
  <c r="AY1734" i="6"/>
  <c r="AZ1733" i="6"/>
  <c r="AY1733" i="6"/>
  <c r="AZ1732" i="6"/>
  <c r="AY1732" i="6"/>
  <c r="AZ1731" i="6"/>
  <c r="AY1731" i="6"/>
  <c r="AZ1730" i="6"/>
  <c r="AY1730" i="6"/>
  <c r="AZ1729" i="6"/>
  <c r="AY1729" i="6"/>
  <c r="AZ1728" i="6"/>
  <c r="AY1728" i="6"/>
  <c r="AZ1727" i="6"/>
  <c r="AY1727" i="6"/>
  <c r="AZ1726" i="6"/>
  <c r="AY1726" i="6"/>
  <c r="AZ1725" i="6"/>
  <c r="AY1725" i="6"/>
  <c r="AZ1724" i="6"/>
  <c r="AY1724" i="6"/>
  <c r="AZ1723" i="6"/>
  <c r="AY1723" i="6"/>
  <c r="AZ1722" i="6"/>
  <c r="AY1722" i="6"/>
  <c r="AZ1721" i="6"/>
  <c r="AY1721" i="6"/>
  <c r="AZ1720" i="6"/>
  <c r="AY1720" i="6"/>
  <c r="AZ1719" i="6"/>
  <c r="AY1719" i="6"/>
  <c r="AZ1718" i="6"/>
  <c r="AY1718" i="6"/>
  <c r="AZ1717" i="6"/>
  <c r="AY1717" i="6"/>
  <c r="AZ1716" i="6"/>
  <c r="AY1716" i="6"/>
  <c r="AZ1715" i="6"/>
  <c r="AY1715" i="6"/>
  <c r="AZ1714" i="6"/>
  <c r="AY1714" i="6"/>
  <c r="AZ1713" i="6"/>
  <c r="AY1713" i="6"/>
  <c r="AZ1712" i="6"/>
  <c r="AY1712" i="6"/>
  <c r="AZ1711" i="6"/>
  <c r="AY1711" i="6"/>
  <c r="AZ1710" i="6"/>
  <c r="AY1710" i="6"/>
  <c r="AZ1709" i="6"/>
  <c r="AY1709" i="6"/>
  <c r="AZ1708" i="6"/>
  <c r="AY1708" i="6"/>
  <c r="AZ1707" i="6"/>
  <c r="AY1707" i="6"/>
  <c r="AZ1706" i="6"/>
  <c r="AY1706" i="6"/>
  <c r="AZ1705" i="6"/>
  <c r="AY1705" i="6"/>
  <c r="AZ1704" i="6"/>
  <c r="AY1704" i="6"/>
  <c r="AZ1703" i="6"/>
  <c r="AY1703" i="6"/>
  <c r="AZ1702" i="6"/>
  <c r="AY1702" i="6"/>
  <c r="AZ1701" i="6"/>
  <c r="AY1701" i="6"/>
  <c r="AZ1700" i="6"/>
  <c r="AY1700" i="6"/>
  <c r="AZ1699" i="6"/>
  <c r="AY1699" i="6"/>
  <c r="AZ1698" i="6"/>
  <c r="AY1698" i="6"/>
  <c r="AZ1697" i="6"/>
  <c r="AY1697" i="6"/>
  <c r="AZ1696" i="6"/>
  <c r="AY1696" i="6"/>
  <c r="AZ1695" i="6"/>
  <c r="AY1695" i="6"/>
  <c r="AZ1694" i="6"/>
  <c r="AY1694" i="6"/>
  <c r="AZ1693" i="6"/>
  <c r="AY1693" i="6"/>
  <c r="AZ1692" i="6"/>
  <c r="AY1692" i="6"/>
  <c r="AZ1691" i="6"/>
  <c r="AY1691" i="6"/>
  <c r="AZ1690" i="6"/>
  <c r="AY1690" i="6"/>
  <c r="AZ1689" i="6"/>
  <c r="AY1689" i="6"/>
  <c r="AZ1688" i="6"/>
  <c r="AY1688" i="6"/>
  <c r="AZ1687" i="6"/>
  <c r="AY1687" i="6"/>
  <c r="AZ1686" i="6"/>
  <c r="AY1686" i="6"/>
  <c r="AZ1685" i="6"/>
  <c r="AY1685" i="6"/>
  <c r="AZ1684" i="6"/>
  <c r="AY1684" i="6"/>
  <c r="AZ1683" i="6"/>
  <c r="AY1683" i="6"/>
  <c r="AZ1682" i="6"/>
  <c r="AY1682" i="6"/>
  <c r="AZ1681" i="6"/>
  <c r="AY1681" i="6"/>
  <c r="AZ1680" i="6"/>
  <c r="AY1680" i="6"/>
  <c r="AZ1679" i="6"/>
  <c r="AY1679" i="6"/>
  <c r="AZ1678" i="6"/>
  <c r="AY1678" i="6"/>
  <c r="AZ1677" i="6"/>
  <c r="AY1677" i="6"/>
  <c r="AZ1676" i="6"/>
  <c r="AY1676" i="6"/>
  <c r="AZ1675" i="6"/>
  <c r="AY1675" i="6"/>
  <c r="AZ1674" i="6"/>
  <c r="AY1674" i="6"/>
  <c r="AZ1673" i="6"/>
  <c r="AY1673" i="6"/>
  <c r="AZ1672" i="6"/>
  <c r="AY1672" i="6"/>
  <c r="AZ1671" i="6"/>
  <c r="AY1671" i="6"/>
  <c r="AZ1670" i="6"/>
  <c r="AY1670" i="6"/>
  <c r="AZ1669" i="6"/>
  <c r="AY1669" i="6"/>
  <c r="AZ1668" i="6"/>
  <c r="AY1668" i="6"/>
  <c r="AZ1667" i="6"/>
  <c r="AY1667" i="6"/>
  <c r="AZ1666" i="6"/>
  <c r="AY1666" i="6"/>
  <c r="AZ1665" i="6"/>
  <c r="AY1665" i="6"/>
  <c r="AZ1664" i="6"/>
  <c r="AY1664" i="6"/>
  <c r="AZ1663" i="6"/>
  <c r="AY1663" i="6"/>
  <c r="AZ1662" i="6"/>
  <c r="AY1662" i="6"/>
  <c r="AZ1661" i="6"/>
  <c r="AY1661" i="6"/>
  <c r="AZ1660" i="6"/>
  <c r="AY1660" i="6"/>
  <c r="AZ1659" i="6"/>
  <c r="AY1659" i="6"/>
  <c r="AZ1658" i="6"/>
  <c r="AY1658" i="6"/>
  <c r="AZ1657" i="6"/>
  <c r="AY1657" i="6"/>
  <c r="AZ1656" i="6"/>
  <c r="AY1656" i="6"/>
  <c r="AZ1655" i="6"/>
  <c r="AY1655" i="6"/>
  <c r="AZ1654" i="6"/>
  <c r="AY1654" i="6"/>
  <c r="AZ1653" i="6"/>
  <c r="AY1653" i="6"/>
  <c r="AZ1652" i="6"/>
  <c r="AY1652" i="6"/>
  <c r="AZ1651" i="6"/>
  <c r="AY1651" i="6"/>
  <c r="AZ1650" i="6"/>
  <c r="AY1650" i="6"/>
  <c r="AZ1649" i="6"/>
  <c r="AY1649" i="6"/>
  <c r="AZ1648" i="6"/>
  <c r="AY1648" i="6"/>
  <c r="AZ1647" i="6"/>
  <c r="AY1647" i="6"/>
  <c r="AZ1646" i="6"/>
  <c r="AY1646" i="6"/>
  <c r="AZ1645" i="6"/>
  <c r="AY1645" i="6"/>
  <c r="AZ1644" i="6"/>
  <c r="AY1644" i="6"/>
  <c r="AZ1643" i="6"/>
  <c r="AY1643" i="6"/>
  <c r="AZ1642" i="6"/>
  <c r="AY1642" i="6"/>
  <c r="AZ1641" i="6"/>
  <c r="AY1641" i="6"/>
  <c r="AZ1640" i="6"/>
  <c r="AY1640" i="6"/>
  <c r="AZ1639" i="6"/>
  <c r="AY1639" i="6"/>
  <c r="AZ1638" i="6"/>
  <c r="AY1638" i="6"/>
  <c r="AZ1637" i="6"/>
  <c r="AY1637" i="6"/>
  <c r="AZ1636" i="6"/>
  <c r="AY1636" i="6"/>
  <c r="AZ1635" i="6"/>
  <c r="AY1635" i="6"/>
  <c r="AZ1634" i="6"/>
  <c r="AY1634" i="6"/>
  <c r="AZ1633" i="6"/>
  <c r="AY1633" i="6"/>
  <c r="AZ1632" i="6"/>
  <c r="AY1632" i="6"/>
  <c r="AZ1631" i="6"/>
  <c r="AY1631" i="6"/>
  <c r="AZ1630" i="6"/>
  <c r="AY1630" i="6"/>
  <c r="AZ1629" i="6"/>
  <c r="AY1629" i="6"/>
  <c r="AZ1628" i="6"/>
  <c r="AY1628" i="6"/>
  <c r="AZ1627" i="6"/>
  <c r="AY1627" i="6"/>
  <c r="AZ1626" i="6"/>
  <c r="AY1626" i="6"/>
  <c r="AZ1625" i="6"/>
  <c r="AY1625" i="6"/>
  <c r="AZ1624" i="6"/>
  <c r="AY1624" i="6"/>
  <c r="AZ1623" i="6"/>
  <c r="AY1623" i="6"/>
  <c r="AZ1622" i="6"/>
  <c r="AY1622" i="6"/>
  <c r="AZ1621" i="6"/>
  <c r="AY1621" i="6"/>
  <c r="AZ1620" i="6"/>
  <c r="AY1620" i="6"/>
  <c r="AZ1619" i="6"/>
  <c r="AY1619" i="6"/>
  <c r="AZ1618" i="6"/>
  <c r="AY1618" i="6"/>
  <c r="AZ1617" i="6"/>
  <c r="AY1617" i="6"/>
  <c r="AZ1616" i="6"/>
  <c r="AY1616" i="6"/>
  <c r="AZ1615" i="6"/>
  <c r="AY1615" i="6"/>
  <c r="AZ1614" i="6"/>
  <c r="AY1614" i="6"/>
  <c r="AZ1613" i="6"/>
  <c r="AY1613" i="6"/>
  <c r="AZ1612" i="6"/>
  <c r="AY1612" i="6"/>
  <c r="AZ1611" i="6"/>
  <c r="AY1611" i="6"/>
  <c r="AZ1610" i="6"/>
  <c r="AY1610" i="6"/>
  <c r="AZ1609" i="6"/>
  <c r="AY1609" i="6"/>
  <c r="AZ1608" i="6"/>
  <c r="AY1608" i="6"/>
  <c r="AZ1607" i="6"/>
  <c r="AY1607" i="6"/>
  <c r="AZ1606" i="6"/>
  <c r="AY1606" i="6"/>
  <c r="AZ1605" i="6"/>
  <c r="AY1605" i="6"/>
  <c r="AZ1604" i="6"/>
  <c r="AY1604" i="6"/>
  <c r="AZ1603" i="6"/>
  <c r="AY1603" i="6"/>
  <c r="AZ1602" i="6"/>
  <c r="AY1602" i="6"/>
  <c r="AZ1601" i="6"/>
  <c r="AY1601" i="6"/>
  <c r="AZ1600" i="6"/>
  <c r="AY1600" i="6"/>
  <c r="AZ1599" i="6"/>
  <c r="AY1599" i="6"/>
  <c r="AZ1598" i="6"/>
  <c r="AY1598" i="6"/>
  <c r="AZ1597" i="6"/>
  <c r="AY1597" i="6"/>
  <c r="AZ1596" i="6"/>
  <c r="AY1596" i="6"/>
  <c r="AZ1595" i="6"/>
  <c r="AY1595" i="6"/>
  <c r="AZ1594" i="6"/>
  <c r="AY1594" i="6"/>
  <c r="AZ1593" i="6"/>
  <c r="AY1593" i="6"/>
  <c r="AZ1592" i="6"/>
  <c r="AY1592" i="6"/>
  <c r="AZ1591" i="6"/>
  <c r="AY1591" i="6"/>
  <c r="AZ1590" i="6"/>
  <c r="AY1590" i="6"/>
  <c r="AZ1589" i="6"/>
  <c r="AY1589" i="6"/>
  <c r="AZ1588" i="6"/>
  <c r="AY1588" i="6"/>
  <c r="AZ1587" i="6"/>
  <c r="AY1587" i="6"/>
  <c r="AZ1586" i="6"/>
  <c r="AY1586" i="6"/>
  <c r="AZ1585" i="6"/>
  <c r="AY1585" i="6"/>
  <c r="AZ1584" i="6"/>
  <c r="AY1584" i="6"/>
  <c r="AZ1583" i="6"/>
  <c r="AY1583" i="6"/>
  <c r="AZ1582" i="6"/>
  <c r="AY1582" i="6"/>
  <c r="AZ1581" i="6"/>
  <c r="AY1581" i="6"/>
  <c r="AZ1580" i="6"/>
  <c r="AY1580" i="6"/>
  <c r="AZ1579" i="6"/>
  <c r="AY1579" i="6"/>
  <c r="AZ1578" i="6"/>
  <c r="AY1578" i="6"/>
  <c r="AZ1577" i="6"/>
  <c r="AY1577" i="6"/>
  <c r="AZ1576" i="6"/>
  <c r="AY1576" i="6"/>
  <c r="AZ1575" i="6"/>
  <c r="AY1575" i="6"/>
  <c r="AZ1574" i="6"/>
  <c r="AY1574" i="6"/>
  <c r="AZ1573" i="6"/>
  <c r="AY1573" i="6"/>
  <c r="AZ1572" i="6"/>
  <c r="AY1572" i="6"/>
  <c r="AZ1571" i="6"/>
  <c r="AY1571" i="6"/>
  <c r="AZ1570" i="6"/>
  <c r="AY1570" i="6"/>
  <c r="AZ1569" i="6"/>
  <c r="AY1569" i="6"/>
  <c r="AZ1568" i="6"/>
  <c r="AY1568" i="6"/>
  <c r="AZ1567" i="6"/>
  <c r="AY1567" i="6"/>
  <c r="AZ1566" i="6"/>
  <c r="AY1566" i="6"/>
  <c r="AZ1565" i="6"/>
  <c r="AY1565" i="6"/>
  <c r="AZ1564" i="6"/>
  <c r="AY1564" i="6"/>
  <c r="AZ1563" i="6"/>
  <c r="AY1563" i="6"/>
  <c r="AZ1562" i="6"/>
  <c r="AY1562" i="6"/>
  <c r="AZ1561" i="6"/>
  <c r="AY1561" i="6"/>
  <c r="AZ1560" i="6"/>
  <c r="AY1560" i="6"/>
  <c r="AZ1559" i="6"/>
  <c r="AY1559" i="6"/>
  <c r="AZ1558" i="6"/>
  <c r="AY1558" i="6"/>
  <c r="AZ1557" i="6"/>
  <c r="AY1557" i="6"/>
  <c r="AZ1556" i="6"/>
  <c r="AY1556" i="6"/>
  <c r="AZ1555" i="6"/>
  <c r="AY1555" i="6"/>
  <c r="AZ1554" i="6"/>
  <c r="AY1554" i="6"/>
  <c r="AZ1553" i="6"/>
  <c r="AY1553" i="6"/>
  <c r="AZ1552" i="6"/>
  <c r="AY1552" i="6"/>
  <c r="AZ1551" i="6"/>
  <c r="AY1551" i="6"/>
  <c r="AZ1550" i="6"/>
  <c r="AY1550" i="6"/>
  <c r="AZ1549" i="6"/>
  <c r="AY1549" i="6"/>
  <c r="AZ1548" i="6"/>
  <c r="AY1548" i="6"/>
  <c r="AZ1547" i="6"/>
  <c r="AY1547" i="6"/>
  <c r="AZ1546" i="6"/>
  <c r="AY1546" i="6"/>
  <c r="AZ1545" i="6"/>
  <c r="AY1545" i="6"/>
  <c r="AZ1544" i="6"/>
  <c r="AY1544" i="6"/>
  <c r="AZ1543" i="6"/>
  <c r="AY1543" i="6"/>
  <c r="AZ1542" i="6"/>
  <c r="AY1542" i="6"/>
  <c r="AZ1541" i="6"/>
  <c r="AY1541" i="6"/>
  <c r="AZ1540" i="6"/>
  <c r="AY1540" i="6"/>
  <c r="AZ1539" i="6"/>
  <c r="AY1539" i="6"/>
  <c r="AZ1538" i="6"/>
  <c r="AY1538" i="6"/>
  <c r="AZ1537" i="6"/>
  <c r="AY1537" i="6"/>
  <c r="AZ1536" i="6"/>
  <c r="AY1536" i="6"/>
  <c r="AZ1535" i="6"/>
  <c r="AY1535" i="6"/>
  <c r="AZ1534" i="6"/>
  <c r="AY1534" i="6"/>
  <c r="AZ1533" i="6"/>
  <c r="AY1533" i="6"/>
  <c r="AZ1532" i="6"/>
  <c r="AY1532" i="6"/>
  <c r="AZ1531" i="6"/>
  <c r="AY1531" i="6"/>
  <c r="AZ1530" i="6"/>
  <c r="AY1530" i="6"/>
  <c r="AZ1529" i="6"/>
  <c r="AY1529" i="6"/>
  <c r="AZ1528" i="6"/>
  <c r="AY1528" i="6"/>
  <c r="AZ1527" i="6"/>
  <c r="AY1527" i="6"/>
  <c r="AZ1526" i="6"/>
  <c r="AY1526" i="6"/>
  <c r="AZ1525" i="6"/>
  <c r="AY1525" i="6"/>
  <c r="AZ1524" i="6"/>
  <c r="AY1524" i="6"/>
  <c r="AZ1523" i="6"/>
  <c r="AY1523" i="6"/>
  <c r="AZ1522" i="6"/>
  <c r="AY1522" i="6"/>
  <c r="AZ1521" i="6"/>
  <c r="AY1521" i="6"/>
  <c r="AZ1520" i="6"/>
  <c r="AY1520" i="6"/>
  <c r="AZ1519" i="6"/>
  <c r="AY1519" i="6"/>
  <c r="AZ1518" i="6"/>
  <c r="AY1518" i="6"/>
  <c r="AZ1517" i="6"/>
  <c r="AY1517" i="6"/>
  <c r="AZ1516" i="6"/>
  <c r="AY1516" i="6"/>
  <c r="AZ1515" i="6"/>
  <c r="AY1515" i="6"/>
  <c r="AZ1514" i="6"/>
  <c r="AY1514" i="6"/>
  <c r="AZ1513" i="6"/>
  <c r="AY1513" i="6"/>
  <c r="AZ1512" i="6"/>
  <c r="AY1512" i="6"/>
  <c r="AZ1511" i="6"/>
  <c r="AY1511" i="6"/>
  <c r="AZ1510" i="6"/>
  <c r="AY1510" i="6"/>
  <c r="AZ1509" i="6"/>
  <c r="AY1509" i="6"/>
  <c r="AZ1508" i="6"/>
  <c r="AY1508" i="6"/>
  <c r="AZ1507" i="6"/>
  <c r="AY1507" i="6"/>
  <c r="AZ1506" i="6"/>
  <c r="AY1506" i="6"/>
  <c r="AZ1505" i="6"/>
  <c r="AY1505" i="6"/>
  <c r="AZ1504" i="6"/>
  <c r="AY1504" i="6"/>
  <c r="AZ1503" i="6"/>
  <c r="AY1503" i="6"/>
  <c r="AZ1502" i="6"/>
  <c r="AY1502" i="6"/>
  <c r="AZ1501" i="6"/>
  <c r="AY1501" i="6"/>
  <c r="AZ1500" i="6"/>
  <c r="AY1500" i="6"/>
  <c r="AZ1499" i="6"/>
  <c r="AY1499" i="6"/>
  <c r="AZ1498" i="6"/>
  <c r="AY1498" i="6"/>
  <c r="AZ1497" i="6"/>
  <c r="AY1497" i="6"/>
  <c r="AZ1496" i="6"/>
  <c r="AY1496" i="6"/>
  <c r="AZ1495" i="6"/>
  <c r="AY1495" i="6"/>
  <c r="AZ1494" i="6"/>
  <c r="AY1494" i="6"/>
  <c r="AZ1493" i="6"/>
  <c r="AY1493" i="6"/>
  <c r="AZ1492" i="6"/>
  <c r="AY1492" i="6"/>
  <c r="AZ1491" i="6"/>
  <c r="AY1491" i="6"/>
  <c r="AZ1490" i="6"/>
  <c r="AY1490" i="6"/>
  <c r="AZ1489" i="6"/>
  <c r="AY1489" i="6"/>
  <c r="AZ1488" i="6"/>
  <c r="AY1488" i="6"/>
  <c r="AZ1487" i="6"/>
  <c r="AY1487" i="6"/>
  <c r="AZ1486" i="6"/>
  <c r="AY1486" i="6"/>
  <c r="AZ1485" i="6"/>
  <c r="AY1485" i="6"/>
  <c r="AZ1484" i="6"/>
  <c r="AY1484" i="6"/>
  <c r="AZ1483" i="6"/>
  <c r="AY1483" i="6"/>
  <c r="AZ1482" i="6"/>
  <c r="AY1482" i="6"/>
  <c r="AZ1481" i="6"/>
  <c r="AY1481" i="6"/>
  <c r="AZ1480" i="6"/>
  <c r="AY1480" i="6"/>
  <c r="AZ1479" i="6"/>
  <c r="AY1479" i="6"/>
  <c r="AZ1478" i="6"/>
  <c r="AY1478" i="6"/>
  <c r="AZ1477" i="6"/>
  <c r="AY1477" i="6"/>
  <c r="AZ1476" i="6"/>
  <c r="AY1476" i="6"/>
  <c r="AZ1475" i="6"/>
  <c r="AY1475" i="6"/>
  <c r="AZ1474" i="6"/>
  <c r="AY1474" i="6"/>
  <c r="AZ1473" i="6"/>
  <c r="AY1473" i="6"/>
  <c r="AZ1472" i="6"/>
  <c r="AY1472" i="6"/>
  <c r="AZ1471" i="6"/>
  <c r="AY1471" i="6"/>
  <c r="AZ1470" i="6"/>
  <c r="AY1470" i="6"/>
  <c r="AZ1469" i="6"/>
  <c r="AY1469" i="6"/>
  <c r="AZ1468" i="6"/>
  <c r="AY1468" i="6"/>
  <c r="AZ1467" i="6"/>
  <c r="AY1467" i="6"/>
  <c r="AZ1466" i="6"/>
  <c r="AY1466" i="6"/>
  <c r="AZ1465" i="6"/>
  <c r="AY1465" i="6"/>
  <c r="AZ1464" i="6"/>
  <c r="AY1464" i="6"/>
  <c r="AZ1463" i="6"/>
  <c r="AY1463" i="6"/>
  <c r="AZ1462" i="6"/>
  <c r="AY1462" i="6"/>
  <c r="AZ1461" i="6"/>
  <c r="AY1461" i="6"/>
  <c r="AZ1460" i="6"/>
  <c r="AY1460" i="6"/>
  <c r="AZ1459" i="6"/>
  <c r="AY1459" i="6"/>
  <c r="AZ1458" i="6"/>
  <c r="AY1458" i="6"/>
  <c r="AZ1457" i="6"/>
  <c r="AY1457" i="6"/>
  <c r="AZ1456" i="6"/>
  <c r="AY1456" i="6"/>
  <c r="AZ1455" i="6"/>
  <c r="AY1455" i="6"/>
  <c r="AZ1454" i="6"/>
  <c r="AY1454" i="6"/>
  <c r="AZ1453" i="6"/>
  <c r="AY1453" i="6"/>
  <c r="AZ1452" i="6"/>
  <c r="AY1452" i="6"/>
  <c r="AZ1451" i="6"/>
  <c r="AY1451" i="6"/>
  <c r="AZ1450" i="6"/>
  <c r="AY1450" i="6"/>
  <c r="AZ1449" i="6"/>
  <c r="AY1449" i="6"/>
  <c r="AZ1448" i="6"/>
  <c r="AY1448" i="6"/>
  <c r="AZ1447" i="6"/>
  <c r="AY1447" i="6"/>
  <c r="AZ1446" i="6"/>
  <c r="AY1446" i="6"/>
  <c r="AZ1445" i="6"/>
  <c r="AY1445" i="6"/>
  <c r="AZ1444" i="6"/>
  <c r="AY1444" i="6"/>
  <c r="AZ1443" i="6"/>
  <c r="AY1443" i="6"/>
  <c r="AZ1442" i="6"/>
  <c r="AY1442" i="6"/>
  <c r="AZ1441" i="6"/>
  <c r="AY1441" i="6"/>
  <c r="AZ1440" i="6"/>
  <c r="AY1440" i="6"/>
  <c r="AZ1439" i="6"/>
  <c r="AY1439" i="6"/>
  <c r="AZ1438" i="6"/>
  <c r="AY1438" i="6"/>
  <c r="AZ1437" i="6"/>
  <c r="AY1437" i="6"/>
  <c r="AZ1436" i="6"/>
  <c r="AY1436" i="6"/>
  <c r="AZ1435" i="6"/>
  <c r="AY1435" i="6"/>
  <c r="AZ1434" i="6"/>
  <c r="AY1434" i="6"/>
  <c r="AZ1433" i="6"/>
  <c r="AY1433" i="6"/>
  <c r="AZ1432" i="6"/>
  <c r="AY1432" i="6"/>
  <c r="AZ1431" i="6"/>
  <c r="AY1431" i="6"/>
  <c r="AZ1430" i="6"/>
  <c r="AY1430" i="6"/>
  <c r="AZ1429" i="6"/>
  <c r="AY1429" i="6"/>
  <c r="AZ1428" i="6"/>
  <c r="AY1428" i="6"/>
  <c r="AZ1427" i="6"/>
  <c r="AY1427" i="6"/>
  <c r="AZ1426" i="6"/>
  <c r="AY1426" i="6"/>
  <c r="AZ1425" i="6"/>
  <c r="AY1425" i="6"/>
  <c r="AZ1424" i="6"/>
  <c r="AY1424" i="6"/>
  <c r="AZ1423" i="6"/>
  <c r="AY1423" i="6"/>
  <c r="AZ1422" i="6"/>
  <c r="AY1422" i="6"/>
  <c r="AZ1421" i="6"/>
  <c r="AY1421" i="6"/>
  <c r="AZ1420" i="6"/>
  <c r="AY1420" i="6"/>
  <c r="AZ1419" i="6"/>
  <c r="AY1419" i="6"/>
  <c r="AZ1418" i="6"/>
  <c r="AY1418" i="6"/>
  <c r="AZ1417" i="6"/>
  <c r="AY1417" i="6"/>
  <c r="AZ1416" i="6"/>
  <c r="AY1416" i="6"/>
  <c r="AZ1415" i="6"/>
  <c r="AY1415" i="6"/>
  <c r="AZ1414" i="6"/>
  <c r="AY1414" i="6"/>
  <c r="AZ1413" i="6"/>
  <c r="AY1413" i="6"/>
  <c r="AZ1412" i="6"/>
  <c r="AY1412" i="6"/>
  <c r="AZ1411" i="6"/>
  <c r="AY1411" i="6"/>
  <c r="AZ1410" i="6"/>
  <c r="AY1410" i="6"/>
  <c r="AZ1409" i="6"/>
  <c r="AY1409" i="6"/>
  <c r="AZ1408" i="6"/>
  <c r="AY1408" i="6"/>
  <c r="AZ1407" i="6"/>
  <c r="AY1407" i="6"/>
  <c r="AZ1406" i="6"/>
  <c r="AY1406" i="6"/>
  <c r="AZ1405" i="6"/>
  <c r="AY1405" i="6"/>
  <c r="AZ1404" i="6"/>
  <c r="AY1404" i="6"/>
  <c r="AZ1403" i="6"/>
  <c r="AY1403" i="6"/>
  <c r="AZ1402" i="6"/>
  <c r="AY1402" i="6"/>
  <c r="AZ1401" i="6"/>
  <c r="AY1401" i="6"/>
  <c r="AZ1400" i="6"/>
  <c r="AY1400" i="6"/>
  <c r="AZ1399" i="6"/>
  <c r="AY1399" i="6"/>
  <c r="AZ1398" i="6"/>
  <c r="AY1398" i="6"/>
  <c r="AZ1397" i="6"/>
  <c r="AY1397" i="6"/>
  <c r="AZ1396" i="6"/>
  <c r="AY1396" i="6"/>
  <c r="AZ1395" i="6"/>
  <c r="AY1395" i="6"/>
  <c r="AZ1394" i="6"/>
  <c r="AY1394" i="6"/>
  <c r="AZ1393" i="6"/>
  <c r="AY1393" i="6"/>
  <c r="AZ1392" i="6"/>
  <c r="AY1392" i="6"/>
  <c r="AZ1391" i="6"/>
  <c r="AY1391" i="6"/>
  <c r="AZ1390" i="6"/>
  <c r="AY1390" i="6"/>
  <c r="AZ1389" i="6"/>
  <c r="AY1389" i="6"/>
  <c r="AZ1388" i="6"/>
  <c r="AY1388" i="6"/>
  <c r="AZ1387" i="6"/>
  <c r="AY1387" i="6"/>
  <c r="AZ1386" i="6"/>
  <c r="AY1386" i="6"/>
  <c r="AZ1385" i="6"/>
  <c r="AY1385" i="6"/>
  <c r="AZ1384" i="6"/>
  <c r="AY1384" i="6"/>
  <c r="AZ1383" i="6"/>
  <c r="AY1383" i="6"/>
  <c r="AZ1382" i="6"/>
  <c r="AY1382" i="6"/>
  <c r="AZ1381" i="6"/>
  <c r="AY1381" i="6"/>
  <c r="AZ1380" i="6"/>
  <c r="AY1380" i="6"/>
  <c r="AZ1379" i="6"/>
  <c r="AY1379" i="6"/>
  <c r="AZ1378" i="6"/>
  <c r="AY1378" i="6"/>
  <c r="AZ1377" i="6"/>
  <c r="AY1377" i="6"/>
  <c r="AZ1376" i="6"/>
  <c r="AY1376" i="6"/>
  <c r="AZ1375" i="6"/>
  <c r="AY1375" i="6"/>
  <c r="AZ1374" i="6"/>
  <c r="AY1374" i="6"/>
  <c r="AZ1373" i="6"/>
  <c r="AY1373" i="6"/>
  <c r="AZ1372" i="6"/>
  <c r="AY1372" i="6"/>
  <c r="AZ1371" i="6"/>
  <c r="AY1371" i="6"/>
  <c r="AZ1370" i="6"/>
  <c r="AY1370" i="6"/>
  <c r="AZ1369" i="6"/>
  <c r="AY1369" i="6"/>
  <c r="AZ1368" i="6"/>
  <c r="AY1368" i="6"/>
  <c r="AZ1367" i="6"/>
  <c r="AY1367" i="6"/>
  <c r="AZ1366" i="6"/>
  <c r="AY1366" i="6"/>
  <c r="AZ1365" i="6"/>
  <c r="AY1365" i="6"/>
  <c r="AZ1364" i="6"/>
  <c r="AY1364" i="6"/>
  <c r="AZ1363" i="6"/>
  <c r="AY1363" i="6"/>
  <c r="AZ1362" i="6"/>
  <c r="AY1362" i="6"/>
  <c r="AZ1361" i="6"/>
  <c r="AY1361" i="6"/>
  <c r="AZ1360" i="6"/>
  <c r="AY1360" i="6"/>
  <c r="AZ1359" i="6"/>
  <c r="AY1359" i="6"/>
  <c r="AZ1358" i="6"/>
  <c r="AY1358" i="6"/>
  <c r="AZ1357" i="6"/>
  <c r="AY1357" i="6"/>
  <c r="AZ1356" i="6"/>
  <c r="AY1356" i="6"/>
  <c r="AZ1355" i="6"/>
  <c r="AY1355" i="6"/>
  <c r="AZ1354" i="6"/>
  <c r="AY1354" i="6"/>
  <c r="AZ1353" i="6"/>
  <c r="AY1353" i="6"/>
  <c r="AZ1352" i="6"/>
  <c r="AY1352" i="6"/>
  <c r="AZ1351" i="6"/>
  <c r="AY1351" i="6"/>
  <c r="AZ1350" i="6"/>
  <c r="AY1350" i="6"/>
  <c r="AZ1349" i="6"/>
  <c r="AY1349" i="6"/>
  <c r="AZ1348" i="6"/>
  <c r="AY1348" i="6"/>
  <c r="AZ1347" i="6"/>
  <c r="AY1347" i="6"/>
  <c r="AZ1346" i="6"/>
  <c r="AY1346" i="6"/>
  <c r="AZ1345" i="6"/>
  <c r="AY1345" i="6"/>
  <c r="AZ1344" i="6"/>
  <c r="AY1344" i="6"/>
  <c r="AZ1343" i="6"/>
  <c r="AY1343" i="6"/>
  <c r="AZ1342" i="6"/>
  <c r="AY1342" i="6"/>
  <c r="AZ1341" i="6"/>
  <c r="AY1341" i="6"/>
  <c r="AZ1340" i="6"/>
  <c r="AY1340" i="6"/>
  <c r="AZ1339" i="6"/>
  <c r="AY1339" i="6"/>
  <c r="AZ1338" i="6"/>
  <c r="AY1338" i="6"/>
  <c r="AZ1337" i="6"/>
  <c r="AY1337" i="6"/>
  <c r="AZ1336" i="6"/>
  <c r="AY1336" i="6"/>
  <c r="AZ1335" i="6"/>
  <c r="AY1335" i="6"/>
  <c r="AZ1334" i="6"/>
  <c r="AY1334" i="6"/>
  <c r="AZ1333" i="6"/>
  <c r="AY1333" i="6"/>
  <c r="AZ1332" i="6"/>
  <c r="AY1332" i="6"/>
  <c r="AZ1331" i="6"/>
  <c r="AY1331" i="6"/>
  <c r="AZ1330" i="6"/>
  <c r="AY1330" i="6"/>
  <c r="AZ1329" i="6"/>
  <c r="AY1329" i="6"/>
  <c r="AZ1328" i="6"/>
  <c r="AY1328" i="6"/>
  <c r="AZ1327" i="6"/>
  <c r="AY1327" i="6"/>
  <c r="AZ1326" i="6"/>
  <c r="AY1326" i="6"/>
  <c r="AZ1325" i="6"/>
  <c r="AY1325" i="6"/>
  <c r="AZ1324" i="6"/>
  <c r="AY1324" i="6"/>
  <c r="AZ1323" i="6"/>
  <c r="AY1323" i="6"/>
  <c r="AZ1322" i="6"/>
  <c r="AY1322" i="6"/>
  <c r="AZ1321" i="6"/>
  <c r="AY1321" i="6"/>
  <c r="AZ1320" i="6"/>
  <c r="AY1320" i="6"/>
  <c r="AZ1319" i="6"/>
  <c r="AY1319" i="6"/>
  <c r="AZ1318" i="6"/>
  <c r="AY1318" i="6"/>
  <c r="AZ1317" i="6"/>
  <c r="AY1317" i="6"/>
  <c r="AZ1316" i="6"/>
  <c r="AY1316" i="6"/>
  <c r="AZ1315" i="6"/>
  <c r="AY1315" i="6"/>
  <c r="AZ1314" i="6"/>
  <c r="AY1314" i="6"/>
  <c r="AZ1313" i="6"/>
  <c r="AY1313" i="6"/>
  <c r="AZ1312" i="6"/>
  <c r="AY1312" i="6"/>
  <c r="AZ1311" i="6"/>
  <c r="AY1311" i="6"/>
  <c r="AZ1310" i="6"/>
  <c r="AY1310" i="6"/>
  <c r="AZ1309" i="6"/>
  <c r="AY1309" i="6"/>
  <c r="AZ1308" i="6"/>
  <c r="AY1308" i="6"/>
  <c r="AZ1307" i="6"/>
  <c r="AY1307" i="6"/>
  <c r="AZ1306" i="6"/>
  <c r="AY1306" i="6"/>
  <c r="AZ1305" i="6"/>
  <c r="AY1305" i="6"/>
  <c r="AZ1304" i="6"/>
  <c r="AY1304" i="6"/>
  <c r="AZ1303" i="6"/>
  <c r="AY1303" i="6"/>
  <c r="AZ1302" i="6"/>
  <c r="AY1302" i="6"/>
  <c r="AZ1301" i="6"/>
  <c r="AY1301" i="6"/>
  <c r="AZ1300" i="6"/>
  <c r="AY1300" i="6"/>
  <c r="AZ1299" i="6"/>
  <c r="AY1299" i="6"/>
  <c r="AZ1298" i="6"/>
  <c r="AY1298" i="6"/>
  <c r="AZ1297" i="6"/>
  <c r="AY1297" i="6"/>
  <c r="AZ1296" i="6"/>
  <c r="AY1296" i="6"/>
  <c r="AZ1295" i="6"/>
  <c r="AY1295" i="6"/>
  <c r="AZ1294" i="6"/>
  <c r="AY1294" i="6"/>
  <c r="AZ1293" i="6"/>
  <c r="AY1293" i="6"/>
  <c r="AZ1292" i="6"/>
  <c r="AY1292" i="6"/>
  <c r="AZ1291" i="6"/>
  <c r="AY1291" i="6"/>
  <c r="AZ1290" i="6"/>
  <c r="AY1290" i="6"/>
  <c r="AZ1289" i="6"/>
  <c r="AY1289" i="6"/>
  <c r="AZ1288" i="6"/>
  <c r="AY1288" i="6"/>
  <c r="AZ1287" i="6"/>
  <c r="AY1287" i="6"/>
  <c r="AZ1286" i="6"/>
  <c r="AY1286" i="6"/>
  <c r="AZ1285" i="6"/>
  <c r="AY1285" i="6"/>
  <c r="AZ1284" i="6"/>
  <c r="AY1284" i="6"/>
  <c r="AZ1283" i="6"/>
  <c r="AY1283" i="6"/>
  <c r="AZ1282" i="6"/>
  <c r="AY1282" i="6"/>
  <c r="AZ1281" i="6"/>
  <c r="AY1281" i="6"/>
  <c r="AZ1280" i="6"/>
  <c r="AY1280" i="6"/>
  <c r="AZ1279" i="6"/>
  <c r="AY1279" i="6"/>
  <c r="AZ1278" i="6"/>
  <c r="AY1278" i="6"/>
  <c r="AZ1277" i="6"/>
  <c r="AY1277" i="6"/>
  <c r="AZ1276" i="6"/>
  <c r="AY1276" i="6"/>
  <c r="AZ1275" i="6"/>
  <c r="AY1275" i="6"/>
  <c r="AZ1274" i="6"/>
  <c r="AY1274" i="6"/>
  <c r="AZ1273" i="6"/>
  <c r="AY1273" i="6"/>
  <c r="AZ1272" i="6"/>
  <c r="AY1272" i="6"/>
  <c r="AZ1271" i="6"/>
  <c r="AY1271" i="6"/>
  <c r="AZ1270" i="6"/>
  <c r="AY1270" i="6"/>
  <c r="AZ1269" i="6"/>
  <c r="AY1269" i="6"/>
  <c r="AZ1268" i="6"/>
  <c r="AY1268" i="6"/>
  <c r="AZ1267" i="6"/>
  <c r="AY1267" i="6"/>
  <c r="AZ1266" i="6"/>
  <c r="AY1266" i="6"/>
  <c r="AZ1265" i="6"/>
  <c r="AY1265" i="6"/>
  <c r="AZ1264" i="6"/>
  <c r="AY1264" i="6"/>
  <c r="AZ1263" i="6"/>
  <c r="AY1263" i="6"/>
  <c r="AZ1262" i="6"/>
  <c r="AY1262" i="6"/>
  <c r="AZ1261" i="6"/>
  <c r="AY1261" i="6"/>
  <c r="AZ1260" i="6"/>
  <c r="AY1260" i="6"/>
  <c r="AZ1259" i="6"/>
  <c r="AY1259" i="6"/>
  <c r="AZ1258" i="6"/>
  <c r="AY1258" i="6"/>
  <c r="AZ1257" i="6"/>
  <c r="AY1257" i="6"/>
  <c r="AZ1256" i="6"/>
  <c r="AY1256" i="6"/>
  <c r="AZ1255" i="6"/>
  <c r="AY1255" i="6"/>
  <c r="AZ1254" i="6"/>
  <c r="AY1254" i="6"/>
  <c r="AZ1253" i="6"/>
  <c r="AY1253" i="6"/>
  <c r="AZ1252" i="6"/>
  <c r="AY1252" i="6"/>
  <c r="AZ1251" i="6"/>
  <c r="AY1251" i="6"/>
  <c r="AZ1250" i="6"/>
  <c r="AY1250" i="6"/>
  <c r="AZ1249" i="6"/>
  <c r="AY1249" i="6"/>
  <c r="AZ1248" i="6"/>
  <c r="AY1248" i="6"/>
  <c r="AZ1247" i="6"/>
  <c r="AY1247" i="6"/>
  <c r="AZ1246" i="6"/>
  <c r="AY1246" i="6"/>
  <c r="AZ1245" i="6"/>
  <c r="AY1245" i="6"/>
  <c r="AZ1244" i="6"/>
  <c r="AY1244" i="6"/>
  <c r="AZ1243" i="6"/>
  <c r="AY1243" i="6"/>
  <c r="AZ1242" i="6"/>
  <c r="AY1242" i="6"/>
  <c r="AZ1241" i="6"/>
  <c r="AY1241" i="6"/>
  <c r="AZ1240" i="6"/>
  <c r="AY1240" i="6"/>
  <c r="AZ1239" i="6"/>
  <c r="AY1239" i="6"/>
  <c r="AZ1238" i="6"/>
  <c r="AY1238" i="6"/>
  <c r="AZ1237" i="6"/>
  <c r="AY1237" i="6"/>
  <c r="AZ1236" i="6"/>
  <c r="AY1236" i="6"/>
  <c r="AZ1235" i="6"/>
  <c r="AY1235" i="6"/>
  <c r="AZ1234" i="6"/>
  <c r="AY1234" i="6"/>
  <c r="AZ1233" i="6"/>
  <c r="AY1233" i="6"/>
  <c r="AZ1232" i="6"/>
  <c r="AY1232" i="6"/>
  <c r="AZ1231" i="6"/>
  <c r="AY1231" i="6"/>
  <c r="AZ1230" i="6"/>
  <c r="AY1230" i="6"/>
  <c r="AZ1229" i="6"/>
  <c r="AY1229" i="6"/>
  <c r="AZ1228" i="6"/>
  <c r="AY1228" i="6"/>
  <c r="AZ1227" i="6"/>
  <c r="AY1227" i="6"/>
  <c r="AZ1226" i="6"/>
  <c r="AY1226" i="6"/>
  <c r="AZ1225" i="6"/>
  <c r="AY1225" i="6"/>
  <c r="AZ1224" i="6"/>
  <c r="AY1224" i="6"/>
  <c r="AZ1223" i="6"/>
  <c r="AY1223" i="6"/>
  <c r="AZ1222" i="6"/>
  <c r="AY1222" i="6"/>
  <c r="AZ1221" i="6"/>
  <c r="AY1221" i="6"/>
  <c r="AZ1220" i="6"/>
  <c r="AY1220" i="6"/>
  <c r="AZ1219" i="6"/>
  <c r="AY1219" i="6"/>
  <c r="AZ1218" i="6"/>
  <c r="AY1218" i="6"/>
  <c r="AZ1217" i="6"/>
  <c r="AY1217" i="6"/>
  <c r="AZ1216" i="6"/>
  <c r="AY1216" i="6"/>
  <c r="AZ1215" i="6"/>
  <c r="AY1215" i="6"/>
  <c r="AZ1214" i="6"/>
  <c r="AY1214" i="6"/>
  <c r="AZ1213" i="6"/>
  <c r="AY1213" i="6"/>
  <c r="AZ1212" i="6"/>
  <c r="AY1212" i="6"/>
  <c r="AZ1211" i="6"/>
  <c r="AY1211" i="6"/>
  <c r="AZ1210" i="6"/>
  <c r="AY1210" i="6"/>
  <c r="AZ1209" i="6"/>
  <c r="AY1209" i="6"/>
  <c r="AZ1208" i="6"/>
  <c r="AY1208" i="6"/>
  <c r="AZ1207" i="6"/>
  <c r="AY1207" i="6"/>
  <c r="AZ1206" i="6"/>
  <c r="AY1206" i="6"/>
  <c r="AZ1205" i="6"/>
  <c r="AY1205" i="6"/>
  <c r="AZ1204" i="6"/>
  <c r="AY1204" i="6"/>
  <c r="AZ1203" i="6"/>
  <c r="AY1203" i="6"/>
  <c r="AZ1202" i="6"/>
  <c r="AY1202" i="6"/>
  <c r="AZ1201" i="6"/>
  <c r="AY1201" i="6"/>
  <c r="AZ1200" i="6"/>
  <c r="AY1200" i="6"/>
  <c r="AZ1199" i="6"/>
  <c r="AY1199" i="6"/>
  <c r="AZ1198" i="6"/>
  <c r="AY1198" i="6"/>
  <c r="AZ1197" i="6"/>
  <c r="AY1197" i="6"/>
  <c r="AZ1196" i="6"/>
  <c r="AY1196" i="6"/>
  <c r="AZ1195" i="6"/>
  <c r="AY1195" i="6"/>
  <c r="AZ1194" i="6"/>
  <c r="AY1194" i="6"/>
  <c r="AZ1193" i="6"/>
  <c r="AY1193" i="6"/>
  <c r="AZ1192" i="6"/>
  <c r="AY1192" i="6"/>
  <c r="AZ1191" i="6"/>
  <c r="AY1191" i="6"/>
  <c r="AZ1190" i="6"/>
  <c r="AY1190" i="6"/>
  <c r="AZ1189" i="6"/>
  <c r="AY1189" i="6"/>
  <c r="AZ1188" i="6"/>
  <c r="AY1188" i="6"/>
  <c r="AZ1187" i="6"/>
  <c r="AY1187" i="6"/>
  <c r="AZ1186" i="6"/>
  <c r="AY1186" i="6"/>
  <c r="AZ1185" i="6"/>
  <c r="AY1185" i="6"/>
  <c r="AZ1184" i="6"/>
  <c r="AY1184" i="6"/>
  <c r="AZ1183" i="6"/>
  <c r="AY1183" i="6"/>
  <c r="AZ1182" i="6"/>
  <c r="AY1182" i="6"/>
  <c r="AZ1181" i="6"/>
  <c r="AY1181" i="6"/>
  <c r="AZ1180" i="6"/>
  <c r="AY1180" i="6"/>
  <c r="AZ1179" i="6"/>
  <c r="AY1179" i="6"/>
  <c r="AZ1178" i="6"/>
  <c r="AY1178" i="6"/>
  <c r="AZ1177" i="6"/>
  <c r="AY1177" i="6"/>
  <c r="AZ1176" i="6"/>
  <c r="AY1176" i="6"/>
  <c r="AZ1175" i="6"/>
  <c r="AY1175" i="6"/>
  <c r="AZ1174" i="6"/>
  <c r="AY1174" i="6"/>
  <c r="AZ1173" i="6"/>
  <c r="AY1173" i="6"/>
  <c r="AZ1172" i="6"/>
  <c r="AY1172" i="6"/>
  <c r="AZ1171" i="6"/>
  <c r="AY1171" i="6"/>
  <c r="AZ1170" i="6"/>
  <c r="AY1170" i="6"/>
  <c r="AZ1169" i="6"/>
  <c r="AY1169" i="6"/>
  <c r="AZ1168" i="6"/>
  <c r="AY1168" i="6"/>
  <c r="AZ1167" i="6"/>
  <c r="AY1167" i="6"/>
  <c r="AZ1166" i="6"/>
  <c r="AY1166" i="6"/>
  <c r="AZ1165" i="6"/>
  <c r="AY1165" i="6"/>
  <c r="AZ1164" i="6"/>
  <c r="AY1164" i="6"/>
  <c r="AZ1163" i="6"/>
  <c r="AY1163" i="6"/>
  <c r="AZ1162" i="6"/>
  <c r="AY1162" i="6"/>
  <c r="AZ1161" i="6"/>
  <c r="AY1161" i="6"/>
  <c r="AZ1160" i="6"/>
  <c r="AY1160" i="6"/>
  <c r="AZ1159" i="6"/>
  <c r="AY1159" i="6"/>
  <c r="AZ1158" i="6"/>
  <c r="AY1158" i="6"/>
  <c r="AZ1157" i="6"/>
  <c r="AY1157" i="6"/>
  <c r="AZ1156" i="6"/>
  <c r="AY1156" i="6"/>
  <c r="AZ1155" i="6"/>
  <c r="AY1155" i="6"/>
  <c r="AZ1154" i="6"/>
  <c r="AY1154" i="6"/>
  <c r="AZ1153" i="6"/>
  <c r="AY1153" i="6"/>
  <c r="AZ1152" i="6"/>
  <c r="AY1152" i="6"/>
  <c r="AZ1151" i="6"/>
  <c r="AY1151" i="6"/>
  <c r="AZ1150" i="6"/>
  <c r="AY1150" i="6"/>
  <c r="AZ1149" i="6"/>
  <c r="AY1149" i="6"/>
  <c r="AZ1148" i="6"/>
  <c r="AY1148" i="6"/>
  <c r="AZ1147" i="6"/>
  <c r="AY1147" i="6"/>
  <c r="AZ1146" i="6"/>
  <c r="AY1146" i="6"/>
  <c r="AZ1145" i="6"/>
  <c r="AY1145" i="6"/>
  <c r="AZ1144" i="6"/>
  <c r="AY1144" i="6"/>
  <c r="AZ1143" i="6"/>
  <c r="AY1143" i="6"/>
  <c r="AZ1142" i="6"/>
  <c r="AY1142" i="6"/>
  <c r="AZ1141" i="6"/>
  <c r="AY1141" i="6"/>
  <c r="AZ1140" i="6"/>
  <c r="AY1140" i="6"/>
  <c r="AZ1139" i="6"/>
  <c r="AY1139" i="6"/>
  <c r="AZ1138" i="6"/>
  <c r="AY1138" i="6"/>
  <c r="AZ1137" i="6"/>
  <c r="AY1137" i="6"/>
  <c r="AZ1136" i="6"/>
  <c r="AY1136" i="6"/>
  <c r="AZ1135" i="6"/>
  <c r="AY1135" i="6"/>
  <c r="AZ1134" i="6"/>
  <c r="AY1134" i="6"/>
  <c r="AZ1133" i="6"/>
  <c r="AY1133" i="6"/>
  <c r="AZ1132" i="6"/>
  <c r="AY1132" i="6"/>
  <c r="AZ1131" i="6"/>
  <c r="AY1131" i="6"/>
  <c r="AZ1130" i="6"/>
  <c r="AY1130" i="6"/>
  <c r="AZ1129" i="6"/>
  <c r="AY1129" i="6"/>
  <c r="AZ1128" i="6"/>
  <c r="AY1128" i="6"/>
  <c r="AZ1127" i="6"/>
  <c r="AY1127" i="6"/>
  <c r="AZ1126" i="6"/>
  <c r="AY1126" i="6"/>
  <c r="AZ1125" i="6"/>
  <c r="AY1125" i="6"/>
  <c r="AZ1124" i="6"/>
  <c r="AY1124" i="6"/>
  <c r="AZ1123" i="6"/>
  <c r="AY1123" i="6"/>
  <c r="AZ1122" i="6"/>
  <c r="AY1122" i="6"/>
  <c r="AZ1121" i="6"/>
  <c r="AY1121" i="6"/>
  <c r="AZ1120" i="6"/>
  <c r="AY1120" i="6"/>
  <c r="AZ1119" i="6"/>
  <c r="AY1119" i="6"/>
  <c r="AZ1118" i="6"/>
  <c r="AY1118" i="6"/>
  <c r="AZ1117" i="6"/>
  <c r="AY1117" i="6"/>
  <c r="AZ1116" i="6"/>
  <c r="AY1116" i="6"/>
  <c r="AZ1115" i="6"/>
  <c r="AY1115" i="6"/>
  <c r="AZ1114" i="6"/>
  <c r="AY1114" i="6"/>
  <c r="AZ1113" i="6"/>
  <c r="AY1113" i="6"/>
  <c r="AZ1112" i="6"/>
  <c r="AY1112" i="6"/>
  <c r="AZ1111" i="6"/>
  <c r="AY1111" i="6"/>
  <c r="AZ1110" i="6"/>
  <c r="AY1110" i="6"/>
  <c r="AZ1109" i="6"/>
  <c r="AY1109" i="6"/>
  <c r="AZ1108" i="6"/>
  <c r="AY1108" i="6"/>
  <c r="AZ1107" i="6"/>
  <c r="AY1107" i="6"/>
  <c r="AZ1106" i="6"/>
  <c r="AY1106" i="6"/>
  <c r="AZ1105" i="6"/>
  <c r="AY1105" i="6"/>
  <c r="AZ1104" i="6"/>
  <c r="AY1104" i="6"/>
  <c r="AZ1103" i="6"/>
  <c r="AY1103" i="6"/>
  <c r="AZ1102" i="6"/>
  <c r="AY1102" i="6"/>
  <c r="AZ1101" i="6"/>
  <c r="AY1101" i="6"/>
  <c r="AZ1100" i="6"/>
  <c r="AY1100" i="6"/>
  <c r="AZ1099" i="6"/>
  <c r="AY1099" i="6"/>
  <c r="AZ1098" i="6"/>
  <c r="AY1098" i="6"/>
  <c r="AZ1097" i="6"/>
  <c r="AY1097" i="6"/>
  <c r="AZ1096" i="6"/>
  <c r="AY1096" i="6"/>
  <c r="AZ1095" i="6"/>
  <c r="AY1095" i="6"/>
  <c r="AZ1094" i="6"/>
  <c r="AY1094" i="6"/>
  <c r="AZ1093" i="6"/>
  <c r="AY1093" i="6"/>
  <c r="AZ1092" i="6"/>
  <c r="AY1092" i="6"/>
  <c r="AZ1091" i="6"/>
  <c r="AY1091" i="6"/>
  <c r="AZ1090" i="6"/>
  <c r="AY1090" i="6"/>
  <c r="AZ1089" i="6"/>
  <c r="AY1089" i="6"/>
  <c r="AZ1088" i="6"/>
  <c r="AY1088" i="6"/>
  <c r="AZ1087" i="6"/>
  <c r="AY1087" i="6"/>
  <c r="AZ1086" i="6"/>
  <c r="AY1086" i="6"/>
  <c r="AZ1085" i="6"/>
  <c r="AY1085" i="6"/>
  <c r="AZ1084" i="6"/>
  <c r="AY1084" i="6"/>
  <c r="AZ1083" i="6"/>
  <c r="AY1083" i="6"/>
  <c r="AZ1082" i="6"/>
  <c r="AY1082" i="6"/>
  <c r="AZ1081" i="6"/>
  <c r="AY1081" i="6"/>
  <c r="AZ1080" i="6"/>
  <c r="AY1080" i="6"/>
  <c r="AZ1079" i="6"/>
  <c r="AY1079" i="6"/>
  <c r="AZ1078" i="6"/>
  <c r="AY1078" i="6"/>
  <c r="AZ1077" i="6"/>
  <c r="AY1077" i="6"/>
  <c r="AZ1076" i="6"/>
  <c r="AY1076" i="6"/>
  <c r="AZ1075" i="6"/>
  <c r="AY1075" i="6"/>
  <c r="AZ1074" i="6"/>
  <c r="AY1074" i="6"/>
  <c r="AZ1073" i="6"/>
  <c r="AY1073" i="6"/>
  <c r="AZ1072" i="6"/>
  <c r="AY1072" i="6"/>
  <c r="AZ1071" i="6"/>
  <c r="AY1071" i="6"/>
  <c r="AZ1070" i="6"/>
  <c r="AY1070" i="6"/>
  <c r="AZ1069" i="6"/>
  <c r="AY1069" i="6"/>
  <c r="AZ1068" i="6"/>
  <c r="AY1068" i="6"/>
  <c r="AZ1067" i="6"/>
  <c r="AY1067" i="6"/>
  <c r="AZ1066" i="6"/>
  <c r="AY1066" i="6"/>
  <c r="AZ1065" i="6"/>
  <c r="AY1065" i="6"/>
  <c r="AZ1064" i="6"/>
  <c r="AY1064" i="6"/>
  <c r="AZ1063" i="6"/>
  <c r="AY1063" i="6"/>
  <c r="AZ1062" i="6"/>
  <c r="AY1062" i="6"/>
  <c r="AZ1061" i="6"/>
  <c r="AY1061" i="6"/>
  <c r="AZ1060" i="6"/>
  <c r="AY1060" i="6"/>
  <c r="AZ1059" i="6"/>
  <c r="AY1059" i="6"/>
  <c r="AZ1058" i="6"/>
  <c r="AY1058" i="6"/>
  <c r="AZ1057" i="6"/>
  <c r="AY1057" i="6"/>
  <c r="AZ1056" i="6"/>
  <c r="AY1056" i="6"/>
  <c r="AZ1055" i="6"/>
  <c r="AY1055" i="6"/>
  <c r="AZ1054" i="6"/>
  <c r="AY1054" i="6"/>
  <c r="AZ1053" i="6"/>
  <c r="AY1053" i="6"/>
  <c r="AZ1052" i="6"/>
  <c r="AY1052" i="6"/>
  <c r="AZ1051" i="6"/>
  <c r="AY1051" i="6"/>
  <c r="AZ1050" i="6"/>
  <c r="AY1050" i="6"/>
  <c r="AZ1049" i="6"/>
  <c r="AY1049" i="6"/>
  <c r="AZ1048" i="6"/>
  <c r="AY1048" i="6"/>
  <c r="AZ1047" i="6"/>
  <c r="AY1047" i="6"/>
  <c r="AZ1046" i="6"/>
  <c r="AY1046" i="6"/>
  <c r="AZ1045" i="6"/>
  <c r="AY1045" i="6"/>
  <c r="AZ1044" i="6"/>
  <c r="AY1044" i="6"/>
  <c r="AZ1043" i="6"/>
  <c r="AY1043" i="6"/>
  <c r="AZ1042" i="6"/>
  <c r="AY1042" i="6"/>
  <c r="AZ1041" i="6"/>
  <c r="AY1041" i="6"/>
  <c r="AZ1040" i="6"/>
  <c r="AY1040" i="6"/>
  <c r="AZ1039" i="6"/>
  <c r="AY1039" i="6"/>
  <c r="AZ1038" i="6"/>
  <c r="AY1038" i="6"/>
  <c r="AZ1037" i="6"/>
  <c r="AY1037" i="6"/>
  <c r="AZ1036" i="6"/>
  <c r="AY1036" i="6"/>
  <c r="AZ1035" i="6"/>
  <c r="AY1035" i="6"/>
  <c r="AZ1034" i="6"/>
  <c r="AY1034" i="6"/>
  <c r="AZ1033" i="6"/>
  <c r="AY1033" i="6"/>
  <c r="AZ1032" i="6"/>
  <c r="AY1032" i="6"/>
  <c r="AZ1031" i="6"/>
  <c r="AY1031" i="6"/>
  <c r="AZ1030" i="6"/>
  <c r="AY1030" i="6"/>
  <c r="AZ1029" i="6"/>
  <c r="AY1029" i="6"/>
  <c r="AZ1028" i="6"/>
  <c r="AY1028" i="6"/>
  <c r="AZ1027" i="6"/>
  <c r="AY1027" i="6"/>
  <c r="AZ1026" i="6"/>
  <c r="AY1026" i="6"/>
  <c r="AZ1025" i="6"/>
  <c r="AY1025" i="6"/>
  <c r="AZ1024" i="6"/>
  <c r="AY1024" i="6"/>
  <c r="AZ1023" i="6"/>
  <c r="AY1023" i="6"/>
  <c r="AZ1022" i="6"/>
  <c r="AY1022" i="6"/>
  <c r="AZ1021" i="6"/>
  <c r="AY1021" i="6"/>
  <c r="AZ1020" i="6"/>
  <c r="AY1020" i="6"/>
  <c r="AZ1019" i="6"/>
  <c r="AY1019" i="6"/>
  <c r="AZ1018" i="6"/>
  <c r="AY1018" i="6"/>
  <c r="AZ1017" i="6"/>
  <c r="AY1017" i="6"/>
  <c r="AZ1016" i="6"/>
  <c r="AY1016" i="6"/>
  <c r="AZ1015" i="6"/>
  <c r="AY1015" i="6"/>
  <c r="AZ1014" i="6"/>
  <c r="AY1014" i="6"/>
  <c r="AZ1013" i="6"/>
  <c r="AY1013" i="6"/>
  <c r="AZ1012" i="6"/>
  <c r="AY1012" i="6"/>
  <c r="AZ1011" i="6"/>
  <c r="AY1011" i="6"/>
  <c r="AZ1010" i="6"/>
  <c r="AY1010" i="6"/>
  <c r="AZ1009" i="6"/>
  <c r="AY1009" i="6"/>
  <c r="AZ1008" i="6"/>
  <c r="AY1008" i="6"/>
  <c r="AZ1007" i="6"/>
  <c r="AY1007" i="6"/>
  <c r="AZ1006" i="6"/>
  <c r="AY1006" i="6"/>
  <c r="AZ1005" i="6"/>
  <c r="AY1005" i="6"/>
  <c r="AZ1004" i="6"/>
  <c r="AY1004" i="6"/>
  <c r="AZ1003" i="6"/>
  <c r="AY1003" i="6"/>
  <c r="AZ1002" i="6"/>
  <c r="AY1002" i="6"/>
  <c r="AZ1001" i="6"/>
  <c r="AY1001" i="6"/>
  <c r="AZ1000" i="6"/>
  <c r="AY1000" i="6"/>
  <c r="AZ999" i="6"/>
  <c r="AY999" i="6"/>
  <c r="AZ998" i="6"/>
  <c r="AY998" i="6"/>
  <c r="AZ997" i="6"/>
  <c r="AY997" i="6"/>
  <c r="AZ996" i="6"/>
  <c r="AY996" i="6"/>
  <c r="AZ995" i="6"/>
  <c r="AY995" i="6"/>
  <c r="AZ994" i="6"/>
  <c r="AY994" i="6"/>
  <c r="AZ993" i="6"/>
  <c r="AY993" i="6"/>
  <c r="AZ992" i="6"/>
  <c r="AY992" i="6"/>
  <c r="AZ991" i="6"/>
  <c r="AY991" i="6"/>
  <c r="AZ990" i="6"/>
  <c r="AY990" i="6"/>
  <c r="AZ989" i="6"/>
  <c r="AY989" i="6"/>
  <c r="AZ988" i="6"/>
  <c r="AY988" i="6"/>
  <c r="AZ987" i="6"/>
  <c r="AY987" i="6"/>
  <c r="AZ986" i="6"/>
  <c r="AY986" i="6"/>
  <c r="AZ985" i="6"/>
  <c r="AY985" i="6"/>
  <c r="AZ984" i="6"/>
  <c r="AY984" i="6"/>
  <c r="AZ983" i="6"/>
  <c r="AY983" i="6"/>
  <c r="AZ982" i="6"/>
  <c r="AY982" i="6"/>
  <c r="AZ981" i="6"/>
  <c r="AY981" i="6"/>
  <c r="AZ980" i="6"/>
  <c r="AY980" i="6"/>
  <c r="AZ979" i="6"/>
  <c r="AY979" i="6"/>
  <c r="AZ978" i="6"/>
  <c r="AY978" i="6"/>
  <c r="AZ977" i="6"/>
  <c r="AY977" i="6"/>
  <c r="AZ976" i="6"/>
  <c r="AY976" i="6"/>
  <c r="AZ975" i="6"/>
  <c r="AY975" i="6"/>
  <c r="AZ974" i="6"/>
  <c r="AY974" i="6"/>
  <c r="AZ973" i="6"/>
  <c r="AY973" i="6"/>
  <c r="AZ972" i="6"/>
  <c r="AY972" i="6"/>
  <c r="AZ971" i="6"/>
  <c r="AY971" i="6"/>
  <c r="AZ970" i="6"/>
  <c r="AY970" i="6"/>
  <c r="AZ969" i="6"/>
  <c r="AY969" i="6"/>
  <c r="AZ968" i="6"/>
  <c r="AY968" i="6"/>
  <c r="AZ967" i="6"/>
  <c r="AY967" i="6"/>
  <c r="AZ966" i="6"/>
  <c r="AY966" i="6"/>
  <c r="AZ965" i="6"/>
  <c r="AY965" i="6"/>
  <c r="AZ964" i="6"/>
  <c r="AY964" i="6"/>
  <c r="AZ963" i="6"/>
  <c r="AY963" i="6"/>
  <c r="AZ962" i="6"/>
  <c r="AY962" i="6"/>
  <c r="AZ961" i="6"/>
  <c r="AY961" i="6"/>
  <c r="AZ960" i="6"/>
  <c r="AY960" i="6"/>
  <c r="AZ959" i="6"/>
  <c r="AY959" i="6"/>
  <c r="AZ958" i="6"/>
  <c r="AY958" i="6"/>
  <c r="AZ957" i="6"/>
  <c r="AY957" i="6"/>
  <c r="AZ956" i="6"/>
  <c r="AY956" i="6"/>
  <c r="AZ955" i="6"/>
  <c r="AY955" i="6"/>
  <c r="AZ954" i="6"/>
  <c r="AY954" i="6"/>
  <c r="AZ953" i="6"/>
  <c r="AY953" i="6"/>
  <c r="AZ952" i="6"/>
  <c r="AY952" i="6"/>
  <c r="AZ951" i="6"/>
  <c r="AY951" i="6"/>
  <c r="AZ950" i="6"/>
  <c r="AY950" i="6"/>
  <c r="AZ949" i="6"/>
  <c r="AY949" i="6"/>
  <c r="AZ948" i="6"/>
  <c r="AY948" i="6"/>
  <c r="AZ947" i="6"/>
  <c r="AY947" i="6"/>
  <c r="AZ946" i="6"/>
  <c r="AY946" i="6"/>
  <c r="AZ945" i="6"/>
  <c r="AY945" i="6"/>
  <c r="AZ944" i="6"/>
  <c r="AY944" i="6"/>
  <c r="AZ943" i="6"/>
  <c r="AY943" i="6"/>
  <c r="AZ942" i="6"/>
  <c r="AY942" i="6"/>
  <c r="AZ941" i="6"/>
  <c r="AY941" i="6"/>
  <c r="AZ940" i="6"/>
  <c r="AY940" i="6"/>
  <c r="AZ939" i="6"/>
  <c r="AY939" i="6"/>
  <c r="AZ938" i="6"/>
  <c r="AY938" i="6"/>
  <c r="AZ937" i="6"/>
  <c r="AY937" i="6"/>
  <c r="AZ936" i="6"/>
  <c r="AY936" i="6"/>
  <c r="AZ935" i="6"/>
  <c r="AY935" i="6"/>
  <c r="AZ934" i="6"/>
  <c r="AY934" i="6"/>
  <c r="AZ933" i="6"/>
  <c r="AY933" i="6"/>
  <c r="AZ932" i="6"/>
  <c r="AY932" i="6"/>
  <c r="AZ931" i="6"/>
  <c r="AY931" i="6"/>
  <c r="AZ930" i="6"/>
  <c r="AY930" i="6"/>
  <c r="AZ929" i="6"/>
  <c r="AY929" i="6"/>
  <c r="AZ928" i="6"/>
  <c r="AY928" i="6"/>
  <c r="AZ927" i="6"/>
  <c r="AY927" i="6"/>
  <c r="AZ926" i="6"/>
  <c r="AY926" i="6"/>
  <c r="AZ925" i="6"/>
  <c r="AY925" i="6"/>
  <c r="AZ924" i="6"/>
  <c r="AY924" i="6"/>
  <c r="AZ923" i="6"/>
  <c r="AY923" i="6"/>
  <c r="AZ922" i="6"/>
  <c r="AY922" i="6"/>
  <c r="AZ921" i="6"/>
  <c r="AY921" i="6"/>
  <c r="AZ920" i="6"/>
  <c r="AY920" i="6"/>
  <c r="AZ919" i="6"/>
  <c r="AY919" i="6"/>
  <c r="AZ918" i="6"/>
  <c r="AY918" i="6"/>
  <c r="AZ917" i="6"/>
  <c r="AY917" i="6"/>
  <c r="AZ916" i="6"/>
  <c r="AY916" i="6"/>
  <c r="AZ915" i="6"/>
  <c r="AY915" i="6"/>
  <c r="AZ914" i="6"/>
  <c r="AY914" i="6"/>
  <c r="AZ913" i="6"/>
  <c r="AY913" i="6"/>
  <c r="AZ912" i="6"/>
  <c r="AY912" i="6"/>
  <c r="AZ911" i="6"/>
  <c r="AY911" i="6"/>
  <c r="AZ910" i="6"/>
  <c r="AY910" i="6"/>
  <c r="AZ909" i="6"/>
  <c r="AY909" i="6"/>
  <c r="AZ908" i="6"/>
  <c r="AY908" i="6"/>
  <c r="AZ907" i="6"/>
  <c r="AY907" i="6"/>
  <c r="AZ906" i="6"/>
  <c r="AY906" i="6"/>
  <c r="AZ905" i="6"/>
  <c r="AY905" i="6"/>
  <c r="AZ904" i="6"/>
  <c r="AY904" i="6"/>
  <c r="AZ903" i="6"/>
  <c r="AY903" i="6"/>
  <c r="AZ902" i="6"/>
  <c r="AY902" i="6"/>
  <c r="AZ901" i="6"/>
  <c r="AY901" i="6"/>
  <c r="AZ900" i="6"/>
  <c r="AY900" i="6"/>
  <c r="AZ899" i="6"/>
  <c r="AY899" i="6"/>
  <c r="AZ898" i="6"/>
  <c r="AY898" i="6"/>
  <c r="AZ897" i="6"/>
  <c r="AY897" i="6"/>
  <c r="AZ896" i="6"/>
  <c r="AY896" i="6"/>
  <c r="AZ895" i="6"/>
  <c r="AY895" i="6"/>
  <c r="AZ894" i="6"/>
  <c r="AY894" i="6"/>
  <c r="AZ893" i="6"/>
  <c r="AY893" i="6"/>
  <c r="AZ892" i="6"/>
  <c r="AY892" i="6"/>
  <c r="AZ891" i="6"/>
  <c r="AY891" i="6"/>
  <c r="AZ890" i="6"/>
  <c r="AY890" i="6"/>
  <c r="AZ889" i="6"/>
  <c r="AY889" i="6"/>
  <c r="AZ888" i="6"/>
  <c r="AY888" i="6"/>
  <c r="AZ887" i="6"/>
  <c r="AY887" i="6"/>
  <c r="AZ886" i="6"/>
  <c r="AY886" i="6"/>
  <c r="AZ885" i="6"/>
  <c r="AY885" i="6"/>
  <c r="AZ884" i="6"/>
  <c r="AY884" i="6"/>
  <c r="AZ883" i="6"/>
  <c r="AY883" i="6"/>
  <c r="AZ882" i="6"/>
  <c r="AY882" i="6"/>
  <c r="AZ881" i="6"/>
  <c r="AY881" i="6"/>
  <c r="AZ880" i="6"/>
  <c r="AY880" i="6"/>
  <c r="AZ879" i="6"/>
  <c r="AY879" i="6"/>
  <c r="AZ878" i="6"/>
  <c r="AY878" i="6"/>
  <c r="AZ877" i="6"/>
  <c r="AY877" i="6"/>
  <c r="AZ876" i="6"/>
  <c r="AY876" i="6"/>
  <c r="AZ875" i="6"/>
  <c r="AY875" i="6"/>
  <c r="AZ874" i="6"/>
  <c r="AY874" i="6"/>
  <c r="AZ873" i="6"/>
  <c r="AY873" i="6"/>
  <c r="AZ872" i="6"/>
  <c r="AY872" i="6"/>
  <c r="AZ871" i="6"/>
  <c r="AY871" i="6"/>
  <c r="AZ870" i="6"/>
  <c r="AY870" i="6"/>
  <c r="AZ869" i="6"/>
  <c r="AY869" i="6"/>
  <c r="AZ868" i="6"/>
  <c r="AY868" i="6"/>
  <c r="AZ867" i="6"/>
  <c r="AY867" i="6"/>
  <c r="AZ866" i="6"/>
  <c r="AY866" i="6"/>
  <c r="AZ865" i="6"/>
  <c r="AY865" i="6"/>
  <c r="AZ864" i="6"/>
  <c r="AY864" i="6"/>
  <c r="AZ863" i="6"/>
  <c r="AY863" i="6"/>
  <c r="AZ862" i="6"/>
  <c r="AY862" i="6"/>
  <c r="AZ861" i="6"/>
  <c r="AY861" i="6"/>
  <c r="AZ860" i="6"/>
  <c r="AY860" i="6"/>
  <c r="AZ859" i="6"/>
  <c r="AY859" i="6"/>
  <c r="AZ858" i="6"/>
  <c r="AY858" i="6"/>
  <c r="AZ857" i="6"/>
  <c r="AY857" i="6"/>
  <c r="AZ856" i="6"/>
  <c r="AY856" i="6"/>
  <c r="AZ855" i="6"/>
  <c r="AY855" i="6"/>
  <c r="AZ854" i="6"/>
  <c r="AY854" i="6"/>
  <c r="AZ853" i="6"/>
  <c r="AY853" i="6"/>
  <c r="AZ852" i="6"/>
  <c r="AY852" i="6"/>
  <c r="AZ851" i="6"/>
  <c r="AY851" i="6"/>
  <c r="AZ850" i="6"/>
  <c r="AY850" i="6"/>
  <c r="AZ849" i="6"/>
  <c r="AY849" i="6"/>
  <c r="AZ848" i="6"/>
  <c r="AY848" i="6"/>
  <c r="AZ847" i="6"/>
  <c r="AY847" i="6"/>
  <c r="AZ846" i="6"/>
  <c r="AY846" i="6"/>
  <c r="AZ845" i="6"/>
  <c r="AY845" i="6"/>
  <c r="AZ844" i="6"/>
  <c r="AY844" i="6"/>
  <c r="AZ843" i="6"/>
  <c r="AY843" i="6"/>
  <c r="AZ842" i="6"/>
  <c r="AY842" i="6"/>
  <c r="AZ841" i="6"/>
  <c r="AY841" i="6"/>
  <c r="AZ840" i="6"/>
  <c r="AY840" i="6"/>
  <c r="AZ839" i="6"/>
  <c r="AY839" i="6"/>
  <c r="AZ838" i="6"/>
  <c r="AY838" i="6"/>
  <c r="AZ837" i="6"/>
  <c r="AY837" i="6"/>
  <c r="AZ836" i="6"/>
  <c r="AY836" i="6"/>
  <c r="AZ835" i="6"/>
  <c r="AY835" i="6"/>
  <c r="AZ834" i="6"/>
  <c r="AY834" i="6"/>
  <c r="AZ833" i="6"/>
  <c r="AY833" i="6"/>
  <c r="AZ832" i="6"/>
  <c r="AY832" i="6"/>
  <c r="AZ831" i="6"/>
  <c r="AY831" i="6"/>
  <c r="AZ830" i="6"/>
  <c r="AY830" i="6"/>
  <c r="AZ829" i="6"/>
  <c r="AY829" i="6"/>
  <c r="AZ828" i="6"/>
  <c r="AY828" i="6"/>
  <c r="AZ827" i="6"/>
  <c r="AY827" i="6"/>
  <c r="AZ826" i="6"/>
  <c r="AY826" i="6"/>
  <c r="AZ825" i="6"/>
  <c r="AY825" i="6"/>
  <c r="AZ824" i="6"/>
  <c r="AY824" i="6"/>
  <c r="AZ823" i="6"/>
  <c r="AY823" i="6"/>
  <c r="AZ822" i="6"/>
  <c r="AY822" i="6"/>
  <c r="AZ821" i="6"/>
  <c r="AY821" i="6"/>
  <c r="AZ820" i="6"/>
  <c r="AY820" i="6"/>
  <c r="AZ819" i="6"/>
  <c r="AY819" i="6"/>
  <c r="AZ818" i="6"/>
  <c r="AY818" i="6"/>
  <c r="AZ817" i="6"/>
  <c r="AY817" i="6"/>
  <c r="AZ816" i="6"/>
  <c r="AY816" i="6"/>
  <c r="AZ815" i="6"/>
  <c r="AY815" i="6"/>
  <c r="AZ814" i="6"/>
  <c r="AY814" i="6"/>
  <c r="AZ813" i="6"/>
  <c r="AY813" i="6"/>
  <c r="AZ812" i="6"/>
  <c r="AY812" i="6"/>
  <c r="AZ811" i="6"/>
  <c r="AY811" i="6"/>
  <c r="AZ810" i="6"/>
  <c r="AY810" i="6"/>
  <c r="AZ809" i="6"/>
  <c r="AY809" i="6"/>
  <c r="AZ808" i="6"/>
  <c r="AY808" i="6"/>
  <c r="AZ807" i="6"/>
  <c r="AY807" i="6"/>
  <c r="AZ806" i="6"/>
  <c r="AY806" i="6"/>
  <c r="AZ805" i="6"/>
  <c r="AY805" i="6"/>
  <c r="AZ804" i="6"/>
  <c r="AY804" i="6"/>
  <c r="AZ803" i="6"/>
  <c r="AY803" i="6"/>
  <c r="AZ802" i="6"/>
  <c r="AY802" i="6"/>
  <c r="AZ801" i="6"/>
  <c r="AY801" i="6"/>
  <c r="AZ800" i="6"/>
  <c r="AY800" i="6"/>
  <c r="AZ799" i="6"/>
  <c r="AY799" i="6"/>
  <c r="AZ798" i="6"/>
  <c r="AY798" i="6"/>
  <c r="AZ797" i="6"/>
  <c r="AY797" i="6"/>
  <c r="AZ796" i="6"/>
  <c r="AY796" i="6"/>
  <c r="AZ795" i="6"/>
  <c r="AY795" i="6"/>
  <c r="AZ794" i="6"/>
  <c r="AY794" i="6"/>
  <c r="AZ793" i="6"/>
  <c r="AY793" i="6"/>
  <c r="AZ792" i="6"/>
  <c r="AY792" i="6"/>
  <c r="AZ791" i="6"/>
  <c r="AY791" i="6"/>
  <c r="AZ790" i="6"/>
  <c r="AY790" i="6"/>
  <c r="AZ789" i="6"/>
  <c r="AY789" i="6"/>
  <c r="AZ788" i="6"/>
  <c r="AY788" i="6"/>
  <c r="AZ787" i="6"/>
  <c r="AY787" i="6"/>
  <c r="AZ786" i="6"/>
  <c r="AY786" i="6"/>
  <c r="AZ785" i="6"/>
  <c r="AY785" i="6"/>
  <c r="AZ784" i="6"/>
  <c r="AY784" i="6"/>
  <c r="AZ783" i="6"/>
  <c r="AY783" i="6"/>
  <c r="AZ782" i="6"/>
  <c r="AY782" i="6"/>
  <c r="AZ781" i="6"/>
  <c r="AY781" i="6"/>
  <c r="AZ780" i="6"/>
  <c r="AY780" i="6"/>
  <c r="AZ779" i="6"/>
  <c r="AY779" i="6"/>
  <c r="AZ778" i="6"/>
  <c r="AY778" i="6"/>
  <c r="AZ777" i="6"/>
  <c r="AY777" i="6"/>
  <c r="AZ776" i="6"/>
  <c r="AY776" i="6"/>
  <c r="AZ775" i="6"/>
  <c r="AY775" i="6"/>
  <c r="AZ774" i="6"/>
  <c r="AY774" i="6"/>
  <c r="AZ773" i="6"/>
  <c r="AY773" i="6"/>
  <c r="AZ772" i="6"/>
  <c r="AY772" i="6"/>
  <c r="AZ771" i="6"/>
  <c r="AY771" i="6"/>
  <c r="AZ770" i="6"/>
  <c r="AY770" i="6"/>
  <c r="AZ769" i="6"/>
  <c r="AY769" i="6"/>
  <c r="AZ768" i="6"/>
  <c r="AY768" i="6"/>
  <c r="AZ767" i="6"/>
  <c r="AY767" i="6"/>
  <c r="AZ766" i="6"/>
  <c r="AY766" i="6"/>
  <c r="AZ765" i="6"/>
  <c r="AY765" i="6"/>
  <c r="AZ764" i="6"/>
  <c r="AY764" i="6"/>
  <c r="AZ763" i="6"/>
  <c r="AY763" i="6"/>
  <c r="AZ762" i="6"/>
  <c r="AY762" i="6"/>
  <c r="AZ761" i="6"/>
  <c r="AY761" i="6"/>
  <c r="AZ760" i="6"/>
  <c r="AY760" i="6"/>
  <c r="AZ759" i="6"/>
  <c r="AY759" i="6"/>
  <c r="AZ758" i="6"/>
  <c r="AY758" i="6"/>
  <c r="AZ757" i="6"/>
  <c r="AY757" i="6"/>
  <c r="AZ756" i="6"/>
  <c r="AY756" i="6"/>
  <c r="AZ755" i="6"/>
  <c r="AY755" i="6"/>
  <c r="AZ754" i="6"/>
  <c r="AY754" i="6"/>
  <c r="AZ753" i="6"/>
  <c r="AY753" i="6"/>
  <c r="AZ752" i="6"/>
  <c r="AY752" i="6"/>
  <c r="AZ751" i="6"/>
  <c r="AY751" i="6"/>
  <c r="AZ750" i="6"/>
  <c r="AY750" i="6"/>
  <c r="AZ749" i="6"/>
  <c r="AY749" i="6"/>
  <c r="AZ748" i="6"/>
  <c r="AY748" i="6"/>
  <c r="AZ747" i="6"/>
  <c r="AY747" i="6"/>
  <c r="AZ746" i="6"/>
  <c r="AY746" i="6"/>
  <c r="AZ745" i="6"/>
  <c r="AY745" i="6"/>
  <c r="AZ744" i="6"/>
  <c r="AY744" i="6"/>
  <c r="AZ743" i="6"/>
  <c r="AY743" i="6"/>
  <c r="AZ742" i="6"/>
  <c r="AY742" i="6"/>
  <c r="AZ741" i="6"/>
  <c r="AY741" i="6"/>
  <c r="AZ740" i="6"/>
  <c r="AY740" i="6"/>
  <c r="AZ739" i="6"/>
  <c r="AY739" i="6"/>
  <c r="AZ738" i="6"/>
  <c r="AY738" i="6"/>
  <c r="AZ737" i="6"/>
  <c r="AY737" i="6"/>
  <c r="AZ736" i="6"/>
  <c r="AY736" i="6"/>
  <c r="AZ735" i="6"/>
  <c r="AY735" i="6"/>
  <c r="AZ734" i="6"/>
  <c r="AY734" i="6"/>
  <c r="AZ733" i="6"/>
  <c r="AY733" i="6"/>
  <c r="AZ732" i="6"/>
  <c r="AY732" i="6"/>
  <c r="AZ731" i="6"/>
  <c r="AY731" i="6"/>
  <c r="AZ730" i="6"/>
  <c r="AY730" i="6"/>
  <c r="AZ729" i="6"/>
  <c r="AY729" i="6"/>
  <c r="AZ728" i="6"/>
  <c r="AY728" i="6"/>
  <c r="AZ727" i="6"/>
  <c r="AY727" i="6"/>
  <c r="AZ726" i="6"/>
  <c r="AY726" i="6"/>
  <c r="AZ725" i="6"/>
  <c r="AY725" i="6"/>
  <c r="AZ724" i="6"/>
  <c r="AY724" i="6"/>
  <c r="AZ723" i="6"/>
  <c r="AY723" i="6"/>
  <c r="AZ722" i="6"/>
  <c r="AY722" i="6"/>
  <c r="AZ721" i="6"/>
  <c r="AY721" i="6"/>
  <c r="AZ720" i="6"/>
  <c r="AY720" i="6"/>
  <c r="AZ719" i="6"/>
  <c r="AY719" i="6"/>
  <c r="AZ718" i="6"/>
  <c r="AY718" i="6"/>
  <c r="AZ717" i="6"/>
  <c r="AY717" i="6"/>
  <c r="AZ716" i="6"/>
  <c r="AY716" i="6"/>
  <c r="AZ715" i="6"/>
  <c r="AY715" i="6"/>
  <c r="AZ714" i="6"/>
  <c r="AY714" i="6"/>
  <c r="AZ713" i="6"/>
  <c r="AY713" i="6"/>
  <c r="AZ712" i="6"/>
  <c r="AY712" i="6"/>
  <c r="AZ711" i="6"/>
  <c r="AY711" i="6"/>
  <c r="AZ710" i="6"/>
  <c r="AY710" i="6"/>
  <c r="AZ709" i="6"/>
  <c r="AY709" i="6"/>
  <c r="AZ708" i="6"/>
  <c r="AY708" i="6"/>
  <c r="AZ707" i="6"/>
  <c r="AY707" i="6"/>
  <c r="AZ706" i="6"/>
  <c r="AY706" i="6"/>
  <c r="AZ705" i="6"/>
  <c r="AY705" i="6"/>
  <c r="AZ704" i="6"/>
  <c r="AY704" i="6"/>
  <c r="AZ703" i="6"/>
  <c r="AY703" i="6"/>
  <c r="AZ702" i="6"/>
  <c r="AY702" i="6"/>
  <c r="AZ701" i="6"/>
  <c r="AY701" i="6"/>
  <c r="AZ700" i="6"/>
  <c r="AY700" i="6"/>
  <c r="AZ699" i="6"/>
  <c r="AY699" i="6"/>
  <c r="AZ698" i="6"/>
  <c r="AY698" i="6"/>
  <c r="AZ697" i="6"/>
  <c r="AY697" i="6"/>
  <c r="AZ696" i="6"/>
  <c r="AY696" i="6"/>
  <c r="AZ695" i="6"/>
  <c r="AY695" i="6"/>
  <c r="AZ694" i="6"/>
  <c r="AY694" i="6"/>
  <c r="AZ693" i="6"/>
  <c r="AY693" i="6"/>
  <c r="AZ692" i="6"/>
  <c r="AY692" i="6"/>
  <c r="AZ691" i="6"/>
  <c r="AY691" i="6"/>
  <c r="AZ690" i="6"/>
  <c r="AY690" i="6"/>
  <c r="AZ689" i="6"/>
  <c r="AY689" i="6"/>
  <c r="AZ688" i="6"/>
  <c r="AY688" i="6"/>
  <c r="AZ687" i="6"/>
  <c r="AY687" i="6"/>
  <c r="AZ686" i="6"/>
  <c r="AY686" i="6"/>
  <c r="AZ685" i="6"/>
  <c r="AY685" i="6"/>
  <c r="AZ684" i="6"/>
  <c r="AY684" i="6"/>
  <c r="AZ683" i="6"/>
  <c r="AY683" i="6"/>
  <c r="AZ682" i="6"/>
  <c r="AY682" i="6"/>
  <c r="AZ681" i="6"/>
  <c r="AY681" i="6"/>
  <c r="AZ680" i="6"/>
  <c r="AY680" i="6"/>
  <c r="AZ679" i="6"/>
  <c r="AY679" i="6"/>
  <c r="AZ678" i="6"/>
  <c r="AY678" i="6"/>
  <c r="AZ677" i="6"/>
  <c r="AY677" i="6"/>
  <c r="AZ676" i="6"/>
  <c r="AY676" i="6"/>
  <c r="AZ675" i="6"/>
  <c r="AY675" i="6"/>
  <c r="AZ674" i="6"/>
  <c r="AY674" i="6"/>
  <c r="AZ673" i="6"/>
  <c r="AY673" i="6"/>
  <c r="AZ672" i="6"/>
  <c r="AY672" i="6"/>
  <c r="AZ671" i="6"/>
  <c r="AY671" i="6"/>
  <c r="AZ670" i="6"/>
  <c r="AY670" i="6"/>
  <c r="AZ669" i="6"/>
  <c r="AY669" i="6"/>
  <c r="AZ668" i="6"/>
  <c r="AY668" i="6"/>
  <c r="AZ667" i="6"/>
  <c r="AY667" i="6"/>
  <c r="AZ666" i="6"/>
  <c r="AY666" i="6"/>
  <c r="AZ665" i="6"/>
  <c r="AY665" i="6"/>
  <c r="AZ664" i="6"/>
  <c r="AY664" i="6"/>
  <c r="AZ663" i="6"/>
  <c r="AY663" i="6"/>
  <c r="AZ662" i="6"/>
  <c r="AY662" i="6"/>
  <c r="AZ661" i="6"/>
  <c r="AY661" i="6"/>
  <c r="AZ660" i="6"/>
  <c r="AY660" i="6"/>
  <c r="AZ659" i="6"/>
  <c r="AY659" i="6"/>
  <c r="AZ658" i="6"/>
  <c r="AY658" i="6"/>
  <c r="AZ657" i="6"/>
  <c r="AY657" i="6"/>
  <c r="AZ656" i="6"/>
  <c r="AY656" i="6"/>
  <c r="AZ655" i="6"/>
  <c r="AY655" i="6"/>
  <c r="AZ654" i="6"/>
  <c r="AY654" i="6"/>
  <c r="AZ653" i="6"/>
  <c r="AY653" i="6"/>
  <c r="AZ652" i="6"/>
  <c r="AY652" i="6"/>
  <c r="AZ651" i="6"/>
  <c r="AY651" i="6"/>
  <c r="AZ650" i="6"/>
  <c r="AY650" i="6"/>
  <c r="AZ649" i="6"/>
  <c r="AY649" i="6"/>
  <c r="AZ648" i="6"/>
  <c r="AY648" i="6"/>
  <c r="AZ647" i="6"/>
  <c r="AY647" i="6"/>
  <c r="AZ646" i="6"/>
  <c r="AY646" i="6"/>
  <c r="AZ645" i="6"/>
  <c r="AY645" i="6"/>
  <c r="AZ644" i="6"/>
  <c r="AY644" i="6"/>
  <c r="AZ643" i="6"/>
  <c r="AY643" i="6"/>
  <c r="AZ642" i="6"/>
  <c r="AY642" i="6"/>
  <c r="AZ641" i="6"/>
  <c r="AY641" i="6"/>
  <c r="AZ640" i="6"/>
  <c r="AY640" i="6"/>
  <c r="AZ639" i="6"/>
  <c r="AY639" i="6"/>
  <c r="AZ638" i="6"/>
  <c r="AY638" i="6"/>
  <c r="AZ637" i="6"/>
  <c r="AY637" i="6"/>
  <c r="AZ636" i="6"/>
  <c r="AY636" i="6"/>
  <c r="AZ635" i="6"/>
  <c r="AY635" i="6"/>
  <c r="AZ634" i="6"/>
  <c r="AY634" i="6"/>
  <c r="AZ633" i="6"/>
  <c r="AY633" i="6"/>
  <c r="AZ632" i="6"/>
  <c r="AY632" i="6"/>
  <c r="AZ631" i="6"/>
  <c r="AY631" i="6"/>
  <c r="AZ630" i="6"/>
  <c r="AY630" i="6"/>
  <c r="AZ629" i="6"/>
  <c r="AY629" i="6"/>
  <c r="AZ628" i="6"/>
  <c r="AY628" i="6"/>
  <c r="AZ627" i="6"/>
  <c r="AY627" i="6"/>
  <c r="AZ626" i="6"/>
  <c r="AY626" i="6"/>
  <c r="AZ625" i="6"/>
  <c r="AY625" i="6"/>
  <c r="AZ624" i="6"/>
  <c r="AY624" i="6"/>
  <c r="AZ623" i="6"/>
  <c r="AY623" i="6"/>
  <c r="AZ622" i="6"/>
  <c r="AY622" i="6"/>
  <c r="AZ621" i="6"/>
  <c r="AY621" i="6"/>
  <c r="AZ620" i="6"/>
  <c r="AY620" i="6"/>
  <c r="AZ619" i="6"/>
  <c r="AY619" i="6"/>
  <c r="AZ618" i="6"/>
  <c r="AY618" i="6"/>
  <c r="AZ617" i="6"/>
  <c r="AY617" i="6"/>
  <c r="AZ616" i="6"/>
  <c r="AY616" i="6"/>
  <c r="AZ615" i="6"/>
  <c r="AY615" i="6"/>
  <c r="AZ614" i="6"/>
  <c r="AY614" i="6"/>
  <c r="AZ613" i="6"/>
  <c r="AY613" i="6"/>
  <c r="AZ612" i="6"/>
  <c r="AY612" i="6"/>
  <c r="AZ611" i="6"/>
  <c r="AY611" i="6"/>
  <c r="AZ610" i="6"/>
  <c r="AY610" i="6"/>
  <c r="AZ609" i="6"/>
  <c r="AY609" i="6"/>
  <c r="AZ608" i="6"/>
  <c r="AY608" i="6"/>
  <c r="AZ607" i="6"/>
  <c r="AY607" i="6"/>
  <c r="AZ606" i="6"/>
  <c r="AY606" i="6"/>
  <c r="AZ605" i="6"/>
  <c r="AY605" i="6"/>
  <c r="AZ604" i="6"/>
  <c r="AY604" i="6"/>
  <c r="AZ603" i="6"/>
  <c r="AY603" i="6"/>
  <c r="AZ602" i="6"/>
  <c r="AY602" i="6"/>
  <c r="AZ601" i="6"/>
  <c r="AY601" i="6"/>
  <c r="AZ600" i="6"/>
  <c r="AY600" i="6"/>
  <c r="AZ599" i="6"/>
  <c r="AY599" i="6"/>
  <c r="AZ598" i="6"/>
  <c r="AY598" i="6"/>
  <c r="AZ597" i="6"/>
  <c r="AY597" i="6"/>
  <c r="AZ596" i="6"/>
  <c r="AY596" i="6"/>
  <c r="AZ595" i="6"/>
  <c r="AY595" i="6"/>
  <c r="AZ594" i="6"/>
  <c r="AY594" i="6"/>
  <c r="AZ593" i="6"/>
  <c r="AY593" i="6"/>
  <c r="AZ592" i="6"/>
  <c r="AY592" i="6"/>
  <c r="AZ591" i="6"/>
  <c r="AY591" i="6"/>
  <c r="AZ590" i="6"/>
  <c r="AY590" i="6"/>
  <c r="AZ589" i="6"/>
  <c r="AY589" i="6"/>
  <c r="AZ588" i="6"/>
  <c r="AY588" i="6"/>
  <c r="AZ587" i="6"/>
  <c r="AY587" i="6"/>
  <c r="AZ586" i="6"/>
  <c r="AY586" i="6"/>
  <c r="AZ585" i="6"/>
  <c r="AY585" i="6"/>
  <c r="AZ584" i="6"/>
  <c r="AY584" i="6"/>
  <c r="AZ583" i="6"/>
  <c r="AY583" i="6"/>
  <c r="AZ582" i="6"/>
  <c r="AY582" i="6"/>
  <c r="AZ581" i="6"/>
  <c r="AY581" i="6"/>
  <c r="AZ580" i="6"/>
  <c r="AY580" i="6"/>
  <c r="AZ579" i="6"/>
  <c r="AY579" i="6"/>
  <c r="AZ578" i="6"/>
  <c r="AY578" i="6"/>
  <c r="AZ577" i="6"/>
  <c r="AY577" i="6"/>
  <c r="AZ576" i="6"/>
  <c r="AY576" i="6"/>
  <c r="AZ575" i="6"/>
  <c r="AY575" i="6"/>
  <c r="AZ574" i="6"/>
  <c r="AY574" i="6"/>
  <c r="AZ573" i="6"/>
  <c r="AY573" i="6"/>
  <c r="AZ572" i="6"/>
  <c r="AY572" i="6"/>
  <c r="AZ571" i="6"/>
  <c r="AY571" i="6"/>
  <c r="AZ570" i="6"/>
  <c r="AY570" i="6"/>
  <c r="AZ569" i="6"/>
  <c r="AY569" i="6"/>
  <c r="AZ568" i="6"/>
  <c r="AY568" i="6"/>
  <c r="AZ567" i="6"/>
  <c r="AY567" i="6"/>
  <c r="AZ566" i="6"/>
  <c r="AY566" i="6"/>
  <c r="AZ565" i="6"/>
  <c r="AY565" i="6"/>
  <c r="AZ564" i="6"/>
  <c r="AY564" i="6"/>
  <c r="AZ563" i="6"/>
  <c r="AY563" i="6"/>
  <c r="AZ562" i="6"/>
  <c r="AY562" i="6"/>
  <c r="AZ561" i="6"/>
  <c r="AY561" i="6"/>
  <c r="AZ560" i="6"/>
  <c r="AY560" i="6"/>
  <c r="AZ559" i="6"/>
  <c r="AY559" i="6"/>
  <c r="AZ558" i="6"/>
  <c r="AY558" i="6"/>
  <c r="AZ557" i="6"/>
  <c r="AY557" i="6"/>
  <c r="AZ556" i="6"/>
  <c r="AY556" i="6"/>
  <c r="AZ555" i="6"/>
  <c r="AY555" i="6"/>
  <c r="AZ554" i="6"/>
  <c r="AY554" i="6"/>
  <c r="AZ553" i="6"/>
  <c r="AY553" i="6"/>
  <c r="AZ552" i="6"/>
  <c r="AY552" i="6"/>
  <c r="AZ551" i="6"/>
  <c r="AY551" i="6"/>
  <c r="AZ550" i="6"/>
  <c r="AY550" i="6"/>
  <c r="AZ549" i="6"/>
  <c r="AY549" i="6"/>
  <c r="AZ548" i="6"/>
  <c r="AY548" i="6"/>
  <c r="AZ547" i="6"/>
  <c r="AY547" i="6"/>
  <c r="AZ546" i="6"/>
  <c r="AY546" i="6"/>
  <c r="AZ545" i="6"/>
  <c r="AY545" i="6"/>
  <c r="AZ544" i="6"/>
  <c r="AY544" i="6"/>
  <c r="AZ543" i="6"/>
  <c r="AY543" i="6"/>
  <c r="AZ542" i="6"/>
  <c r="AY542" i="6"/>
  <c r="AZ541" i="6"/>
  <c r="AY541" i="6"/>
  <c r="AZ540" i="6"/>
  <c r="AY540" i="6"/>
  <c r="AZ539" i="6"/>
  <c r="AY539" i="6"/>
  <c r="AZ538" i="6"/>
  <c r="AY538" i="6"/>
  <c r="AZ537" i="6"/>
  <c r="AY537" i="6"/>
  <c r="AZ536" i="6"/>
  <c r="AY536" i="6"/>
  <c r="AZ535" i="6"/>
  <c r="AY535" i="6"/>
  <c r="AZ534" i="6"/>
  <c r="AY534" i="6"/>
  <c r="AZ533" i="6"/>
  <c r="AY533" i="6"/>
  <c r="AZ532" i="6"/>
  <c r="AY532" i="6"/>
  <c r="AZ531" i="6"/>
  <c r="AY531" i="6"/>
  <c r="AZ530" i="6"/>
  <c r="AY530" i="6"/>
  <c r="AZ529" i="6"/>
  <c r="AY529" i="6"/>
  <c r="AZ528" i="6"/>
  <c r="AY528" i="6"/>
  <c r="AZ527" i="6"/>
  <c r="AY527" i="6"/>
  <c r="AZ526" i="6"/>
  <c r="AY526" i="6"/>
  <c r="AZ525" i="6"/>
  <c r="AY525" i="6"/>
  <c r="AZ524" i="6"/>
  <c r="AY524" i="6"/>
  <c r="AZ523" i="6"/>
  <c r="AY523" i="6"/>
  <c r="AZ522" i="6"/>
  <c r="AY522" i="6"/>
  <c r="AZ521" i="6"/>
  <c r="AY521" i="6"/>
  <c r="AZ520" i="6"/>
  <c r="AY520" i="6"/>
  <c r="AZ519" i="6"/>
  <c r="AY519" i="6"/>
  <c r="AZ518" i="6"/>
  <c r="AY518" i="6"/>
  <c r="AZ517" i="6"/>
  <c r="AY517" i="6"/>
  <c r="AZ516" i="6"/>
  <c r="AY516" i="6"/>
  <c r="AZ515" i="6"/>
  <c r="AY515" i="6"/>
  <c r="AZ514" i="6"/>
  <c r="AY514" i="6"/>
  <c r="AZ513" i="6"/>
  <c r="AY513" i="6"/>
  <c r="AZ512" i="6"/>
  <c r="AY512" i="6"/>
  <c r="AZ511" i="6"/>
  <c r="AY511" i="6"/>
  <c r="AZ510" i="6"/>
  <c r="AY510" i="6"/>
  <c r="AZ509" i="6"/>
  <c r="AY509" i="6"/>
  <c r="AZ508" i="6"/>
  <c r="AY508" i="6"/>
  <c r="AZ507" i="6"/>
  <c r="AY507" i="6"/>
  <c r="AZ506" i="6"/>
  <c r="AY506" i="6"/>
  <c r="AZ505" i="6"/>
  <c r="AY505" i="6"/>
  <c r="AZ504" i="6"/>
  <c r="AY504" i="6"/>
  <c r="AZ503" i="6"/>
  <c r="AY503" i="6"/>
  <c r="AZ502" i="6"/>
  <c r="AY502" i="6"/>
  <c r="AZ501" i="6"/>
  <c r="AY501" i="6"/>
  <c r="AZ500" i="6"/>
  <c r="AY500" i="6"/>
  <c r="AZ499" i="6"/>
  <c r="AY499" i="6"/>
  <c r="AZ498" i="6"/>
  <c r="AY498" i="6"/>
  <c r="AZ497" i="6"/>
  <c r="AY497" i="6"/>
  <c r="AZ496" i="6"/>
  <c r="AY496" i="6"/>
  <c r="AZ495" i="6"/>
  <c r="AY495" i="6"/>
  <c r="AZ494" i="6"/>
  <c r="AY494" i="6"/>
  <c r="AZ493" i="6"/>
  <c r="AY493" i="6"/>
  <c r="AZ492" i="6"/>
  <c r="AY492" i="6"/>
  <c r="AZ491" i="6"/>
  <c r="AY491" i="6"/>
  <c r="AZ490" i="6"/>
  <c r="AY490" i="6"/>
  <c r="AZ489" i="6"/>
  <c r="AY489" i="6"/>
  <c r="AZ488" i="6"/>
  <c r="AY488" i="6"/>
  <c r="AZ487" i="6"/>
  <c r="AY487" i="6"/>
  <c r="AZ486" i="6"/>
  <c r="AY486" i="6"/>
  <c r="AZ485" i="6"/>
  <c r="AY485" i="6"/>
  <c r="AZ484" i="6"/>
  <c r="AY484" i="6"/>
  <c r="AZ483" i="6"/>
  <c r="AY483" i="6"/>
  <c r="AZ482" i="6"/>
  <c r="AY482" i="6"/>
  <c r="AZ481" i="6"/>
  <c r="AY481" i="6"/>
  <c r="AZ480" i="6"/>
  <c r="AY480" i="6"/>
  <c r="AZ479" i="6"/>
  <c r="AY479" i="6"/>
  <c r="AZ478" i="6"/>
  <c r="AY478" i="6"/>
  <c r="AZ477" i="6"/>
  <c r="AY477" i="6"/>
  <c r="AZ476" i="6"/>
  <c r="AY476" i="6"/>
  <c r="AZ475" i="6"/>
  <c r="AY475" i="6"/>
  <c r="AZ474" i="6"/>
  <c r="AY474" i="6"/>
  <c r="AZ473" i="6"/>
  <c r="AY473" i="6"/>
  <c r="AZ472" i="6"/>
  <c r="AY472" i="6"/>
  <c r="AZ471" i="6"/>
  <c r="AY471" i="6"/>
  <c r="AZ470" i="6"/>
  <c r="AY470" i="6"/>
  <c r="AZ469" i="6"/>
  <c r="AY469" i="6"/>
  <c r="AZ468" i="6"/>
  <c r="AY468" i="6"/>
  <c r="AZ467" i="6"/>
  <c r="AY467" i="6"/>
  <c r="AZ466" i="6"/>
  <c r="AY466" i="6"/>
  <c r="AZ465" i="6"/>
  <c r="AY465" i="6"/>
  <c r="AZ464" i="6"/>
  <c r="AY464" i="6"/>
  <c r="AZ463" i="6"/>
  <c r="AY463" i="6"/>
  <c r="AZ462" i="6"/>
  <c r="AY462" i="6"/>
  <c r="AZ461" i="6"/>
  <c r="AY461" i="6"/>
  <c r="AZ460" i="6"/>
  <c r="AY460" i="6"/>
  <c r="AZ459" i="6"/>
  <c r="AY459" i="6"/>
  <c r="AZ458" i="6"/>
  <c r="AY458" i="6"/>
  <c r="AZ457" i="6"/>
  <c r="AY457" i="6"/>
  <c r="AZ456" i="6"/>
  <c r="AY456" i="6"/>
  <c r="AZ455" i="6"/>
  <c r="AY455" i="6"/>
  <c r="AZ454" i="6"/>
  <c r="AY454" i="6"/>
  <c r="AZ453" i="6"/>
  <c r="AY453" i="6"/>
  <c r="AZ452" i="6"/>
  <c r="AY452" i="6"/>
  <c r="AZ451" i="6"/>
  <c r="AY451" i="6"/>
  <c r="AZ450" i="6"/>
  <c r="AY450" i="6"/>
  <c r="AZ449" i="6"/>
  <c r="AY449" i="6"/>
  <c r="AZ448" i="6"/>
  <c r="AY448" i="6"/>
  <c r="AZ447" i="6"/>
  <c r="AY447" i="6"/>
  <c r="AZ446" i="6"/>
  <c r="AY446" i="6"/>
  <c r="AZ445" i="6"/>
  <c r="AY445" i="6"/>
  <c r="AZ444" i="6"/>
  <c r="AY444" i="6"/>
  <c r="AZ443" i="6"/>
  <c r="AY443" i="6"/>
  <c r="AZ442" i="6"/>
  <c r="AY442" i="6"/>
  <c r="AZ441" i="6"/>
  <c r="AY441" i="6"/>
  <c r="AZ440" i="6"/>
  <c r="AY440" i="6"/>
  <c r="AZ439" i="6"/>
  <c r="AY439" i="6"/>
  <c r="AZ438" i="6"/>
  <c r="AY438" i="6"/>
  <c r="AZ437" i="6"/>
  <c r="AY437" i="6"/>
  <c r="AZ436" i="6"/>
  <c r="AY436" i="6"/>
  <c r="AZ435" i="6"/>
  <c r="AY435" i="6"/>
  <c r="AZ434" i="6"/>
  <c r="AY434" i="6"/>
  <c r="AZ433" i="6"/>
  <c r="AY433" i="6"/>
  <c r="AZ432" i="6"/>
  <c r="AY432" i="6"/>
  <c r="AZ431" i="6"/>
  <c r="AY431" i="6"/>
  <c r="AZ430" i="6"/>
  <c r="AY430" i="6"/>
  <c r="AZ429" i="6"/>
  <c r="AY429" i="6"/>
  <c r="AZ428" i="6"/>
  <c r="AY428" i="6"/>
  <c r="AZ427" i="6"/>
  <c r="AY427" i="6"/>
  <c r="AZ426" i="6"/>
  <c r="AY426" i="6"/>
  <c r="AZ425" i="6"/>
  <c r="AY425" i="6"/>
  <c r="AZ424" i="6"/>
  <c r="AY424" i="6"/>
  <c r="AZ423" i="6"/>
  <c r="AY423" i="6"/>
  <c r="AZ422" i="6"/>
  <c r="AY422" i="6"/>
  <c r="AZ421" i="6"/>
  <c r="AY421" i="6"/>
  <c r="AZ420" i="6"/>
  <c r="AY420" i="6"/>
  <c r="AZ419" i="6"/>
  <c r="AY419" i="6"/>
  <c r="AZ418" i="6"/>
  <c r="AY418" i="6"/>
  <c r="AZ417" i="6"/>
  <c r="AY417" i="6"/>
  <c r="AZ416" i="6"/>
  <c r="AY416" i="6"/>
  <c r="AZ415" i="6"/>
  <c r="AY415" i="6"/>
  <c r="AZ414" i="6"/>
  <c r="AY414" i="6"/>
  <c r="AZ413" i="6"/>
  <c r="AY413" i="6"/>
  <c r="AZ412" i="6"/>
  <c r="AY412" i="6"/>
  <c r="AZ411" i="6"/>
  <c r="AY411" i="6"/>
  <c r="AZ410" i="6"/>
  <c r="AY410" i="6"/>
  <c r="AZ409" i="6"/>
  <c r="AY409" i="6"/>
  <c r="AZ408" i="6"/>
  <c r="AY408" i="6"/>
  <c r="AZ407" i="6"/>
  <c r="AY407" i="6"/>
  <c r="AZ406" i="6"/>
  <c r="AY406" i="6"/>
  <c r="AZ405" i="6"/>
  <c r="AY405" i="6"/>
  <c r="AZ404" i="6"/>
  <c r="AY404" i="6"/>
  <c r="AZ403" i="6"/>
  <c r="AY403" i="6"/>
  <c r="AZ402" i="6"/>
  <c r="AY402" i="6"/>
  <c r="AZ401" i="6"/>
  <c r="AY401" i="6"/>
  <c r="AZ400" i="6"/>
  <c r="AY400" i="6"/>
  <c r="AZ399" i="6"/>
  <c r="AY399" i="6"/>
  <c r="AZ398" i="6"/>
  <c r="AY398" i="6"/>
  <c r="AZ397" i="6"/>
  <c r="AY397" i="6"/>
  <c r="AZ396" i="6"/>
  <c r="AY396" i="6"/>
  <c r="AZ395" i="6"/>
  <c r="AY395" i="6"/>
  <c r="AZ394" i="6"/>
  <c r="AY394" i="6"/>
  <c r="AZ393" i="6"/>
  <c r="AY393" i="6"/>
  <c r="AZ392" i="6"/>
  <c r="AY392" i="6"/>
  <c r="AZ391" i="6"/>
  <c r="AY391" i="6"/>
  <c r="AZ390" i="6"/>
  <c r="AY390" i="6"/>
  <c r="AZ389" i="6"/>
  <c r="AY389" i="6"/>
  <c r="AZ388" i="6"/>
  <c r="AY388" i="6"/>
  <c r="AZ387" i="6"/>
  <c r="AY387" i="6"/>
  <c r="AZ386" i="6"/>
  <c r="AY386" i="6"/>
  <c r="AZ385" i="6"/>
  <c r="AY385" i="6"/>
  <c r="AZ384" i="6"/>
  <c r="AY384" i="6"/>
  <c r="AZ383" i="6"/>
  <c r="AY383" i="6"/>
  <c r="AZ382" i="6"/>
  <c r="AY382" i="6"/>
  <c r="AZ381" i="6"/>
  <c r="AY381" i="6"/>
  <c r="AZ380" i="6"/>
  <c r="AY380" i="6"/>
  <c r="AZ379" i="6"/>
  <c r="AY379" i="6"/>
  <c r="AZ378" i="6"/>
  <c r="AY378" i="6"/>
  <c r="AZ377" i="6"/>
  <c r="AY377" i="6"/>
  <c r="AZ376" i="6"/>
  <c r="AY376" i="6"/>
  <c r="AZ375" i="6"/>
  <c r="AY375" i="6"/>
  <c r="AZ374" i="6"/>
  <c r="AY374" i="6"/>
  <c r="AZ373" i="6"/>
  <c r="AY373" i="6"/>
  <c r="AZ372" i="6"/>
  <c r="AY372" i="6"/>
  <c r="AZ371" i="6"/>
  <c r="AY371" i="6"/>
  <c r="AZ370" i="6"/>
  <c r="AY370" i="6"/>
  <c r="AZ369" i="6"/>
  <c r="AY369" i="6"/>
  <c r="AZ368" i="6"/>
  <c r="AY368" i="6"/>
  <c r="AZ367" i="6"/>
  <c r="AY367" i="6"/>
  <c r="AZ366" i="6"/>
  <c r="AY366" i="6"/>
  <c r="AZ365" i="6"/>
  <c r="AY365" i="6"/>
  <c r="AZ364" i="6"/>
  <c r="AY364" i="6"/>
  <c r="AZ363" i="6"/>
  <c r="AY363" i="6"/>
  <c r="AZ362" i="6"/>
  <c r="AY362" i="6"/>
  <c r="AZ361" i="6"/>
  <c r="AY361" i="6"/>
  <c r="AZ360" i="6"/>
  <c r="AY360" i="6"/>
  <c r="AZ359" i="6"/>
  <c r="AY359" i="6"/>
  <c r="AZ358" i="6"/>
  <c r="AY358" i="6"/>
  <c r="AZ357" i="6"/>
  <c r="AY357" i="6"/>
  <c r="AZ356" i="6"/>
  <c r="AY356" i="6"/>
  <c r="AZ355" i="6"/>
  <c r="AY355" i="6"/>
  <c r="AZ354" i="6"/>
  <c r="AY354" i="6"/>
  <c r="AZ353" i="6"/>
  <c r="AY353" i="6"/>
  <c r="AZ352" i="6"/>
  <c r="AY352" i="6"/>
  <c r="AZ351" i="6"/>
  <c r="AY351" i="6"/>
  <c r="AZ350" i="6"/>
  <c r="AY350" i="6"/>
  <c r="AZ349" i="6"/>
  <c r="AY349" i="6"/>
  <c r="AZ348" i="6"/>
  <c r="AY348" i="6"/>
  <c r="AZ347" i="6"/>
  <c r="AY347" i="6"/>
  <c r="AZ346" i="6"/>
  <c r="AY346" i="6"/>
  <c r="AZ345" i="6"/>
  <c r="AY345" i="6"/>
  <c r="AZ344" i="6"/>
  <c r="AY344" i="6"/>
  <c r="AZ343" i="6"/>
  <c r="AY343" i="6"/>
  <c r="AZ342" i="6"/>
  <c r="AY342" i="6"/>
  <c r="AZ341" i="6"/>
  <c r="AY341" i="6"/>
  <c r="AZ340" i="6"/>
  <c r="AY340" i="6"/>
  <c r="AZ339" i="6"/>
  <c r="AY339" i="6"/>
  <c r="AZ338" i="6"/>
  <c r="AY338" i="6"/>
  <c r="AZ337" i="6"/>
  <c r="AY337" i="6"/>
  <c r="AZ336" i="6"/>
  <c r="AY336" i="6"/>
  <c r="AZ335" i="6"/>
  <c r="AY335" i="6"/>
  <c r="AZ334" i="6"/>
  <c r="AY334" i="6"/>
  <c r="AZ333" i="6"/>
  <c r="AY333" i="6"/>
  <c r="AZ332" i="6"/>
  <c r="AY332" i="6"/>
  <c r="AZ331" i="6"/>
  <c r="AY331" i="6"/>
  <c r="AZ330" i="6"/>
  <c r="AY330" i="6"/>
  <c r="AZ329" i="6"/>
  <c r="AY329" i="6"/>
  <c r="AZ328" i="6"/>
  <c r="AY328" i="6"/>
  <c r="AZ327" i="6"/>
  <c r="AY327" i="6"/>
  <c r="AZ326" i="6"/>
  <c r="AY326" i="6"/>
  <c r="AZ325" i="6"/>
  <c r="AY325" i="6"/>
  <c r="AZ324" i="6"/>
  <c r="AY324" i="6"/>
  <c r="AZ323" i="6"/>
  <c r="AY323" i="6"/>
  <c r="AZ322" i="6"/>
  <c r="AY322" i="6"/>
  <c r="AZ321" i="6"/>
  <c r="AY321" i="6"/>
  <c r="AZ320" i="6"/>
  <c r="AY320" i="6"/>
  <c r="AZ319" i="6"/>
  <c r="AY319" i="6"/>
  <c r="AZ318" i="6"/>
  <c r="AY318" i="6"/>
  <c r="AZ317" i="6"/>
  <c r="AY317" i="6"/>
  <c r="AZ316" i="6"/>
  <c r="AY316" i="6"/>
  <c r="AZ315" i="6"/>
  <c r="AY315" i="6"/>
  <c r="AZ314" i="6"/>
  <c r="AY314" i="6"/>
  <c r="AZ313" i="6"/>
  <c r="AY313" i="6"/>
  <c r="AZ312" i="6"/>
  <c r="AY312" i="6"/>
  <c r="AZ311" i="6"/>
  <c r="AY311" i="6"/>
  <c r="AZ310" i="6"/>
  <c r="AY310" i="6"/>
  <c r="AZ309" i="6"/>
  <c r="AY309" i="6"/>
  <c r="AZ308" i="6"/>
  <c r="AY308" i="6"/>
  <c r="AZ307" i="6"/>
  <c r="AY307" i="6"/>
  <c r="AZ306" i="6"/>
  <c r="AY306" i="6"/>
  <c r="AZ305" i="6"/>
  <c r="AY305" i="6"/>
  <c r="AZ304" i="6"/>
  <c r="AY304" i="6"/>
  <c r="AZ303" i="6"/>
  <c r="AY303" i="6"/>
  <c r="AZ302" i="6"/>
  <c r="AY302" i="6"/>
  <c r="AZ301" i="6"/>
  <c r="AY301" i="6"/>
  <c r="AZ300" i="6"/>
  <c r="AY300" i="6"/>
  <c r="AZ299" i="6"/>
  <c r="AY299" i="6"/>
  <c r="AZ298" i="6"/>
  <c r="AY298" i="6"/>
  <c r="AZ297" i="6"/>
  <c r="AY297" i="6"/>
  <c r="AZ296" i="6"/>
  <c r="AY296" i="6"/>
  <c r="AZ295" i="6"/>
  <c r="AY295" i="6"/>
  <c r="AZ294" i="6"/>
  <c r="AY294" i="6"/>
  <c r="AZ293" i="6"/>
  <c r="AY293" i="6"/>
  <c r="AZ292" i="6"/>
  <c r="AY292" i="6"/>
  <c r="AZ291" i="6"/>
  <c r="AY291" i="6"/>
  <c r="AZ290" i="6"/>
  <c r="AY290" i="6"/>
  <c r="AZ289" i="6"/>
  <c r="AY289" i="6"/>
  <c r="AZ288" i="6"/>
  <c r="AY288" i="6"/>
  <c r="AZ287" i="6"/>
  <c r="AY287" i="6"/>
  <c r="AZ286" i="6"/>
  <c r="AY286" i="6"/>
  <c r="AZ285" i="6"/>
  <c r="AY285" i="6"/>
  <c r="AZ284" i="6"/>
  <c r="AY284" i="6"/>
  <c r="AZ283" i="6"/>
  <c r="AY283" i="6"/>
  <c r="AZ282" i="6"/>
  <c r="AY282" i="6"/>
  <c r="AZ281" i="6"/>
  <c r="AY281" i="6"/>
  <c r="AZ280" i="6"/>
  <c r="AY280" i="6"/>
  <c r="AZ279" i="6"/>
  <c r="AY279" i="6"/>
  <c r="AZ278" i="6"/>
  <c r="AY278" i="6"/>
  <c r="AZ277" i="6"/>
  <c r="AY277" i="6"/>
  <c r="AZ276" i="6"/>
  <c r="AY276" i="6"/>
  <c r="AZ275" i="6"/>
  <c r="AY275" i="6"/>
  <c r="AZ274" i="6"/>
  <c r="AY274" i="6"/>
  <c r="AZ273" i="6"/>
  <c r="AY273" i="6"/>
  <c r="AZ272" i="6"/>
  <c r="AY272" i="6"/>
  <c r="AZ271" i="6"/>
  <c r="AY271" i="6"/>
  <c r="AZ270" i="6"/>
  <c r="AY270" i="6"/>
  <c r="AZ269" i="6"/>
  <c r="AY269" i="6"/>
  <c r="AZ268" i="6"/>
  <c r="AY268" i="6"/>
  <c r="AZ267" i="6"/>
  <c r="AY267" i="6"/>
  <c r="AZ266" i="6"/>
  <c r="AY266" i="6"/>
  <c r="AZ265" i="6"/>
  <c r="AY265" i="6"/>
  <c r="AZ264" i="6"/>
  <c r="AY264" i="6"/>
  <c r="AZ263" i="6"/>
  <c r="AY263" i="6"/>
  <c r="AZ262" i="6"/>
  <c r="AY262" i="6"/>
  <c r="AZ261" i="6"/>
  <c r="AY261" i="6"/>
  <c r="AZ260" i="6"/>
  <c r="AY260" i="6"/>
  <c r="AZ259" i="6"/>
  <c r="AY259" i="6"/>
  <c r="AZ258" i="6"/>
  <c r="AY258" i="6"/>
  <c r="AZ257" i="6"/>
  <c r="AY257" i="6"/>
  <c r="AZ256" i="6"/>
  <c r="AY256" i="6"/>
  <c r="AZ255" i="6"/>
  <c r="AY255" i="6"/>
  <c r="AZ254" i="6"/>
  <c r="AY254" i="6"/>
  <c r="AZ253" i="6"/>
  <c r="AY253" i="6"/>
  <c r="AZ252" i="6"/>
  <c r="AY252" i="6"/>
  <c r="AZ251" i="6"/>
  <c r="AY251" i="6"/>
  <c r="AZ250" i="6"/>
  <c r="AY250" i="6"/>
  <c r="AZ249" i="6"/>
  <c r="AY249" i="6"/>
  <c r="AZ248" i="6"/>
  <c r="AY248" i="6"/>
  <c r="AZ247" i="6"/>
  <c r="AY247" i="6"/>
  <c r="AZ246" i="6"/>
  <c r="AY246" i="6"/>
  <c r="AZ245" i="6"/>
  <c r="AY245" i="6"/>
  <c r="AZ244" i="6"/>
  <c r="AY244" i="6"/>
  <c r="AZ243" i="6"/>
  <c r="AY243" i="6"/>
  <c r="AZ242" i="6"/>
  <c r="AY242" i="6"/>
  <c r="AZ241" i="6"/>
  <c r="AY241" i="6"/>
  <c r="AZ240" i="6"/>
  <c r="AY240" i="6"/>
  <c r="AZ239" i="6"/>
  <c r="AY239" i="6"/>
  <c r="AZ238" i="6"/>
  <c r="AY238" i="6"/>
  <c r="AZ237" i="6"/>
  <c r="AY237" i="6"/>
  <c r="AZ236" i="6"/>
  <c r="AY236" i="6"/>
  <c r="AZ235" i="6"/>
  <c r="AY235" i="6"/>
  <c r="AZ234" i="6"/>
  <c r="AY234" i="6"/>
  <c r="AZ233" i="6"/>
  <c r="AY233" i="6"/>
  <c r="AZ232" i="6"/>
  <c r="AY232" i="6"/>
  <c r="AZ231" i="6"/>
  <c r="AY231" i="6"/>
  <c r="AZ230" i="6"/>
  <c r="AY230" i="6"/>
  <c r="AZ229" i="6"/>
  <c r="AY229" i="6"/>
  <c r="AZ228" i="6"/>
  <c r="AY228" i="6"/>
  <c r="AZ227" i="6"/>
  <c r="AY227" i="6"/>
  <c r="AZ226" i="6"/>
  <c r="AY226" i="6"/>
  <c r="AZ225" i="6"/>
  <c r="AY225" i="6"/>
  <c r="AZ224" i="6"/>
  <c r="AY224" i="6"/>
  <c r="AZ223" i="6"/>
  <c r="AY223" i="6"/>
  <c r="AZ222" i="6"/>
  <c r="AY222" i="6"/>
  <c r="AZ221" i="6"/>
  <c r="AY221" i="6"/>
  <c r="AZ220" i="6"/>
  <c r="AY220" i="6"/>
  <c r="AZ219" i="6"/>
  <c r="AY219" i="6"/>
  <c r="AZ218" i="6"/>
  <c r="AY218" i="6"/>
  <c r="AZ217" i="6"/>
  <c r="AY217" i="6"/>
  <c r="AZ216" i="6"/>
  <c r="AY216" i="6"/>
  <c r="AZ215" i="6"/>
  <c r="AY215" i="6"/>
  <c r="AZ214" i="6"/>
  <c r="AY214" i="6"/>
  <c r="AZ213" i="6"/>
  <c r="AY213" i="6"/>
  <c r="AZ212" i="6"/>
  <c r="AY212" i="6"/>
  <c r="AZ211" i="6"/>
  <c r="AY211" i="6"/>
  <c r="AZ210" i="6"/>
  <c r="AY210" i="6"/>
  <c r="AZ209" i="6"/>
  <c r="AY209" i="6"/>
  <c r="AZ208" i="6"/>
  <c r="AY208" i="6"/>
  <c r="AZ207" i="6"/>
  <c r="AY207" i="6"/>
  <c r="AZ206" i="6"/>
  <c r="AY206" i="6"/>
  <c r="AZ205" i="6"/>
  <c r="AY205" i="6"/>
  <c r="AZ204" i="6"/>
  <c r="AY204" i="6"/>
  <c r="AZ203" i="6"/>
  <c r="AY203" i="6"/>
  <c r="AZ202" i="6"/>
  <c r="AY202" i="6"/>
  <c r="AZ201" i="6"/>
  <c r="AY201" i="6"/>
  <c r="AZ200" i="6"/>
  <c r="AY200" i="6"/>
  <c r="AZ199" i="6"/>
  <c r="AY199" i="6"/>
  <c r="AZ198" i="6"/>
  <c r="AY198" i="6"/>
  <c r="AZ197" i="6"/>
  <c r="AY197" i="6"/>
  <c r="AZ196" i="6"/>
  <c r="AY196" i="6"/>
  <c r="AZ195" i="6"/>
  <c r="AY195" i="6"/>
  <c r="AZ194" i="6"/>
  <c r="AY194" i="6"/>
  <c r="AZ193" i="6"/>
  <c r="AY193" i="6"/>
  <c r="AZ192" i="6"/>
  <c r="AY192" i="6"/>
  <c r="AZ191" i="6"/>
  <c r="AY191" i="6"/>
  <c r="AZ190" i="6"/>
  <c r="AY190" i="6"/>
  <c r="AZ189" i="6"/>
  <c r="AY189" i="6"/>
  <c r="AZ188" i="6"/>
  <c r="AY188" i="6"/>
  <c r="AZ187" i="6"/>
  <c r="AY187" i="6"/>
  <c r="AZ186" i="6"/>
  <c r="AY186" i="6"/>
  <c r="AZ185" i="6"/>
  <c r="AY185" i="6"/>
  <c r="AZ184" i="6"/>
  <c r="AY184" i="6"/>
  <c r="AZ183" i="6"/>
  <c r="AY183" i="6"/>
  <c r="AZ182" i="6"/>
  <c r="AY182" i="6"/>
  <c r="AZ181" i="6"/>
  <c r="AY181" i="6"/>
  <c r="AZ180" i="6"/>
  <c r="AY180" i="6"/>
  <c r="AZ179" i="6"/>
  <c r="AY179" i="6"/>
  <c r="AZ178" i="6"/>
  <c r="AY178" i="6"/>
  <c r="AZ177" i="6"/>
  <c r="AY177" i="6"/>
  <c r="AZ176" i="6"/>
  <c r="AY176" i="6"/>
  <c r="AZ175" i="6"/>
  <c r="AY175" i="6"/>
  <c r="AZ174" i="6"/>
  <c r="AY174" i="6"/>
  <c r="AZ173" i="6"/>
  <c r="AY173" i="6"/>
  <c r="AZ172" i="6"/>
  <c r="AY172" i="6"/>
  <c r="AZ171" i="6"/>
  <c r="AY171" i="6"/>
  <c r="AZ170" i="6"/>
  <c r="AY170" i="6"/>
  <c r="AZ169" i="6"/>
  <c r="AY169" i="6"/>
  <c r="AZ168" i="6"/>
  <c r="AY168" i="6"/>
  <c r="AZ167" i="6"/>
  <c r="AY167" i="6"/>
  <c r="AZ166" i="6"/>
  <c r="AY166" i="6"/>
  <c r="AZ165" i="6"/>
  <c r="AY165" i="6"/>
  <c r="AZ164" i="6"/>
  <c r="AY164" i="6"/>
  <c r="AZ163" i="6"/>
  <c r="AY163" i="6"/>
  <c r="AZ162" i="6"/>
  <c r="AY162" i="6"/>
  <c r="AZ161" i="6"/>
  <c r="AY161" i="6"/>
  <c r="AZ160" i="6"/>
  <c r="AY160" i="6"/>
  <c r="AZ159" i="6"/>
  <c r="AY159" i="6"/>
  <c r="AZ158" i="6"/>
  <c r="AY158" i="6"/>
  <c r="AZ157" i="6"/>
  <c r="AY157" i="6"/>
  <c r="AZ156" i="6"/>
  <c r="AY156" i="6"/>
  <c r="AZ155" i="6"/>
  <c r="AY155" i="6"/>
  <c r="AZ154" i="6"/>
  <c r="AY154" i="6"/>
  <c r="AZ153" i="6"/>
  <c r="AY153" i="6"/>
  <c r="AZ152" i="6"/>
  <c r="AY152" i="6"/>
  <c r="AZ151" i="6"/>
  <c r="AY151" i="6"/>
  <c r="AZ150" i="6"/>
  <c r="AY150" i="6"/>
  <c r="AZ149" i="6"/>
  <c r="AY149" i="6"/>
  <c r="AZ148" i="6"/>
  <c r="AY148" i="6"/>
  <c r="AZ147" i="6"/>
  <c r="AY147" i="6"/>
  <c r="AZ146" i="6"/>
  <c r="AY146" i="6"/>
  <c r="AZ145" i="6"/>
  <c r="AY145" i="6"/>
  <c r="AZ144" i="6"/>
  <c r="AY144" i="6"/>
  <c r="AZ143" i="6"/>
  <c r="AY143" i="6"/>
  <c r="AZ142" i="6"/>
  <c r="AY142" i="6"/>
  <c r="AZ141" i="6"/>
  <c r="AY141" i="6"/>
  <c r="AZ140" i="6"/>
  <c r="AY140" i="6"/>
  <c r="AZ139" i="6"/>
  <c r="AY139" i="6"/>
  <c r="AZ138" i="6"/>
  <c r="AY138" i="6"/>
  <c r="AZ137" i="6"/>
  <c r="AY137" i="6"/>
  <c r="AZ136" i="6"/>
  <c r="AY136" i="6"/>
  <c r="AZ135" i="6"/>
  <c r="AY135" i="6"/>
  <c r="AZ134" i="6"/>
  <c r="AY134" i="6"/>
  <c r="AZ133" i="6"/>
  <c r="AY133" i="6"/>
  <c r="AZ132" i="6"/>
  <c r="AY132" i="6"/>
  <c r="AZ131" i="6"/>
  <c r="AY131" i="6"/>
  <c r="AZ130" i="6"/>
  <c r="AY130" i="6"/>
  <c r="AZ129" i="6"/>
  <c r="AY129" i="6"/>
  <c r="AZ128" i="6"/>
  <c r="AY128" i="6"/>
  <c r="AZ127" i="6"/>
  <c r="AY127" i="6"/>
  <c r="AZ126" i="6"/>
  <c r="AY126" i="6"/>
  <c r="AZ125" i="6"/>
  <c r="AY125" i="6"/>
  <c r="AZ124" i="6"/>
  <c r="AY124" i="6"/>
  <c r="AZ123" i="6"/>
  <c r="AY123" i="6"/>
  <c r="AZ122" i="6"/>
  <c r="AY122" i="6"/>
  <c r="AZ121" i="6"/>
  <c r="AY121" i="6"/>
  <c r="AZ120" i="6"/>
  <c r="AY120" i="6"/>
  <c r="AZ119" i="6"/>
  <c r="AY119" i="6"/>
  <c r="AZ118" i="6"/>
  <c r="AY118" i="6"/>
  <c r="AZ117" i="6"/>
  <c r="AY117" i="6"/>
  <c r="AZ116" i="6"/>
  <c r="AY116" i="6"/>
  <c r="AZ115" i="6"/>
  <c r="AY115" i="6"/>
  <c r="AZ114" i="6"/>
  <c r="AY114" i="6"/>
  <c r="AZ113" i="6"/>
  <c r="AY113" i="6"/>
  <c r="AZ112" i="6"/>
  <c r="AY112" i="6"/>
  <c r="AZ111" i="6"/>
  <c r="AY111" i="6"/>
  <c r="AZ110" i="6"/>
  <c r="AY110" i="6"/>
  <c r="AZ109" i="6"/>
  <c r="AY109" i="6"/>
  <c r="AZ108" i="6"/>
  <c r="AY108" i="6"/>
  <c r="AZ107" i="6"/>
  <c r="AY107" i="6"/>
  <c r="AZ106" i="6"/>
  <c r="AY106" i="6"/>
  <c r="AZ105" i="6"/>
  <c r="AY105" i="6"/>
  <c r="AZ104" i="6"/>
  <c r="AY104" i="6"/>
  <c r="AZ103" i="6"/>
  <c r="AY103" i="6"/>
  <c r="AZ102" i="6"/>
  <c r="AY102" i="6"/>
  <c r="AZ101" i="6"/>
  <c r="AY101" i="6"/>
  <c r="AZ100" i="6"/>
  <c r="AY100" i="6"/>
  <c r="AZ99" i="6"/>
  <c r="AY99" i="6"/>
  <c r="AZ98" i="6"/>
  <c r="AY98" i="6"/>
  <c r="AZ97" i="6"/>
  <c r="AY97" i="6"/>
  <c r="AZ96" i="6"/>
  <c r="AY96" i="6"/>
  <c r="AZ95" i="6"/>
  <c r="AY95" i="6"/>
  <c r="AZ94" i="6"/>
  <c r="AY94" i="6"/>
  <c r="AZ93" i="6"/>
  <c r="AY93" i="6"/>
  <c r="AZ92" i="6"/>
  <c r="AY92" i="6"/>
  <c r="AZ91" i="6"/>
  <c r="AY91" i="6"/>
  <c r="AZ90" i="6"/>
  <c r="AY90" i="6"/>
  <c r="AZ89" i="6"/>
  <c r="AY89" i="6"/>
  <c r="AZ88" i="6"/>
  <c r="AY88" i="6"/>
  <c r="AZ87" i="6"/>
  <c r="AY87" i="6"/>
  <c r="AZ86" i="6"/>
  <c r="AY86" i="6"/>
  <c r="AZ85" i="6"/>
  <c r="AY85" i="6"/>
  <c r="AZ84" i="6"/>
  <c r="AY84" i="6"/>
  <c r="AZ83" i="6"/>
  <c r="AY83" i="6"/>
  <c r="AZ82" i="6"/>
  <c r="AY82" i="6"/>
  <c r="AZ81" i="6"/>
  <c r="AY81" i="6"/>
  <c r="AZ80" i="6"/>
  <c r="AY80" i="6"/>
  <c r="AZ79" i="6"/>
  <c r="AY79" i="6"/>
  <c r="AZ78" i="6"/>
  <c r="AY78" i="6"/>
  <c r="AZ77" i="6"/>
  <c r="AY77" i="6"/>
  <c r="AZ76" i="6"/>
  <c r="AY76" i="6"/>
  <c r="AZ75" i="6"/>
  <c r="AY75" i="6"/>
  <c r="AZ74" i="6"/>
  <c r="AY74" i="6"/>
  <c r="AZ73" i="6"/>
  <c r="AY73" i="6"/>
  <c r="AZ72" i="6"/>
  <c r="AY72" i="6"/>
  <c r="AZ71" i="6"/>
  <c r="AY71" i="6"/>
  <c r="AZ70" i="6"/>
  <c r="AY70" i="6"/>
  <c r="AZ69" i="6"/>
  <c r="AY69" i="6"/>
  <c r="AZ68" i="6"/>
  <c r="AY68" i="6"/>
  <c r="AZ67" i="6"/>
  <c r="AY67" i="6"/>
  <c r="AZ66" i="6"/>
  <c r="AY66" i="6"/>
  <c r="AZ65" i="6"/>
  <c r="AY65" i="6"/>
  <c r="AZ64" i="6"/>
  <c r="AY64" i="6"/>
  <c r="AZ63" i="6"/>
  <c r="AY63" i="6"/>
  <c r="AZ62" i="6"/>
  <c r="AY62" i="6"/>
  <c r="AZ61" i="6"/>
  <c r="AY61" i="6"/>
  <c r="AZ60" i="6"/>
  <c r="AY60" i="6"/>
  <c r="AZ59" i="6"/>
  <c r="AY59" i="6"/>
  <c r="AZ58" i="6"/>
  <c r="AY58" i="6"/>
  <c r="AZ57" i="6"/>
  <c r="AY57" i="6"/>
  <c r="AZ56" i="6"/>
  <c r="AY56" i="6"/>
  <c r="AZ55" i="6"/>
  <c r="AY55" i="6"/>
  <c r="AZ54" i="6"/>
  <c r="AY54" i="6"/>
  <c r="AZ53" i="6"/>
  <c r="AY53" i="6"/>
  <c r="AZ52" i="6"/>
  <c r="AY52" i="6"/>
  <c r="AZ51" i="6"/>
  <c r="AY51" i="6"/>
  <c r="AZ50" i="6"/>
  <c r="AY50" i="6"/>
  <c r="AZ49" i="6"/>
  <c r="AY49" i="6"/>
  <c r="AZ48" i="6"/>
  <c r="AY48" i="6"/>
  <c r="AZ47" i="6"/>
  <c r="AY47" i="6"/>
  <c r="AZ46" i="6"/>
  <c r="AY46" i="6"/>
  <c r="AZ45" i="6"/>
  <c r="AY45" i="6"/>
  <c r="AZ44" i="6"/>
  <c r="AY44" i="6"/>
  <c r="AZ43" i="6"/>
  <c r="AY43" i="6"/>
  <c r="AZ42" i="6"/>
  <c r="AY42" i="6"/>
  <c r="AZ41" i="6"/>
  <c r="AY41" i="6"/>
  <c r="AZ40" i="6"/>
  <c r="AY40" i="6"/>
  <c r="AZ39" i="6"/>
  <c r="AY39" i="6"/>
  <c r="AZ38" i="6"/>
  <c r="AY38" i="6"/>
  <c r="AZ37" i="6"/>
  <c r="AY37" i="6"/>
  <c r="AZ36" i="6"/>
  <c r="AY36" i="6"/>
  <c r="AZ35" i="6"/>
  <c r="AY35" i="6"/>
  <c r="AZ34" i="6"/>
  <c r="AY34" i="6"/>
  <c r="AZ33" i="6"/>
  <c r="AY33" i="6"/>
  <c r="AZ32" i="6"/>
  <c r="AY32" i="6"/>
  <c r="AZ31" i="6"/>
  <c r="AY31" i="6"/>
  <c r="AZ30" i="6"/>
  <c r="AY30" i="6"/>
  <c r="AZ29" i="6"/>
  <c r="AY29" i="6"/>
  <c r="AZ28" i="6"/>
  <c r="AY28" i="6"/>
  <c r="AZ27" i="6"/>
  <c r="AY27" i="6"/>
  <c r="AZ26" i="6"/>
  <c r="AY26" i="6"/>
  <c r="AZ25" i="6"/>
  <c r="AY25" i="6"/>
  <c r="AZ24" i="6"/>
  <c r="AY24" i="6"/>
  <c r="AZ23" i="6"/>
  <c r="AY23" i="6"/>
  <c r="AZ22" i="6"/>
  <c r="AY22" i="6"/>
  <c r="AZ21" i="6"/>
  <c r="AY21" i="6"/>
  <c r="AZ20" i="6"/>
  <c r="AY20" i="6"/>
  <c r="AZ19" i="6"/>
  <c r="AY19" i="6"/>
  <c r="AZ18" i="6"/>
  <c r="AY18" i="6"/>
  <c r="AZ17" i="6"/>
  <c r="AY17" i="6"/>
  <c r="AZ16" i="6"/>
  <c r="AY16" i="6"/>
  <c r="AZ15" i="6"/>
  <c r="AY15" i="6"/>
  <c r="AZ14" i="6"/>
  <c r="AY14" i="6"/>
  <c r="AZ13" i="6"/>
  <c r="AY13" i="6"/>
  <c r="AZ12" i="6"/>
  <c r="AY12" i="6"/>
  <c r="AZ11" i="6"/>
  <c r="AY11" i="6"/>
  <c r="AZ10" i="6"/>
  <c r="AY10" i="6"/>
  <c r="AZ9" i="6"/>
  <c r="AY9" i="6"/>
  <c r="AZ8" i="6"/>
  <c r="AY8" i="6"/>
  <c r="AZ7" i="6"/>
  <c r="AY7" i="6"/>
  <c r="AZ6" i="6"/>
  <c r="AY6" i="6"/>
  <c r="AZ5" i="6"/>
  <c r="AY5" i="6"/>
  <c r="AZ4" i="6"/>
  <c r="AY4" i="6"/>
  <c r="AZ3" i="6"/>
  <c r="AY3" i="6"/>
  <c r="BH7652" i="6" l="1"/>
  <c r="BH7650" i="6"/>
  <c r="BL7652" i="6"/>
  <c r="BL7650" i="6"/>
  <c r="BP7652" i="6"/>
  <c r="BP7650" i="6"/>
  <c r="BT7652" i="6"/>
  <c r="BT7650" i="6"/>
  <c r="BX7652" i="6"/>
  <c r="BX7650" i="6"/>
  <c r="CB7652" i="6"/>
  <c r="CB7650" i="6"/>
  <c r="CF7652" i="6"/>
  <c r="CF7650" i="6"/>
  <c r="CJ7652" i="6"/>
  <c r="CJ7650" i="6"/>
  <c r="CN7652" i="6"/>
  <c r="CN7650" i="6"/>
  <c r="CR7652" i="6"/>
  <c r="CR7650" i="6"/>
  <c r="CV7652" i="6"/>
  <c r="CV7650" i="6"/>
  <c r="BE7651" i="6"/>
  <c r="BE7650" i="6"/>
  <c r="BI7650" i="6"/>
  <c r="BI7652" i="6"/>
  <c r="BM7650" i="6"/>
  <c r="BM7652" i="6"/>
  <c r="BQ7650" i="6"/>
  <c r="BQ7652" i="6"/>
  <c r="BU7650" i="6"/>
  <c r="BU7652" i="6"/>
  <c r="BY7650" i="6"/>
  <c r="BY7652" i="6"/>
  <c r="CC7650" i="6"/>
  <c r="CC7652" i="6"/>
  <c r="CG7650" i="6"/>
  <c r="CG7652" i="6"/>
  <c r="CK7650" i="6"/>
  <c r="CK7652" i="6"/>
  <c r="CO7650" i="6"/>
  <c r="CO7652" i="6"/>
  <c r="CS7650" i="6"/>
  <c r="CS7652" i="6"/>
  <c r="CW7650" i="6"/>
  <c r="CW7652" i="6"/>
  <c r="BF7647" i="6"/>
  <c r="BJ7647" i="6"/>
  <c r="BN7647" i="6"/>
  <c r="BR7647" i="6"/>
  <c r="BV7647" i="6"/>
  <c r="BZ7647" i="6"/>
  <c r="CD7647" i="6"/>
  <c r="CH7647" i="6"/>
  <c r="CL7647" i="6"/>
  <c r="CP7647" i="6"/>
  <c r="CT7647" i="6"/>
  <c r="CX7647" i="6"/>
  <c r="BE7648" i="6"/>
  <c r="CY7648" i="6" s="1"/>
  <c r="BH7649" i="6"/>
  <c r="BL7649" i="6"/>
  <c r="BP7649" i="6"/>
  <c r="BT7649" i="6"/>
  <c r="BX7649" i="6"/>
  <c r="CB7649" i="6"/>
  <c r="CF7649" i="6"/>
  <c r="CJ7649" i="6"/>
  <c r="CN7649" i="6"/>
  <c r="CR7649" i="6"/>
  <c r="CV7649" i="6"/>
  <c r="BG7647" i="6"/>
  <c r="BK7647" i="6"/>
  <c r="BO7647" i="6"/>
  <c r="BS7647" i="6"/>
  <c r="BW7647" i="6"/>
  <c r="CA7647" i="6"/>
  <c r="CE7647" i="6"/>
  <c r="CI7647" i="6"/>
  <c r="CM7647" i="6"/>
  <c r="CQ7647" i="6"/>
  <c r="CU7647" i="6"/>
  <c r="BI7649" i="6"/>
  <c r="BM7649" i="6"/>
  <c r="BQ7649" i="6"/>
  <c r="BU7649" i="6"/>
  <c r="BY7649" i="6"/>
  <c r="CC7649" i="6"/>
  <c r="CG7649" i="6"/>
  <c r="CK7649" i="6"/>
  <c r="CO7649" i="6"/>
  <c r="CS7649" i="6"/>
  <c r="CW7649" i="6"/>
  <c r="BD7647" i="6"/>
  <c r="BW7652" i="6" l="1"/>
  <c r="BW7650" i="6"/>
  <c r="BF7650" i="6"/>
  <c r="BF7651" i="6"/>
  <c r="BD7651" i="6"/>
  <c r="CY7647" i="6"/>
  <c r="BD7650" i="6"/>
  <c r="CI7652" i="6"/>
  <c r="CI7650" i="6"/>
  <c r="BS7652" i="6"/>
  <c r="BS7650" i="6"/>
  <c r="CX7650" i="6"/>
  <c r="CX7652" i="6"/>
  <c r="CH7650" i="6"/>
  <c r="CH7652" i="6"/>
  <c r="BR7650" i="6"/>
  <c r="BR7652" i="6"/>
  <c r="CM7652" i="6"/>
  <c r="CM7650" i="6"/>
  <c r="BV7650" i="6"/>
  <c r="BV7652" i="6"/>
  <c r="CU7652" i="6"/>
  <c r="CU7650" i="6"/>
  <c r="CE7652" i="6"/>
  <c r="CE7650" i="6"/>
  <c r="BO7652" i="6"/>
  <c r="BO7650" i="6"/>
  <c r="CT7650" i="6"/>
  <c r="CT7652" i="6"/>
  <c r="CD7650" i="6"/>
  <c r="CD7652" i="6"/>
  <c r="BN7650" i="6"/>
  <c r="BN7652" i="6"/>
  <c r="BG7651" i="6"/>
  <c r="BG7650" i="6"/>
  <c r="CL7650" i="6"/>
  <c r="CL7652" i="6"/>
  <c r="CQ7652" i="6"/>
  <c r="CQ7650" i="6"/>
  <c r="CA7652" i="6"/>
  <c r="CA7650" i="6"/>
  <c r="BK7652" i="6"/>
  <c r="BK7650" i="6"/>
  <c r="CY7649" i="6"/>
  <c r="CP7650" i="6"/>
  <c r="CP7652" i="6"/>
  <c r="BZ7650" i="6"/>
  <c r="BZ7652" i="6"/>
  <c r="BJ7650" i="6"/>
  <c r="BJ7652" i="6"/>
  <c r="CY7652" i="6" l="1"/>
  <c r="CY7650" i="6"/>
  <c r="CY7651" i="6"/>
</calcChain>
</file>

<file path=xl/sharedStrings.xml><?xml version="1.0" encoding="utf-8"?>
<sst xmlns="http://schemas.openxmlformats.org/spreadsheetml/2006/main" count="7608" uniqueCount="7557">
  <si>
    <t>F1</t>
  </si>
  <si>
    <t>F2</t>
  </si>
  <si>
    <t>F3</t>
  </si>
  <si>
    <t>F4</t>
  </si>
  <si>
    <t>Megy</t>
  </si>
  <si>
    <t>KI_ÁGASK</t>
  </si>
  <si>
    <t>BE_ÁGASK</t>
  </si>
  <si>
    <t>B1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</si>
  <si>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</si>
  <si>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</si>
  <si>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</si>
  <si>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</si>
  <si>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</si>
  <si>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</si>
  <si>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</si>
  <si>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</si>
  <si>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</si>
  <si>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</si>
  <si>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</si>
  <si>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</si>
  <si>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</si>
  <si>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</si>
  <si>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B_Eszik1</t>
  </si>
  <si>
    <t>B_Eszik2</t>
  </si>
  <si>
    <t>B_Eszik3</t>
  </si>
  <si>
    <t>B_Eszik4</t>
  </si>
  <si>
    <t>B_Eszik5</t>
  </si>
  <si>
    <t>B_Eszik6</t>
  </si>
  <si>
    <t>B_Eszik7</t>
  </si>
  <si>
    <t>B_Eszik8</t>
  </si>
  <si>
    <t>B_Eszik9</t>
  </si>
  <si>
    <t>B_Eszik10</t>
  </si>
  <si>
    <t>B_Eszik11</t>
  </si>
  <si>
    <t>B_Eszik12</t>
  </si>
  <si>
    <t>B_Eszik13</t>
  </si>
  <si>
    <t>B_Eszik14</t>
  </si>
  <si>
    <t>B_Eszik15</t>
  </si>
  <si>
    <t>B_Eszik16</t>
  </si>
  <si>
    <t>pihen</t>
  </si>
  <si>
    <t>áll-figyel</t>
  </si>
  <si>
    <t>F_fordul4</t>
  </si>
  <si>
    <t>F_fordul3</t>
  </si>
  <si>
    <t>F_fordul2</t>
  </si>
  <si>
    <t>F_fordul1</t>
  </si>
  <si>
    <t>Előre_ÁGASK</t>
  </si>
  <si>
    <t>mosakodás</t>
  </si>
  <si>
    <t>0:00:36:12</t>
  </si>
  <si>
    <t>0:00:36:17</t>
  </si>
  <si>
    <t>0:00:38:22</t>
  </si>
  <si>
    <t>K2</t>
  </si>
  <si>
    <t>0:00:36:08</t>
  </si>
  <si>
    <t>0:00:36:09</t>
  </si>
  <si>
    <t>0:00:36:10</t>
  </si>
  <si>
    <t>0:00:36:11</t>
  </si>
  <si>
    <t>0:00:36:13</t>
  </si>
  <si>
    <t>0:00:36:14</t>
  </si>
  <si>
    <t>0:00:36:15</t>
  </si>
  <si>
    <t>0:00:36:16</t>
  </si>
  <si>
    <t>0:00:36:18</t>
  </si>
  <si>
    <t>0:00:36:19</t>
  </si>
  <si>
    <t>0:00:36:20</t>
  </si>
  <si>
    <t>0:00:36:21</t>
  </si>
  <si>
    <t>0:00:36:22</t>
  </si>
  <si>
    <t>0:00:36:23</t>
  </si>
  <si>
    <t>0:00:36:24</t>
  </si>
  <si>
    <t>0:00:37:00</t>
  </si>
  <si>
    <t>0:00:37:01</t>
  </si>
  <si>
    <t>0:00:37:02</t>
  </si>
  <si>
    <t>0:00:37:03</t>
  </si>
  <si>
    <t>0:00:37:04</t>
  </si>
  <si>
    <t>0:00:37:05</t>
  </si>
  <si>
    <t>0:00:37:06</t>
  </si>
  <si>
    <t>0:00:37:07</t>
  </si>
  <si>
    <t>0:00:37:08</t>
  </si>
  <si>
    <t>0:00:37:09</t>
  </si>
  <si>
    <t>0:00:37:10</t>
  </si>
  <si>
    <t>0:00:37:11</t>
  </si>
  <si>
    <t>0:00:37:12</t>
  </si>
  <si>
    <t>0:00:37:13</t>
  </si>
  <si>
    <t>0:00:37:14</t>
  </si>
  <si>
    <t>0:00:37:15</t>
  </si>
  <si>
    <t>0:00:37:16</t>
  </si>
  <si>
    <t>0:00:37:17</t>
  </si>
  <si>
    <t>0:00:37:18</t>
  </si>
  <si>
    <t>0:00:37:19</t>
  </si>
  <si>
    <t>0:00:37:20</t>
  </si>
  <si>
    <t>0:00:37:21</t>
  </si>
  <si>
    <t>0:00:37:22</t>
  </si>
  <si>
    <t>0:00:37:23</t>
  </si>
  <si>
    <t>0:00:37:24</t>
  </si>
  <si>
    <t>0:00:38:00</t>
  </si>
  <si>
    <t>0:00:38:01</t>
  </si>
  <si>
    <t>0:00:38:02</t>
  </si>
  <si>
    <t>0:00:38:03</t>
  </si>
  <si>
    <t>0:00:38:04</t>
  </si>
  <si>
    <t>0:00:38:05</t>
  </si>
  <si>
    <t>0:00:38:06</t>
  </si>
  <si>
    <t>0:00:38:07</t>
  </si>
  <si>
    <t>0:00:38:08</t>
  </si>
  <si>
    <t>0:00:38:09</t>
  </si>
  <si>
    <t>0:00:38:10</t>
  </si>
  <si>
    <t>0:00:38:11</t>
  </si>
  <si>
    <t>0:00:38:12</t>
  </si>
  <si>
    <t>0:00:38:13</t>
  </si>
  <si>
    <t>0:00:38:14</t>
  </si>
  <si>
    <t>0:00:38:15</t>
  </si>
  <si>
    <t>0:00:38:16</t>
  </si>
  <si>
    <t>0:00:38:17</t>
  </si>
  <si>
    <t>0:00:38:18</t>
  </si>
  <si>
    <t>0:00:38:19</t>
  </si>
  <si>
    <t>0:00:38:20</t>
  </si>
  <si>
    <t>0:00:38:21</t>
  </si>
  <si>
    <t>0:00:38:23</t>
  </si>
  <si>
    <t>0:00:38:24</t>
  </si>
  <si>
    <t>0:00:39:00</t>
  </si>
  <si>
    <t>0:00:39:01</t>
  </si>
  <si>
    <t>0:00:39:02</t>
  </si>
  <si>
    <t>0:00:39:03</t>
  </si>
  <si>
    <t>0:00:39:04</t>
  </si>
  <si>
    <t>0:00:39:05</t>
  </si>
  <si>
    <t>0:00:39:06</t>
  </si>
  <si>
    <t>0:00:39:07</t>
  </si>
  <si>
    <t>0:00:39:08</t>
  </si>
  <si>
    <t>0:00:39:09</t>
  </si>
  <si>
    <t>0:00:39:10</t>
  </si>
  <si>
    <t>0:00:39:11</t>
  </si>
  <si>
    <t>0:00:39:12</t>
  </si>
  <si>
    <t>0:00:39:13</t>
  </si>
  <si>
    <t>0:00:39:14</t>
  </si>
  <si>
    <t>0:00:39:15</t>
  </si>
  <si>
    <t>0:00:39:16</t>
  </si>
  <si>
    <t>0:00:39:17</t>
  </si>
  <si>
    <t>0:00:39:18</t>
  </si>
  <si>
    <t>0:00:39:19</t>
  </si>
  <si>
    <t>0:00:39:20</t>
  </si>
  <si>
    <t>0:00:39:21</t>
  </si>
  <si>
    <t>0:00:39:22</t>
  </si>
  <si>
    <t>0:00:39:23</t>
  </si>
  <si>
    <t>0:00:39:24</t>
  </si>
  <si>
    <t>0:00:40:00</t>
  </si>
  <si>
    <t>0:00:40:01</t>
  </si>
  <si>
    <t>0:00:40:02</t>
  </si>
  <si>
    <t>0:00:40:03</t>
  </si>
  <si>
    <t>0:00:40:04</t>
  </si>
  <si>
    <t>0:00:40:05</t>
  </si>
  <si>
    <t>0:00:40:06</t>
  </si>
  <si>
    <t>0:00:40:07</t>
  </si>
  <si>
    <t>0:00:40:08</t>
  </si>
  <si>
    <t>0:00:40:09</t>
  </si>
  <si>
    <t>0:00:40:10</t>
  </si>
  <si>
    <t>0:00:40:11</t>
  </si>
  <si>
    <t>0:00:40:12</t>
  </si>
  <si>
    <t>0:00:40:13</t>
  </si>
  <si>
    <t>0:00:40:14</t>
  </si>
  <si>
    <t>0:00:40:15</t>
  </si>
  <si>
    <t>0:00:40:16</t>
  </si>
  <si>
    <t>0:00:40:17</t>
  </si>
  <si>
    <t>0:00:40:18</t>
  </si>
  <si>
    <t>0:00:40:19</t>
  </si>
  <si>
    <t>0:00:40:20</t>
  </si>
  <si>
    <t>0:00:40:21</t>
  </si>
  <si>
    <t>0:00:40:22</t>
  </si>
  <si>
    <t>0:00:40:23</t>
  </si>
  <si>
    <t>0:00:40:24</t>
  </si>
  <si>
    <t>0:00:41:00</t>
  </si>
  <si>
    <t>0:00:41:01</t>
  </si>
  <si>
    <t>0:00:41:02</t>
  </si>
  <si>
    <t>0:00:41:03</t>
  </si>
  <si>
    <t>0:00:41:04</t>
  </si>
  <si>
    <t>0:00:41:05</t>
  </si>
  <si>
    <t>0:00:41:06</t>
  </si>
  <si>
    <t>0:00:41:07</t>
  </si>
  <si>
    <t>0:00:41:08</t>
  </si>
  <si>
    <t>0:00:41:09</t>
  </si>
  <si>
    <t>0:00:41:10</t>
  </si>
  <si>
    <t>0:00:41:11</t>
  </si>
  <si>
    <t>0:00:41:12</t>
  </si>
  <si>
    <t>0:00:41:13</t>
  </si>
  <si>
    <t>0:00:41:14</t>
  </si>
  <si>
    <t>0:00:41:15</t>
  </si>
  <si>
    <t>0:00:41:16</t>
  </si>
  <si>
    <t>0:00:41:17</t>
  </si>
  <si>
    <t>0:00:41:18</t>
  </si>
  <si>
    <t>0:00:41:19</t>
  </si>
  <si>
    <t>0:00:41:20</t>
  </si>
  <si>
    <t>0:00:41:21</t>
  </si>
  <si>
    <t>0:00:41:22</t>
  </si>
  <si>
    <t>0:00:41:23</t>
  </si>
  <si>
    <t>0:00:41:24</t>
  </si>
  <si>
    <t>0:00:42:00</t>
  </si>
  <si>
    <t>0:00:42:01</t>
  </si>
  <si>
    <t>0:00:42:02</t>
  </si>
  <si>
    <t>0:00:42:03</t>
  </si>
  <si>
    <t>0:00:42:04</t>
  </si>
  <si>
    <t>0:00:42:05</t>
  </si>
  <si>
    <t>0:00:42:06</t>
  </si>
  <si>
    <t>0:00:42:07</t>
  </si>
  <si>
    <t>0:00:42:08</t>
  </si>
  <si>
    <t>0:00:42:09</t>
  </si>
  <si>
    <t>0:00:42:10</t>
  </si>
  <si>
    <t>0:00:42:11</t>
  </si>
  <si>
    <t>0:00:42:12</t>
  </si>
  <si>
    <t>0:00:42:13</t>
  </si>
  <si>
    <t>0:00:42:14</t>
  </si>
  <si>
    <t>0:00:42:15</t>
  </si>
  <si>
    <t>0:00:42:16</t>
  </si>
  <si>
    <t>0:00:42:17</t>
  </si>
  <si>
    <t>0:00:42:18</t>
  </si>
  <si>
    <t>0:00:42:19</t>
  </si>
  <si>
    <t>0:00:42:20</t>
  </si>
  <si>
    <t>0:00:42:21</t>
  </si>
  <si>
    <t>0:00:42:22</t>
  </si>
  <si>
    <t>0:00:42:23</t>
  </si>
  <si>
    <t>0:00:42:24</t>
  </si>
  <si>
    <t>0:00:43:00</t>
  </si>
  <si>
    <t>0:00:43:01</t>
  </si>
  <si>
    <t>0:00:43:02</t>
  </si>
  <si>
    <t>0:00:43:03</t>
  </si>
  <si>
    <t>0:00:43:04</t>
  </si>
  <si>
    <t>0:00:43:05</t>
  </si>
  <si>
    <t>0:00:43:06</t>
  </si>
  <si>
    <t>0:00:43:07</t>
  </si>
  <si>
    <t>0:00:43:08</t>
  </si>
  <si>
    <t>0:00:43:09</t>
  </si>
  <si>
    <t>0:00:43:10</t>
  </si>
  <si>
    <t>0:00:43:11</t>
  </si>
  <si>
    <t>0:00:43:12</t>
  </si>
  <si>
    <t>0:00:43:13</t>
  </si>
  <si>
    <t>0:00:43:14</t>
  </si>
  <si>
    <t>0:00:43:15</t>
  </si>
  <si>
    <t>0:00:43:16</t>
  </si>
  <si>
    <t>0:00:43:17</t>
  </si>
  <si>
    <t>0:00:43:18</t>
  </si>
  <si>
    <t>0:00:43:19</t>
  </si>
  <si>
    <t>0:00:43:20</t>
  </si>
  <si>
    <t>0:00:43:21</t>
  </si>
  <si>
    <t>0:00:43:22</t>
  </si>
  <si>
    <t>0:00:43:23</t>
  </si>
  <si>
    <t>0:00:43:24</t>
  </si>
  <si>
    <t>0:00:44:00</t>
  </si>
  <si>
    <t>0:00:44:01</t>
  </si>
  <si>
    <t>0:00:44:02</t>
  </si>
  <si>
    <t>0:00:44:03</t>
  </si>
  <si>
    <t>0:00:44:04</t>
  </si>
  <si>
    <t>0:00:44:05</t>
  </si>
  <si>
    <t>0:00:44:06</t>
  </si>
  <si>
    <t>0:00:44:07</t>
  </si>
  <si>
    <t>0:00:44:08</t>
  </si>
  <si>
    <t>0:00:44:09</t>
  </si>
  <si>
    <t>0:00:44:10</t>
  </si>
  <si>
    <t>0:00:44:11</t>
  </si>
  <si>
    <t>0:00:44:12</t>
  </si>
  <si>
    <t>0:00:44:13</t>
  </si>
  <si>
    <t>0:00:44:14</t>
  </si>
  <si>
    <t>0:00:44:15</t>
  </si>
  <si>
    <t>0:00:44:16</t>
  </si>
  <si>
    <t>0:00:44:17</t>
  </si>
  <si>
    <t>0:00:44:18</t>
  </si>
  <si>
    <t>0:00:44:19</t>
  </si>
  <si>
    <t>0:00:44:20</t>
  </si>
  <si>
    <t>0:00:44:21</t>
  </si>
  <si>
    <t>0:00:44:22</t>
  </si>
  <si>
    <t>0:00:44:23</t>
  </si>
  <si>
    <t>0:00:44:24</t>
  </si>
  <si>
    <t>0:00:45:00</t>
  </si>
  <si>
    <t>0:00:45:01</t>
  </si>
  <si>
    <t>0:00:45:02</t>
  </si>
  <si>
    <t>0:00:45:03</t>
  </si>
  <si>
    <t>0:00:45:04</t>
  </si>
  <si>
    <t>0:00:45:05</t>
  </si>
  <si>
    <t>0:00:45:06</t>
  </si>
  <si>
    <t>0:00:45:07</t>
  </si>
  <si>
    <t>0:00:45:08</t>
  </si>
  <si>
    <t>0:00:45:09</t>
  </si>
  <si>
    <t>0:00:45:10</t>
  </si>
  <si>
    <t>0:00:45:11</t>
  </si>
  <si>
    <t>0:00:45:12</t>
  </si>
  <si>
    <t>0:00:45:13</t>
  </si>
  <si>
    <t>0:00:45:14</t>
  </si>
  <si>
    <t>0:00:45:15</t>
  </si>
  <si>
    <t>0:00:45:16</t>
  </si>
  <si>
    <t>0:00:45:17</t>
  </si>
  <si>
    <t>0:00:45:18</t>
  </si>
  <si>
    <t>0:00:45:19</t>
  </si>
  <si>
    <t>0:00:45:20</t>
  </si>
  <si>
    <t>0:00:45:21</t>
  </si>
  <si>
    <t>0:00:45:22</t>
  </si>
  <si>
    <t>0:00:45:23</t>
  </si>
  <si>
    <t>0:00:45:24</t>
  </si>
  <si>
    <t>0:00:46:00</t>
  </si>
  <si>
    <t>0:00:46:01</t>
  </si>
  <si>
    <t>0:00:46:02</t>
  </si>
  <si>
    <t>0:00:46:03</t>
  </si>
  <si>
    <t>0:00:46:04</t>
  </si>
  <si>
    <t>0:00:46:05</t>
  </si>
  <si>
    <t>0:00:46:06</t>
  </si>
  <si>
    <t>0:00:46:07</t>
  </si>
  <si>
    <t>0:00:46:08</t>
  </si>
  <si>
    <t>0:00:46:09</t>
  </si>
  <si>
    <t>0:00:46:10</t>
  </si>
  <si>
    <t>0:00:46:11</t>
  </si>
  <si>
    <t>0:00:46:12</t>
  </si>
  <si>
    <t>0:00:46:13</t>
  </si>
  <si>
    <t>0:00:46:14</t>
  </si>
  <si>
    <t>0:00:46:15</t>
  </si>
  <si>
    <t>0:00:46:16</t>
  </si>
  <si>
    <t>0:00:46:17</t>
  </si>
  <si>
    <t>0:00:46:18</t>
  </si>
  <si>
    <t>0:00:46:19</t>
  </si>
  <si>
    <t>0:00:46:20</t>
  </si>
  <si>
    <t>0:00:46:21</t>
  </si>
  <si>
    <t>0:00:46:22</t>
  </si>
  <si>
    <t>0:00:46:23</t>
  </si>
  <si>
    <t>0:00:46:24</t>
  </si>
  <si>
    <t>0:00:47:00</t>
  </si>
  <si>
    <t>0:00:47:01</t>
  </si>
  <si>
    <t>0:00:47:02</t>
  </si>
  <si>
    <t>0:00:47:03</t>
  </si>
  <si>
    <t>0:00:47:04</t>
  </si>
  <si>
    <t>0:00:47:05</t>
  </si>
  <si>
    <t>0:00:47:06</t>
  </si>
  <si>
    <t>0:00:47:07</t>
  </si>
  <si>
    <t>0:00:47:08</t>
  </si>
  <si>
    <t>0:00:47:09</t>
  </si>
  <si>
    <t>0:00:47:10</t>
  </si>
  <si>
    <t>0:00:47:11</t>
  </si>
  <si>
    <t>0:00:47:12</t>
  </si>
  <si>
    <t>0:00:47:13</t>
  </si>
  <si>
    <t>0:00:47:14</t>
  </si>
  <si>
    <t>0:00:47:15</t>
  </si>
  <si>
    <t>0:00:47:16</t>
  </si>
  <si>
    <t>0:00:47:17</t>
  </si>
  <si>
    <t>0:00:47:18</t>
  </si>
  <si>
    <t>0:00:47:19</t>
  </si>
  <si>
    <t>0:00:47:20</t>
  </si>
  <si>
    <t>0:00:47:21</t>
  </si>
  <si>
    <t>0:00:47:22</t>
  </si>
  <si>
    <t>0:00:47:23</t>
  </si>
  <si>
    <t>0:00:47:24</t>
  </si>
  <si>
    <t>0:00:48:00</t>
  </si>
  <si>
    <t>0:00:48:01</t>
  </si>
  <si>
    <t>0:00:48:02</t>
  </si>
  <si>
    <t>0:00:48:03</t>
  </si>
  <si>
    <t>0:00:48:04</t>
  </si>
  <si>
    <t>0:00:48:05</t>
  </si>
  <si>
    <t>0:00:48:06</t>
  </si>
  <si>
    <t>0:00:48:07</t>
  </si>
  <si>
    <t>0:00:48:08</t>
  </si>
  <si>
    <t>0:00:48:09</t>
  </si>
  <si>
    <t>0:00:48:10</t>
  </si>
  <si>
    <t>0:00:48:11</t>
  </si>
  <si>
    <t>0:00:48:12</t>
  </si>
  <si>
    <t>0:00:48:13</t>
  </si>
  <si>
    <t>0:00:48:14</t>
  </si>
  <si>
    <t>0:00:48:15</t>
  </si>
  <si>
    <t>0:00:48:16</t>
  </si>
  <si>
    <t>0:00:48:17</t>
  </si>
  <si>
    <t>0:00:48:18</t>
  </si>
  <si>
    <t>0:00:48:19</t>
  </si>
  <si>
    <t>0:00:48:20</t>
  </si>
  <si>
    <t>0:00:48:21</t>
  </si>
  <si>
    <t>0:00:48:22</t>
  </si>
  <si>
    <t>0:00:48:23</t>
  </si>
  <si>
    <t>0:00:48:24</t>
  </si>
  <si>
    <t>0:00:49:00</t>
  </si>
  <si>
    <t>0:00:49:01</t>
  </si>
  <si>
    <t>0:00:49:02</t>
  </si>
  <si>
    <t>0:00:49:03</t>
  </si>
  <si>
    <t>0:00:49:04</t>
  </si>
  <si>
    <t>0:00:49:05</t>
  </si>
  <si>
    <t>0:00:49:06</t>
  </si>
  <si>
    <t>0:00:49:07</t>
  </si>
  <si>
    <t>0:00:49:08</t>
  </si>
  <si>
    <t>0:00:49:09</t>
  </si>
  <si>
    <t>0:00:49:10</t>
  </si>
  <si>
    <t>0:00:49:11</t>
  </si>
  <si>
    <t>0:00:49:12</t>
  </si>
  <si>
    <t>0:00:49:13</t>
  </si>
  <si>
    <t>0:00:49:14</t>
  </si>
  <si>
    <t>0:00:49:15</t>
  </si>
  <si>
    <t>0:00:49:16</t>
  </si>
  <si>
    <t>0:00:49:17</t>
  </si>
  <si>
    <t>0:00:49:18</t>
  </si>
  <si>
    <t>0:00:49:19</t>
  </si>
  <si>
    <t>0:00:49:20</t>
  </si>
  <si>
    <t>0:00:49:21</t>
  </si>
  <si>
    <t>0:00:49:22</t>
  </si>
  <si>
    <t>0:00:49:23</t>
  </si>
  <si>
    <t>0:00:49:24</t>
  </si>
  <si>
    <t>0:00:50:00</t>
  </si>
  <si>
    <t>0:00:50:01</t>
  </si>
  <si>
    <t>0:00:50:02</t>
  </si>
  <si>
    <t>0:00:50:03</t>
  </si>
  <si>
    <t>0:00:50:04</t>
  </si>
  <si>
    <t>0:00:50:05</t>
  </si>
  <si>
    <t>0:00:50:06</t>
  </si>
  <si>
    <t>0:00:50:07</t>
  </si>
  <si>
    <t>0:00:50:08</t>
  </si>
  <si>
    <t>0:00:50:09</t>
  </si>
  <si>
    <t>0:00:50:10</t>
  </si>
  <si>
    <t>0:00:50:11</t>
  </si>
  <si>
    <t>0:00:50:12</t>
  </si>
  <si>
    <t>0:00:50:13</t>
  </si>
  <si>
    <t>0:00:50:14</t>
  </si>
  <si>
    <t>0:00:50:15</t>
  </si>
  <si>
    <t>0:00:50:16</t>
  </si>
  <si>
    <t>0:00:50:17</t>
  </si>
  <si>
    <t>0:00:50:18</t>
  </si>
  <si>
    <t>0:00:50:19</t>
  </si>
  <si>
    <t>0:00:50:20</t>
  </si>
  <si>
    <t>0:00:50:21</t>
  </si>
  <si>
    <t>0:00:50:22</t>
  </si>
  <si>
    <t>0:00:50:23</t>
  </si>
  <si>
    <t>0:00:50:24</t>
  </si>
  <si>
    <t>0:00:51:00</t>
  </si>
  <si>
    <t>0:00:51:01</t>
  </si>
  <si>
    <t>0:00:51:02</t>
  </si>
  <si>
    <t>0:00:51:03</t>
  </si>
  <si>
    <t>0:00:51:04</t>
  </si>
  <si>
    <t>0:00:51:05</t>
  </si>
  <si>
    <t>0:00:51:06</t>
  </si>
  <si>
    <t>0:00:51:07</t>
  </si>
  <si>
    <t>0:00:51:08</t>
  </si>
  <si>
    <t>0:00:51:09</t>
  </si>
  <si>
    <t>0:00:51:10</t>
  </si>
  <si>
    <t>0:00:51:11</t>
  </si>
  <si>
    <t>0:00:51:12</t>
  </si>
  <si>
    <t>0:00:51:13</t>
  </si>
  <si>
    <t>0:00:51:14</t>
  </si>
  <si>
    <t>0:00:51:15</t>
  </si>
  <si>
    <t>0:00:51:16</t>
  </si>
  <si>
    <t>0:00:51:17</t>
  </si>
  <si>
    <t>0:00:51:18</t>
  </si>
  <si>
    <t>0:00:51:19</t>
  </si>
  <si>
    <t>0:00:51:20</t>
  </si>
  <si>
    <t>0:00:51:21</t>
  </si>
  <si>
    <t>0:00:51:22</t>
  </si>
  <si>
    <t>0:00:51:23</t>
  </si>
  <si>
    <t>0:00:51:24</t>
  </si>
  <si>
    <t>0:00:52:00</t>
  </si>
  <si>
    <t>0:00:52:01</t>
  </si>
  <si>
    <t>0:00:52:02</t>
  </si>
  <si>
    <t>0:00:52:03</t>
  </si>
  <si>
    <t>0:00:52:04</t>
  </si>
  <si>
    <t>0:00:52:05</t>
  </si>
  <si>
    <t>0:00:52:06</t>
  </si>
  <si>
    <t>0:00:52:07</t>
  </si>
  <si>
    <t>0:00:52:08</t>
  </si>
  <si>
    <t>0:00:52:09</t>
  </si>
  <si>
    <t>0:00:52:10</t>
  </si>
  <si>
    <t>0:00:52:11</t>
  </si>
  <si>
    <t>0:00:52:12</t>
  </si>
  <si>
    <t>0:00:52:13</t>
  </si>
  <si>
    <t>0:00:52:14</t>
  </si>
  <si>
    <t>0:00:52:15</t>
  </si>
  <si>
    <t>0:00:52:16</t>
  </si>
  <si>
    <t>0:00:52:17</t>
  </si>
  <si>
    <t>0:00:52:18</t>
  </si>
  <si>
    <t>0:00:52:19</t>
  </si>
  <si>
    <t>0:00:52:20</t>
  </si>
  <si>
    <t>0:00:52:21</t>
  </si>
  <si>
    <t>0:00:52:22</t>
  </si>
  <si>
    <t>0:00:52:23</t>
  </si>
  <si>
    <t>0:00:52:24</t>
  </si>
  <si>
    <t>0:00:53:00</t>
  </si>
  <si>
    <t>0:00:53:01</t>
  </si>
  <si>
    <t>0:00:53:02</t>
  </si>
  <si>
    <t>0:00:53:03</t>
  </si>
  <si>
    <t>0:00:53:04</t>
  </si>
  <si>
    <t>0:00:53:05</t>
  </si>
  <si>
    <t>0:00:53:06</t>
  </si>
  <si>
    <t>0:00:53:07</t>
  </si>
  <si>
    <t>0:00:53:08</t>
  </si>
  <si>
    <t>0:00:53:09</t>
  </si>
  <si>
    <t>0:00:53:10</t>
  </si>
  <si>
    <t>0:00:53:11</t>
  </si>
  <si>
    <t>0:00:53:12</t>
  </si>
  <si>
    <t>0:00:53:13</t>
  </si>
  <si>
    <t>0:00:53:14</t>
  </si>
  <si>
    <t>0:00:53:15</t>
  </si>
  <si>
    <t>0:00:53:16</t>
  </si>
  <si>
    <t>0:00:53:17</t>
  </si>
  <si>
    <t>0:00:53:18</t>
  </si>
  <si>
    <t>0:00:53:19</t>
  </si>
  <si>
    <t>0:00:53:20</t>
  </si>
  <si>
    <t>0:00:53:21</t>
  </si>
  <si>
    <t>0:00:53:22</t>
  </si>
  <si>
    <t>0:00:53:23</t>
  </si>
  <si>
    <t>0:00:53:24</t>
  </si>
  <si>
    <t>0:00:54:00</t>
  </si>
  <si>
    <t>0:00:54:01</t>
  </si>
  <si>
    <t>0:00:54:02</t>
  </si>
  <si>
    <t>0:00:54:03</t>
  </si>
  <si>
    <t>0:00:54:04</t>
  </si>
  <si>
    <t>0:00:54:05</t>
  </si>
  <si>
    <t>0:00:54:06</t>
  </si>
  <si>
    <t>0:00:54:07</t>
  </si>
  <si>
    <t>0:00:54:08</t>
  </si>
  <si>
    <t>0:00:54:09</t>
  </si>
  <si>
    <t>0:00:54:10</t>
  </si>
  <si>
    <t>0:00:54:11</t>
  </si>
  <si>
    <t>0:00:54:12</t>
  </si>
  <si>
    <t>0:00:54:13</t>
  </si>
  <si>
    <t>0:00:54:14</t>
  </si>
  <si>
    <t>0:00:54:15</t>
  </si>
  <si>
    <t>0:00:54:16</t>
  </si>
  <si>
    <t>0:00:54:17</t>
  </si>
  <si>
    <t>0:00:54:18</t>
  </si>
  <si>
    <t>0:00:54:19</t>
  </si>
  <si>
    <t>0:00:54:20</t>
  </si>
  <si>
    <t>0:00:54:21</t>
  </si>
  <si>
    <t>0:00:54:22</t>
  </si>
  <si>
    <t>0:00:54:23</t>
  </si>
  <si>
    <t>0:00:54:24</t>
  </si>
  <si>
    <t>0:00:55:00</t>
  </si>
  <si>
    <t>0:00:55:01</t>
  </si>
  <si>
    <t>0:00:55:02</t>
  </si>
  <si>
    <t>0:00:55:03</t>
  </si>
  <si>
    <t>0:00:55:04</t>
  </si>
  <si>
    <t>0:00:55:05</t>
  </si>
  <si>
    <t>0:00:55:06</t>
  </si>
  <si>
    <t>0:00:55:07</t>
  </si>
  <si>
    <t>0:00:55:08</t>
  </si>
  <si>
    <t>0:00:55:09</t>
  </si>
  <si>
    <t>0:00:55:10</t>
  </si>
  <si>
    <t>0:00:55:11</t>
  </si>
  <si>
    <t>0:00:55:12</t>
  </si>
  <si>
    <t>0:00:55:13</t>
  </si>
  <si>
    <t>0:00:55:14</t>
  </si>
  <si>
    <t>0:00:55:15</t>
  </si>
  <si>
    <t>0:00:55:16</t>
  </si>
  <si>
    <t>0:00:55:17</t>
  </si>
  <si>
    <t>0:00:55:18</t>
  </si>
  <si>
    <t>0:00:55:19</t>
  </si>
  <si>
    <t>0:00:55:20</t>
  </si>
  <si>
    <t>0:00:55:21</t>
  </si>
  <si>
    <t>0:00:55:22</t>
  </si>
  <si>
    <t>0:00:55:23</t>
  </si>
  <si>
    <t>0:00:55:24</t>
  </si>
  <si>
    <t>0:00:56:00</t>
  </si>
  <si>
    <t>0:00:56:01</t>
  </si>
  <si>
    <t>0:00:56:02</t>
  </si>
  <si>
    <t>0:00:56:03</t>
  </si>
  <si>
    <t>0:00:56:04</t>
  </si>
  <si>
    <t>0:00:56:05</t>
  </si>
  <si>
    <t>0:00:56:06</t>
  </si>
  <si>
    <t>0:00:56:07</t>
  </si>
  <si>
    <t>0:00:56:08</t>
  </si>
  <si>
    <t>0:00:56:09</t>
  </si>
  <si>
    <t>0:00:56:10</t>
  </si>
  <si>
    <t>0:00:56:11</t>
  </si>
  <si>
    <t>0:00:56:12</t>
  </si>
  <si>
    <t>0:00:56:13</t>
  </si>
  <si>
    <t>0:00:56:14</t>
  </si>
  <si>
    <t>0:00:56:15</t>
  </si>
  <si>
    <t>0:00:56:16</t>
  </si>
  <si>
    <t>0:00:56:17</t>
  </si>
  <si>
    <t>0:00:56:18</t>
  </si>
  <si>
    <t>0:00:56:19</t>
  </si>
  <si>
    <t>0:00:56:20</t>
  </si>
  <si>
    <t>0:00:56:21</t>
  </si>
  <si>
    <t>0:00:56:22</t>
  </si>
  <si>
    <t>0:00:56:23</t>
  </si>
  <si>
    <t>0:00:56:24</t>
  </si>
  <si>
    <t>0:00:57:00</t>
  </si>
  <si>
    <t>0:00:57:01</t>
  </si>
  <si>
    <t>0:00:57:02</t>
  </si>
  <si>
    <t>0:00:57:03</t>
  </si>
  <si>
    <t>0:00:57:04</t>
  </si>
  <si>
    <t>0:00:57:05</t>
  </si>
  <si>
    <t>0:00:57:06</t>
  </si>
  <si>
    <t>0:00:57:07</t>
  </si>
  <si>
    <t>0:00:57:08</t>
  </si>
  <si>
    <t>0:00:57:09</t>
  </si>
  <si>
    <t>0:00:57:10</t>
  </si>
  <si>
    <t>0:00:57:11</t>
  </si>
  <si>
    <t>0:00:57:12</t>
  </si>
  <si>
    <t>0:00:57:13</t>
  </si>
  <si>
    <t>0:00:57:14</t>
  </si>
  <si>
    <t>0:00:57:15</t>
  </si>
  <si>
    <t>0:00:57:16</t>
  </si>
  <si>
    <t>0:00:57:17</t>
  </si>
  <si>
    <t>0:00:57:18</t>
  </si>
  <si>
    <t>0:00:57:19</t>
  </si>
  <si>
    <t>0:00:57:20</t>
  </si>
  <si>
    <t>0:00:57:21</t>
  </si>
  <si>
    <t>0:00:57:22</t>
  </si>
  <si>
    <t>0:00:57:23</t>
  </si>
  <si>
    <t>0:00:57:24</t>
  </si>
  <si>
    <t>0:00:58:00</t>
  </si>
  <si>
    <t>0:00:58:01</t>
  </si>
  <si>
    <t>0:00:58:02</t>
  </si>
  <si>
    <t>0:00:58:03</t>
  </si>
  <si>
    <t>0:00:58:04</t>
  </si>
  <si>
    <t>0:00:58:05</t>
  </si>
  <si>
    <t>0:00:58:06</t>
  </si>
  <si>
    <t>0:00:58:07</t>
  </si>
  <si>
    <t>0:00:58:08</t>
  </si>
  <si>
    <t>0:00:58:09</t>
  </si>
  <si>
    <t>0:00:58:10</t>
  </si>
  <si>
    <t>0:00:58:11</t>
  </si>
  <si>
    <t>0:00:58:12</t>
  </si>
  <si>
    <t>0:00:58:13</t>
  </si>
  <si>
    <t>0:00:58:14</t>
  </si>
  <si>
    <t>0:00:58:15</t>
  </si>
  <si>
    <t>0:00:58:16</t>
  </si>
  <si>
    <t>0:00:58:17</t>
  </si>
  <si>
    <t>0:00:58:18</t>
  </si>
  <si>
    <t>0:00:58:19</t>
  </si>
  <si>
    <t>0:00:58:20</t>
  </si>
  <si>
    <t>0:00:58:21</t>
  </si>
  <si>
    <t>0:00:58:22</t>
  </si>
  <si>
    <t>0:00:58:23</t>
  </si>
  <si>
    <t>0:00:58:24</t>
  </si>
  <si>
    <t>0:00:59:00</t>
  </si>
  <si>
    <t>0:00:59:01</t>
  </si>
  <si>
    <t>0:00:59:02</t>
  </si>
  <si>
    <t>0:00:59:03</t>
  </si>
  <si>
    <t>0:00:59:04</t>
  </si>
  <si>
    <t>0:00:59:05</t>
  </si>
  <si>
    <t>0:00:59:06</t>
  </si>
  <si>
    <t>0:00:59:07</t>
  </si>
  <si>
    <t>0:00:59:08</t>
  </si>
  <si>
    <t>0:00:59:09</t>
  </si>
  <si>
    <t>0:00:59:10</t>
  </si>
  <si>
    <t>0:00:59:11</t>
  </si>
  <si>
    <t>0:00:59:12</t>
  </si>
  <si>
    <t>0:00:59:13</t>
  </si>
  <si>
    <t>0:00:59:14</t>
  </si>
  <si>
    <t>0:00:59:15</t>
  </si>
  <si>
    <t>0:00:59:16</t>
  </si>
  <si>
    <t>0:00:59:17</t>
  </si>
  <si>
    <t>0:00:59:18</t>
  </si>
  <si>
    <t>0:00:59:19</t>
  </si>
  <si>
    <t>0:00:59:20</t>
  </si>
  <si>
    <t>0:00:59:21</t>
  </si>
  <si>
    <t>0:00:59:22</t>
  </si>
  <si>
    <t>0:00:59:23</t>
  </si>
  <si>
    <t>0:00:59:24</t>
  </si>
  <si>
    <t>0:01:00:00</t>
  </si>
  <si>
    <t>0:01:00:01</t>
  </si>
  <si>
    <t>0:01:00:02</t>
  </si>
  <si>
    <t>0:01:00:03</t>
  </si>
  <si>
    <t>0:01:00:04</t>
  </si>
  <si>
    <t>0:01:00:05</t>
  </si>
  <si>
    <t>0:01:00:06</t>
  </si>
  <si>
    <t>0:01:00:07</t>
  </si>
  <si>
    <t>0:01:00:08</t>
  </si>
  <si>
    <t>0:01:00:09</t>
  </si>
  <si>
    <t>0:01:00:10</t>
  </si>
  <si>
    <t>0:01:00:11</t>
  </si>
  <si>
    <t>0:01:00:12</t>
  </si>
  <si>
    <t>0:01:00:13</t>
  </si>
  <si>
    <t>0:01:00:14</t>
  </si>
  <si>
    <t>0:01:00:15</t>
  </si>
  <si>
    <t>0:01:00:16</t>
  </si>
  <si>
    <t>0:01:00:17</t>
  </si>
  <si>
    <t>0:01:00:18</t>
  </si>
  <si>
    <t>0:01:00:19</t>
  </si>
  <si>
    <t>0:01:00:20</t>
  </si>
  <si>
    <t>0:01:00:21</t>
  </si>
  <si>
    <t>0:01:00:22</t>
  </si>
  <si>
    <t>0:01:00:23</t>
  </si>
  <si>
    <t>0:01:00:24</t>
  </si>
  <si>
    <t>0:01:01:00</t>
  </si>
  <si>
    <t>0:01:01:01</t>
  </si>
  <si>
    <t>0:01:01:02</t>
  </si>
  <si>
    <t>0:01:01:03</t>
  </si>
  <si>
    <t>0:01:01:04</t>
  </si>
  <si>
    <t>0:01:01:05</t>
  </si>
  <si>
    <t>0:01:01:06</t>
  </si>
  <si>
    <t>0:01:01:07</t>
  </si>
  <si>
    <t>0:01:01:08</t>
  </si>
  <si>
    <t>0:01:01:09</t>
  </si>
  <si>
    <t>0:01:01:10</t>
  </si>
  <si>
    <t>0:01:01:11</t>
  </si>
  <si>
    <t>0:01:01:12</t>
  </si>
  <si>
    <t>0:01:01:13</t>
  </si>
  <si>
    <t>0:01:01:14</t>
  </si>
  <si>
    <t>0:01:01:15</t>
  </si>
  <si>
    <t>0:01:01:16</t>
  </si>
  <si>
    <t>0:01:01:17</t>
  </si>
  <si>
    <t>0:01:01:18</t>
  </si>
  <si>
    <t>0:01:01:19</t>
  </si>
  <si>
    <t>0:01:01:20</t>
  </si>
  <si>
    <t>0:01:01:21</t>
  </si>
  <si>
    <t>0:01:01:22</t>
  </si>
  <si>
    <t>0:01:01:23</t>
  </si>
  <si>
    <t>0:01:01:24</t>
  </si>
  <si>
    <t>0:01:02:00</t>
  </si>
  <si>
    <t>0:01:02:01</t>
  </si>
  <si>
    <t>0:01:02:02</t>
  </si>
  <si>
    <t>0:01:02:03</t>
  </si>
  <si>
    <t>0:01:02:04</t>
  </si>
  <si>
    <t>0:01:02:05</t>
  </si>
  <si>
    <t>0:01:02:06</t>
  </si>
  <si>
    <t>0:01:02:07</t>
  </si>
  <si>
    <t>0:01:02:08</t>
  </si>
  <si>
    <t>0:01:02:09</t>
  </si>
  <si>
    <t>0:01:02:10</t>
  </si>
  <si>
    <t>0:01:02:11</t>
  </si>
  <si>
    <t>0:01:02:12</t>
  </si>
  <si>
    <t>0:01:02:13</t>
  </si>
  <si>
    <t>0:01:02:14</t>
  </si>
  <si>
    <t>0:01:02:15</t>
  </si>
  <si>
    <t>0:01:02:16</t>
  </si>
  <si>
    <t>0:01:02:17</t>
  </si>
  <si>
    <t>0:01:02:18</t>
  </si>
  <si>
    <t>0:01:02:19</t>
  </si>
  <si>
    <t>0:01:02:20</t>
  </si>
  <si>
    <t>0:01:02:21</t>
  </si>
  <si>
    <t>0:01:02:22</t>
  </si>
  <si>
    <t>0:01:02:23</t>
  </si>
  <si>
    <t>0:01:02:24</t>
  </si>
  <si>
    <t>0:01:03:00</t>
  </si>
  <si>
    <t>0:01:03:01</t>
  </si>
  <si>
    <t>0:01:03:02</t>
  </si>
  <si>
    <t>0:01:03:03</t>
  </si>
  <si>
    <t>0:01:03:04</t>
  </si>
  <si>
    <t>0:01:03:05</t>
  </si>
  <si>
    <t>0:01:03:06</t>
  </si>
  <si>
    <t>0:01:03:07</t>
  </si>
  <si>
    <t>0:01:03:08</t>
  </si>
  <si>
    <t>0:01:03:09</t>
  </si>
  <si>
    <t>0:01:03:10</t>
  </si>
  <si>
    <t>0:01:03:11</t>
  </si>
  <si>
    <t>0:01:03:12</t>
  </si>
  <si>
    <t>0:01:03:13</t>
  </si>
  <si>
    <t>0:01:03:14</t>
  </si>
  <si>
    <t>0:01:03:15</t>
  </si>
  <si>
    <t>0:01:03:16</t>
  </si>
  <si>
    <t>0:01:03:17</t>
  </si>
  <si>
    <t>0:01:03:18</t>
  </si>
  <si>
    <t>0:01:03:19</t>
  </si>
  <si>
    <t>0:01:03:20</t>
  </si>
  <si>
    <t>0:01:03:21</t>
  </si>
  <si>
    <t>0:01:03:22</t>
  </si>
  <si>
    <t>0:01:03:23</t>
  </si>
  <si>
    <t>0:01:03:24</t>
  </si>
  <si>
    <t>0:01:04:00</t>
  </si>
  <si>
    <t>0:01:04:01</t>
  </si>
  <si>
    <t>0:01:04:02</t>
  </si>
  <si>
    <t>0:01:04:03</t>
  </si>
  <si>
    <t>0:01:04:04</t>
  </si>
  <si>
    <t>0:01:04:05</t>
  </si>
  <si>
    <t>0:01:04:06</t>
  </si>
  <si>
    <t>0:01:04:07</t>
  </si>
  <si>
    <t>0:01:04:08</t>
  </si>
  <si>
    <t>0:01:04:09</t>
  </si>
  <si>
    <t>0:01:04:10</t>
  </si>
  <si>
    <t>0:01:04:11</t>
  </si>
  <si>
    <t>0:01:04:12</t>
  </si>
  <si>
    <t>0:01:04:13</t>
  </si>
  <si>
    <t>0:01:04:14</t>
  </si>
  <si>
    <t>0:01:04:15</t>
  </si>
  <si>
    <t>0:01:04:16</t>
  </si>
  <si>
    <t>0:01:04:17</t>
  </si>
  <si>
    <t>0:01:04:18</t>
  </si>
  <si>
    <t>0:01:04:19</t>
  </si>
  <si>
    <t>0:01:04:20</t>
  </si>
  <si>
    <t>0:01:04:21</t>
  </si>
  <si>
    <t>0:01:04:22</t>
  </si>
  <si>
    <t>0:01:04:23</t>
  </si>
  <si>
    <t>0:01:04:24</t>
  </si>
  <si>
    <t>0:01:05:00</t>
  </si>
  <si>
    <t>0:01:05:01</t>
  </si>
  <si>
    <t>0:01:05:02</t>
  </si>
  <si>
    <t>0:01:05:03</t>
  </si>
  <si>
    <t>0:01:05:04</t>
  </si>
  <si>
    <t>0:01:05:05</t>
  </si>
  <si>
    <t>0:01:05:06</t>
  </si>
  <si>
    <t>0:01:05:07</t>
  </si>
  <si>
    <t>0:01:05:08</t>
  </si>
  <si>
    <t>0:01:05:09</t>
  </si>
  <si>
    <t>0:01:05:10</t>
  </si>
  <si>
    <t>0:01:05:11</t>
  </si>
  <si>
    <t>0:01:05:12</t>
  </si>
  <si>
    <t>0:01:05:13</t>
  </si>
  <si>
    <t>0:01:05:14</t>
  </si>
  <si>
    <t>0:01:05:15</t>
  </si>
  <si>
    <t>0:01:05:16</t>
  </si>
  <si>
    <t>0:01:05:17</t>
  </si>
  <si>
    <t>0:01:05:18</t>
  </si>
  <si>
    <t>0:01:05:19</t>
  </si>
  <si>
    <t>0:01:05:20</t>
  </si>
  <si>
    <t>0:01:05:21</t>
  </si>
  <si>
    <t>0:01:05:22</t>
  </si>
  <si>
    <t>0:01:05:23</t>
  </si>
  <si>
    <t>0:01:05:24</t>
  </si>
  <si>
    <t>0:01:06:00</t>
  </si>
  <si>
    <t>0:01:06:01</t>
  </si>
  <si>
    <t>0:01:06:02</t>
  </si>
  <si>
    <t>0:01:06:03</t>
  </si>
  <si>
    <t>0:01:06:04</t>
  </si>
  <si>
    <t>0:01:06:05</t>
  </si>
  <si>
    <t>0:01:06:06</t>
  </si>
  <si>
    <t>0:01:06:07</t>
  </si>
  <si>
    <t>0:01:06:08</t>
  </si>
  <si>
    <t>0:01:06:09</t>
  </si>
  <si>
    <t>0:01:06:10</t>
  </si>
  <si>
    <t>0:01:06:11</t>
  </si>
  <si>
    <t>0:01:06:12</t>
  </si>
  <si>
    <t>0:01:06:13</t>
  </si>
  <si>
    <t>0:01:06:14</t>
  </si>
  <si>
    <t>0:01:06:15</t>
  </si>
  <si>
    <t>0:01:06:16</t>
  </si>
  <si>
    <t>0:01:06:17</t>
  </si>
  <si>
    <t>0:01:06:18</t>
  </si>
  <si>
    <t>0:01:06:19</t>
  </si>
  <si>
    <t>0:01:06:20</t>
  </si>
  <si>
    <t>0:01:06:21</t>
  </si>
  <si>
    <t>0:01:06:22</t>
  </si>
  <si>
    <t>0:01:06:23</t>
  </si>
  <si>
    <t>0:01:06:24</t>
  </si>
  <si>
    <t>0:01:07:00</t>
  </si>
  <si>
    <t>0:01:07:01</t>
  </si>
  <si>
    <t>0:01:07:02</t>
  </si>
  <si>
    <t>0:01:07:03</t>
  </si>
  <si>
    <t>0:01:07:04</t>
  </si>
  <si>
    <t>0:01:07:05</t>
  </si>
  <si>
    <t>0:01:07:06</t>
  </si>
  <si>
    <t>0:01:07:07</t>
  </si>
  <si>
    <t>0:01:07:08</t>
  </si>
  <si>
    <t>0:01:07:09</t>
  </si>
  <si>
    <t>0:01:07:10</t>
  </si>
  <si>
    <t>0:01:07:11</t>
  </si>
  <si>
    <t>0:01:07:12</t>
  </si>
  <si>
    <t>0:01:07:13</t>
  </si>
  <si>
    <t>0:01:07:14</t>
  </si>
  <si>
    <t>0:01:07:15</t>
  </si>
  <si>
    <t>0:01:07:16</t>
  </si>
  <si>
    <t>0:01:07:17</t>
  </si>
  <si>
    <t>0:01:07:18</t>
  </si>
  <si>
    <t>0:01:07:19</t>
  </si>
  <si>
    <t>0:01:07:20</t>
  </si>
  <si>
    <t>0:01:07:21</t>
  </si>
  <si>
    <t>0:01:07:22</t>
  </si>
  <si>
    <t>0:01:07:23</t>
  </si>
  <si>
    <t>0:01:07:24</t>
  </si>
  <si>
    <t>0:01:08:00</t>
  </si>
  <si>
    <t>0:01:08:01</t>
  </si>
  <si>
    <t>0:01:08:02</t>
  </si>
  <si>
    <t>0:01:08:03</t>
  </si>
  <si>
    <t>0:01:08:04</t>
  </si>
  <si>
    <t>0:01:08:05</t>
  </si>
  <si>
    <t>0:01:08:06</t>
  </si>
  <si>
    <t>0:01:08:07</t>
  </si>
  <si>
    <t>0:01:08:08</t>
  </si>
  <si>
    <t>0:01:08:09</t>
  </si>
  <si>
    <t>0:01:08:10</t>
  </si>
  <si>
    <t>0:01:08:11</t>
  </si>
  <si>
    <t>0:01:08:12</t>
  </si>
  <si>
    <t>0:01:08:13</t>
  </si>
  <si>
    <t>0:01:08:14</t>
  </si>
  <si>
    <t>0:01:08:15</t>
  </si>
  <si>
    <t>0:01:08:16</t>
  </si>
  <si>
    <t>0:01:08:17</t>
  </si>
  <si>
    <t>0:01:08:18</t>
  </si>
  <si>
    <t>0:01:08:19</t>
  </si>
  <si>
    <t>0:01:08:20</t>
  </si>
  <si>
    <t>0:01:08:21</t>
  </si>
  <si>
    <t>0:01:08:22</t>
  </si>
  <si>
    <t>0:01:08:23</t>
  </si>
  <si>
    <t>0:01:08:24</t>
  </si>
  <si>
    <t>0:01:09:00</t>
  </si>
  <si>
    <t>0:01:09:01</t>
  </si>
  <si>
    <t>0:01:09:02</t>
  </si>
  <si>
    <t>0:01:09:03</t>
  </si>
  <si>
    <t>0:01:09:04</t>
  </si>
  <si>
    <t>0:01:09:05</t>
  </si>
  <si>
    <t>0:01:09:06</t>
  </si>
  <si>
    <t>0:01:09:07</t>
  </si>
  <si>
    <t>0:01:09:08</t>
  </si>
  <si>
    <t>0:01:09:09</t>
  </si>
  <si>
    <t>0:01:09:10</t>
  </si>
  <si>
    <t>0:01:09:11</t>
  </si>
  <si>
    <t>0:01:09:12</t>
  </si>
  <si>
    <t>0:01:09:13</t>
  </si>
  <si>
    <t>0:01:09:14</t>
  </si>
  <si>
    <t>0:01:09:15</t>
  </si>
  <si>
    <t>0:01:09:16</t>
  </si>
  <si>
    <t>0:01:09:17</t>
  </si>
  <si>
    <t>0:01:09:18</t>
  </si>
  <si>
    <t>0:01:09:19</t>
  </si>
  <si>
    <t>0:01:09:20</t>
  </si>
  <si>
    <t>0:01:09:21</t>
  </si>
  <si>
    <t>0:01:09:22</t>
  </si>
  <si>
    <t>0:01:09:23</t>
  </si>
  <si>
    <t>0:01:09:24</t>
  </si>
  <si>
    <t>0:01:10:00</t>
  </si>
  <si>
    <t>0:01:10:01</t>
  </si>
  <si>
    <t>0:01:10:02</t>
  </si>
  <si>
    <t>0:01:10:03</t>
  </si>
  <si>
    <t>0:01:10:04</t>
  </si>
  <si>
    <t>0:01:10:05</t>
  </si>
  <si>
    <t>0:01:10:06</t>
  </si>
  <si>
    <t>0:01:10:07</t>
  </si>
  <si>
    <t>0:01:10:08</t>
  </si>
  <si>
    <t>0:01:10:09</t>
  </si>
  <si>
    <t>0:01:10:10</t>
  </si>
  <si>
    <t>0:01:10:11</t>
  </si>
  <si>
    <t>0:01:10:12</t>
  </si>
  <si>
    <t>0:01:10:13</t>
  </si>
  <si>
    <t>0:01:10:14</t>
  </si>
  <si>
    <t>0:01:10:15</t>
  </si>
  <si>
    <t>0:01:10:16</t>
  </si>
  <si>
    <t>0:01:10:17</t>
  </si>
  <si>
    <t>0:01:10:18</t>
  </si>
  <si>
    <t>0:01:10:19</t>
  </si>
  <si>
    <t>0:01:10:20</t>
  </si>
  <si>
    <t>0:01:10:21</t>
  </si>
  <si>
    <t>0:01:10:22</t>
  </si>
  <si>
    <t>0:01:10:23</t>
  </si>
  <si>
    <t>0:01:10:24</t>
  </si>
  <si>
    <t>0:01:11:00</t>
  </si>
  <si>
    <t>0:01:11:01</t>
  </si>
  <si>
    <t>0:01:11:02</t>
  </si>
  <si>
    <t>0:01:11:03</t>
  </si>
  <si>
    <t>0:01:11:04</t>
  </si>
  <si>
    <t>0:01:11:05</t>
  </si>
  <si>
    <t>0:01:11:06</t>
  </si>
  <si>
    <t>0:01:11:07</t>
  </si>
  <si>
    <t>0:01:11:08</t>
  </si>
  <si>
    <t>0:01:11:09</t>
  </si>
  <si>
    <t>0:01:11:10</t>
  </si>
  <si>
    <t>0:01:11:11</t>
  </si>
  <si>
    <t>0:01:11:12</t>
  </si>
  <si>
    <t>0:01:11:13</t>
  </si>
  <si>
    <t>0:01:11:14</t>
  </si>
  <si>
    <t>0:01:11:15</t>
  </si>
  <si>
    <t>0:01:11:16</t>
  </si>
  <si>
    <t>0:01:11:17</t>
  </si>
  <si>
    <t>0:01:11:18</t>
  </si>
  <si>
    <t>0:01:11:19</t>
  </si>
  <si>
    <t>0:01:11:20</t>
  </si>
  <si>
    <t>0:01:11:21</t>
  </si>
  <si>
    <t>0:01:11:22</t>
  </si>
  <si>
    <t>0:01:11:23</t>
  </si>
  <si>
    <t>0:01:11:24</t>
  </si>
  <si>
    <t>0:01:12:00</t>
  </si>
  <si>
    <t>0:01:12:01</t>
  </si>
  <si>
    <t>0:01:12:02</t>
  </si>
  <si>
    <t>0:01:12:03</t>
  </si>
  <si>
    <t>0:01:12:04</t>
  </si>
  <si>
    <t>0:01:12:05</t>
  </si>
  <si>
    <t>0:01:12:06</t>
  </si>
  <si>
    <t>0:01:12:07</t>
  </si>
  <si>
    <t>0:01:12:08</t>
  </si>
  <si>
    <t>0:01:12:09</t>
  </si>
  <si>
    <t>0:01:12:10</t>
  </si>
  <si>
    <t>0:01:12:11</t>
  </si>
  <si>
    <t>0:01:12:12</t>
  </si>
  <si>
    <t>0:01:12:13</t>
  </si>
  <si>
    <t>0:01:12:14</t>
  </si>
  <si>
    <t>0:01:12:15</t>
  </si>
  <si>
    <t>0:01:12:16</t>
  </si>
  <si>
    <t>0:01:12:17</t>
  </si>
  <si>
    <t>0:01:12:18</t>
  </si>
  <si>
    <t>0:01:12:19</t>
  </si>
  <si>
    <t>0:01:12:20</t>
  </si>
  <si>
    <t>0:01:12:21</t>
  </si>
  <si>
    <t>0:01:12:22</t>
  </si>
  <si>
    <t>0:01:12:23</t>
  </si>
  <si>
    <t>0:01:12:24</t>
  </si>
  <si>
    <t>0:01:13:00</t>
  </si>
  <si>
    <t>0:01:13:01</t>
  </si>
  <si>
    <t>0:01:13:02</t>
  </si>
  <si>
    <t>0:01:13:03</t>
  </si>
  <si>
    <t>0:01:13:04</t>
  </si>
  <si>
    <t>0:01:13:05</t>
  </si>
  <si>
    <t>0:01:13:06</t>
  </si>
  <si>
    <t>0:01:13:07</t>
  </si>
  <si>
    <t>0:01:13:08</t>
  </si>
  <si>
    <t>0:01:13:09</t>
  </si>
  <si>
    <t>0:01:13:10</t>
  </si>
  <si>
    <t>0:01:13:11</t>
  </si>
  <si>
    <t>0:01:13:12</t>
  </si>
  <si>
    <t>0:01:13:13</t>
  </si>
  <si>
    <t>0:01:13:14</t>
  </si>
  <si>
    <t>0:01:13:15</t>
  </si>
  <si>
    <t>0:01:13:16</t>
  </si>
  <si>
    <t>0:01:13:17</t>
  </si>
  <si>
    <t>0:01:13:18</t>
  </si>
  <si>
    <t>0:01:13:19</t>
  </si>
  <si>
    <t>0:01:13:20</t>
  </si>
  <si>
    <t>0:01:13:21</t>
  </si>
  <si>
    <t>0:01:13:22</t>
  </si>
  <si>
    <t>0:01:13:23</t>
  </si>
  <si>
    <t>0:01:13:24</t>
  </si>
  <si>
    <t>0:01:14:00</t>
  </si>
  <si>
    <t>0:01:14:01</t>
  </si>
  <si>
    <t>0:01:14:02</t>
  </si>
  <si>
    <t>0:01:14:03</t>
  </si>
  <si>
    <t>0:01:14:04</t>
  </si>
  <si>
    <t>0:01:14:05</t>
  </si>
  <si>
    <t>0:01:14:06</t>
  </si>
  <si>
    <t>0:01:14:07</t>
  </si>
  <si>
    <t>0:01:14:08</t>
  </si>
  <si>
    <t>0:01:14:09</t>
  </si>
  <si>
    <t>0:01:14:10</t>
  </si>
  <si>
    <t>0:01:14:11</t>
  </si>
  <si>
    <t>0:01:14:12</t>
  </si>
  <si>
    <t>0:01:14:13</t>
  </si>
  <si>
    <t>0:01:14:14</t>
  </si>
  <si>
    <t>0:01:14:15</t>
  </si>
  <si>
    <t>0:01:14:16</t>
  </si>
  <si>
    <t>0:01:14:17</t>
  </si>
  <si>
    <t>0:01:14:18</t>
  </si>
  <si>
    <t>0:01:14:19</t>
  </si>
  <si>
    <t>0:01:14:20</t>
  </si>
  <si>
    <t>0:01:14:21</t>
  </si>
  <si>
    <t>0:01:14:22</t>
  </si>
  <si>
    <t>0:01:14:23</t>
  </si>
  <si>
    <t>0:01:14:24</t>
  </si>
  <si>
    <t>0:01:15:00</t>
  </si>
  <si>
    <t>0:01:15:01</t>
  </si>
  <si>
    <t>0:01:15:02</t>
  </si>
  <si>
    <t>0:01:15:03</t>
  </si>
  <si>
    <t>0:01:15:04</t>
  </si>
  <si>
    <t>0:01:15:05</t>
  </si>
  <si>
    <t>0:01:15:06</t>
  </si>
  <si>
    <t>0:01:15:07</t>
  </si>
  <si>
    <t>0:01:15:08</t>
  </si>
  <si>
    <t>0:01:15:09</t>
  </si>
  <si>
    <t>0:01:15:10</t>
  </si>
  <si>
    <t>0:01:15:11</t>
  </si>
  <si>
    <t>0:01:15:12</t>
  </si>
  <si>
    <t>0:01:15:13</t>
  </si>
  <si>
    <t>0:01:15:14</t>
  </si>
  <si>
    <t>0:01:15:15</t>
  </si>
  <si>
    <t>0:01:15:16</t>
  </si>
  <si>
    <t>0:01:15:17</t>
  </si>
  <si>
    <t>0:01:15:18</t>
  </si>
  <si>
    <t>0:01:15:19</t>
  </si>
  <si>
    <t>0:01:15:20</t>
  </si>
  <si>
    <t>0:01:15:21</t>
  </si>
  <si>
    <t>0:01:15:22</t>
  </si>
  <si>
    <t>0:01:15:23</t>
  </si>
  <si>
    <t>0:01:15:24</t>
  </si>
  <si>
    <t>0:01:16:00</t>
  </si>
  <si>
    <t>0:01:16:01</t>
  </si>
  <si>
    <t>0:01:16:02</t>
  </si>
  <si>
    <t>0:01:16:03</t>
  </si>
  <si>
    <t>0:01:16:04</t>
  </si>
  <si>
    <t>0:01:16:05</t>
  </si>
  <si>
    <t>0:01:16:06</t>
  </si>
  <si>
    <t>0:01:16:07</t>
  </si>
  <si>
    <t>0:01:16:08</t>
  </si>
  <si>
    <t>0:01:16:09</t>
  </si>
  <si>
    <t>0:01:16:10</t>
  </si>
  <si>
    <t>0:01:16:11</t>
  </si>
  <si>
    <t>0:01:16:12</t>
  </si>
  <si>
    <t>0:01:16:13</t>
  </si>
  <si>
    <t>0:01:16:14</t>
  </si>
  <si>
    <t>0:01:16:15</t>
  </si>
  <si>
    <t>0:01:16:16</t>
  </si>
  <si>
    <t>0:01:16:17</t>
  </si>
  <si>
    <t>0:01:16:18</t>
  </si>
  <si>
    <t>0:01:16:19</t>
  </si>
  <si>
    <t>0:01:16:20</t>
  </si>
  <si>
    <t>0:01:16:21</t>
  </si>
  <si>
    <t>0:01:16:22</t>
  </si>
  <si>
    <t>0:01:16:23</t>
  </si>
  <si>
    <t>0:01:16:24</t>
  </si>
  <si>
    <t>0:01:17:00</t>
  </si>
  <si>
    <t>0:01:17:01</t>
  </si>
  <si>
    <t>0:01:17:02</t>
  </si>
  <si>
    <t>0:01:17:03</t>
  </si>
  <si>
    <t>0:01:17:04</t>
  </si>
  <si>
    <t>0:01:17:05</t>
  </si>
  <si>
    <t>0:01:17:06</t>
  </si>
  <si>
    <t>0:01:17:07</t>
  </si>
  <si>
    <t>0:01:17:08</t>
  </si>
  <si>
    <t>0:01:17:09</t>
  </si>
  <si>
    <t>0:01:17:10</t>
  </si>
  <si>
    <t>0:01:17:11</t>
  </si>
  <si>
    <t>0:01:17:12</t>
  </si>
  <si>
    <t>0:01:17:13</t>
  </si>
  <si>
    <t>0:01:17:14</t>
  </si>
  <si>
    <t>0:01:17:15</t>
  </si>
  <si>
    <t>0:01:17:16</t>
  </si>
  <si>
    <t>0:01:17:17</t>
  </si>
  <si>
    <t>0:01:17:18</t>
  </si>
  <si>
    <t>0:01:17:19</t>
  </si>
  <si>
    <t>0:01:17:20</t>
  </si>
  <si>
    <t>0:01:17:21</t>
  </si>
  <si>
    <t>0:01:17:22</t>
  </si>
  <si>
    <t>0:01:17:23</t>
  </si>
  <si>
    <t>0:01:17:24</t>
  </si>
  <si>
    <t>0:01:18:00</t>
  </si>
  <si>
    <t>0:01:18:01</t>
  </si>
  <si>
    <t>0:01:18:02</t>
  </si>
  <si>
    <t>0:01:18:03</t>
  </si>
  <si>
    <t>0:01:18:04</t>
  </si>
  <si>
    <t>0:01:18:05</t>
  </si>
  <si>
    <t>0:01:18:06</t>
  </si>
  <si>
    <t>0:01:18:07</t>
  </si>
  <si>
    <t>0:01:18:08</t>
  </si>
  <si>
    <t>0:01:18:09</t>
  </si>
  <si>
    <t>0:01:18:10</t>
  </si>
  <si>
    <t>0:01:18:11</t>
  </si>
  <si>
    <t>0:01:18:12</t>
  </si>
  <si>
    <t>0:01:18:13</t>
  </si>
  <si>
    <t>0:01:18:14</t>
  </si>
  <si>
    <t>0:01:18:15</t>
  </si>
  <si>
    <t>0:01:18:16</t>
  </si>
  <si>
    <t>0:01:18:17</t>
  </si>
  <si>
    <t>0:01:18:18</t>
  </si>
  <si>
    <t>0:01:18:19</t>
  </si>
  <si>
    <t>0:01:18:20</t>
  </si>
  <si>
    <t>0:01:18:21</t>
  </si>
  <si>
    <t>0:01:18:22</t>
  </si>
  <si>
    <t>0:01:18:23</t>
  </si>
  <si>
    <t>0:01:18:24</t>
  </si>
  <si>
    <t>0:01:19:00</t>
  </si>
  <si>
    <t>0:01:19:01</t>
  </si>
  <si>
    <t>0:01:19:02</t>
  </si>
  <si>
    <t>0:01:19:03</t>
  </si>
  <si>
    <t>0:01:19:04</t>
  </si>
  <si>
    <t>0:01:19:05</t>
  </si>
  <si>
    <t>0:01:19:06</t>
  </si>
  <si>
    <t>0:01:19:07</t>
  </si>
  <si>
    <t>0:01:19:08</t>
  </si>
  <si>
    <t>0:01:19:09</t>
  </si>
  <si>
    <t>0:01:19:10</t>
  </si>
  <si>
    <t>0:01:19:11</t>
  </si>
  <si>
    <t>0:01:19:12</t>
  </si>
  <si>
    <t>0:01:19:13</t>
  </si>
  <si>
    <t>0:01:19:14</t>
  </si>
  <si>
    <t>0:01:19:15</t>
  </si>
  <si>
    <t>0:01:19:16</t>
  </si>
  <si>
    <t>0:01:19:17</t>
  </si>
  <si>
    <t>0:01:19:18</t>
  </si>
  <si>
    <t>0:01:19:19</t>
  </si>
  <si>
    <t>0:01:19:20</t>
  </si>
  <si>
    <t>0:01:19:21</t>
  </si>
  <si>
    <t>0:01:19:22</t>
  </si>
  <si>
    <t>0:01:19:23</t>
  </si>
  <si>
    <t>0:01:19:24</t>
  </si>
  <si>
    <t>0:01:20:00</t>
  </si>
  <si>
    <t>0:01:20:01</t>
  </si>
  <si>
    <t>0:01:20:02</t>
  </si>
  <si>
    <t>0:01:20:03</t>
  </si>
  <si>
    <t>0:01:20:04</t>
  </si>
  <si>
    <t>0:01:20:05</t>
  </si>
  <si>
    <t>0:01:20:06</t>
  </si>
  <si>
    <t>0:01:20:07</t>
  </si>
  <si>
    <t>0:01:20:08</t>
  </si>
  <si>
    <t>0:01:20:09</t>
  </si>
  <si>
    <t>0:01:20:10</t>
  </si>
  <si>
    <t>0:01:20:11</t>
  </si>
  <si>
    <t>0:01:20:12</t>
  </si>
  <si>
    <t>0:01:20:13</t>
  </si>
  <si>
    <t>0:01:20:14</t>
  </si>
  <si>
    <t>0:01:20:15</t>
  </si>
  <si>
    <t>0:01:20:16</t>
  </si>
  <si>
    <t>0:01:20:17</t>
  </si>
  <si>
    <t>0:01:20:18</t>
  </si>
  <si>
    <t>0:01:20:19</t>
  </si>
  <si>
    <t>0:01:20:20</t>
  </si>
  <si>
    <t>0:01:20:21</t>
  </si>
  <si>
    <t>0:01:20:22</t>
  </si>
  <si>
    <t>0:01:20:23</t>
  </si>
  <si>
    <t>0:01:20:24</t>
  </si>
  <si>
    <t>0:01:21:00</t>
  </si>
  <si>
    <t>0:01:21:01</t>
  </si>
  <si>
    <t>0:01:21:02</t>
  </si>
  <si>
    <t>0:01:21:03</t>
  </si>
  <si>
    <t>0:01:21:04</t>
  </si>
  <si>
    <t>0:01:21:05</t>
  </si>
  <si>
    <t>0:01:21:06</t>
  </si>
  <si>
    <t>0:01:21:07</t>
  </si>
  <si>
    <t>0:01:21:08</t>
  </si>
  <si>
    <t>0:01:21:09</t>
  </si>
  <si>
    <t>0:01:21:10</t>
  </si>
  <si>
    <t>0:01:21:11</t>
  </si>
  <si>
    <t>0:01:21:12</t>
  </si>
  <si>
    <t>0:01:21:13</t>
  </si>
  <si>
    <t>0:01:21:14</t>
  </si>
  <si>
    <t>0:01:21:15</t>
  </si>
  <si>
    <t>0:01:21:16</t>
  </si>
  <si>
    <t>0:01:21:17</t>
  </si>
  <si>
    <t>0:01:21:18</t>
  </si>
  <si>
    <t>0:01:21:19</t>
  </si>
  <si>
    <t>0:01:21:20</t>
  </si>
  <si>
    <t>0:01:21:21</t>
  </si>
  <si>
    <t>0:01:21:22</t>
  </si>
  <si>
    <t>0:01:21:23</t>
  </si>
  <si>
    <t>0:01:21:24</t>
  </si>
  <si>
    <t>0:01:22:00</t>
  </si>
  <si>
    <t>0:01:22:01</t>
  </si>
  <si>
    <t>0:01:22:02</t>
  </si>
  <si>
    <t>0:01:22:03</t>
  </si>
  <si>
    <t>0:01:22:04</t>
  </si>
  <si>
    <t>0:01:22:05</t>
  </si>
  <si>
    <t>0:01:22:06</t>
  </si>
  <si>
    <t>0:01:22:07</t>
  </si>
  <si>
    <t>0:01:22:08</t>
  </si>
  <si>
    <t>0:01:22:09</t>
  </si>
  <si>
    <t>0:01:22:10</t>
  </si>
  <si>
    <t>0:01:22:11</t>
  </si>
  <si>
    <t>0:01:22:12</t>
  </si>
  <si>
    <t>0:01:22:13</t>
  </si>
  <si>
    <t>0:01:22:14</t>
  </si>
  <si>
    <t>0:01:22:15</t>
  </si>
  <si>
    <t>0:01:22:16</t>
  </si>
  <si>
    <t>0:01:22:17</t>
  </si>
  <si>
    <t>0:01:22:18</t>
  </si>
  <si>
    <t>0:01:22:19</t>
  </si>
  <si>
    <t>0:01:22:20</t>
  </si>
  <si>
    <t>0:01:22:21</t>
  </si>
  <si>
    <t>0:01:22:22</t>
  </si>
  <si>
    <t>0:01:22:23</t>
  </si>
  <si>
    <t>0:01:22:24</t>
  </si>
  <si>
    <t>0:01:23:00</t>
  </si>
  <si>
    <t>0:01:23:01</t>
  </si>
  <si>
    <t>0:01:23:02</t>
  </si>
  <si>
    <t>0:01:23:03</t>
  </si>
  <si>
    <t>0:01:23:04</t>
  </si>
  <si>
    <t>0:01:23:05</t>
  </si>
  <si>
    <t>0:01:23:06</t>
  </si>
  <si>
    <t>0:01:23:07</t>
  </si>
  <si>
    <t>0:01:23:08</t>
  </si>
  <si>
    <t>0:01:23:09</t>
  </si>
  <si>
    <t>0:01:23:10</t>
  </si>
  <si>
    <t>0:01:23:11</t>
  </si>
  <si>
    <t>0:01:23:12</t>
  </si>
  <si>
    <t>0:01:23:13</t>
  </si>
  <si>
    <t>0:01:23:14</t>
  </si>
  <si>
    <t>0:01:23:15</t>
  </si>
  <si>
    <t>0:01:23:16</t>
  </si>
  <si>
    <t>0:01:23:17</t>
  </si>
  <si>
    <t>0:01:23:18</t>
  </si>
  <si>
    <t>0:01:23:19</t>
  </si>
  <si>
    <t>0:01:23:20</t>
  </si>
  <si>
    <t>0:01:23:21</t>
  </si>
  <si>
    <t>0:01:23:22</t>
  </si>
  <si>
    <t>0:01:23:23</t>
  </si>
  <si>
    <t>0:01:23:24</t>
  </si>
  <si>
    <t>0:01:24:00</t>
  </si>
  <si>
    <t>0:01:24:01</t>
  </si>
  <si>
    <t>0:01:24:02</t>
  </si>
  <si>
    <t>0:01:24:03</t>
  </si>
  <si>
    <t>0:01:24:04</t>
  </si>
  <si>
    <t>0:01:24:05</t>
  </si>
  <si>
    <t>0:01:24:06</t>
  </si>
  <si>
    <t>0:01:24:07</t>
  </si>
  <si>
    <t>0:01:24:08</t>
  </si>
  <si>
    <t>0:01:24:09</t>
  </si>
  <si>
    <t>0:01:24:10</t>
  </si>
  <si>
    <t>0:01:24:11</t>
  </si>
  <si>
    <t>0:01:24:12</t>
  </si>
  <si>
    <t>0:01:24:13</t>
  </si>
  <si>
    <t>0:01:24:14</t>
  </si>
  <si>
    <t>0:01:24:15</t>
  </si>
  <si>
    <t>0:01:24:16</t>
  </si>
  <si>
    <t>0:01:24:17</t>
  </si>
  <si>
    <t>0:01:24:18</t>
  </si>
  <si>
    <t>0:01:24:19</t>
  </si>
  <si>
    <t>0:01:24:20</t>
  </si>
  <si>
    <t>0:01:24:21</t>
  </si>
  <si>
    <t>0:01:24:22</t>
  </si>
  <si>
    <t>0:01:24:23</t>
  </si>
  <si>
    <t>0:01:24:24</t>
  </si>
  <si>
    <t>0:01:25:00</t>
  </si>
  <si>
    <t>0:01:25:01</t>
  </si>
  <si>
    <t>0:01:25:02</t>
  </si>
  <si>
    <t>0:01:25:03</t>
  </si>
  <si>
    <t>0:01:25:04</t>
  </si>
  <si>
    <t>0:01:25:05</t>
  </si>
  <si>
    <t>0:01:25:06</t>
  </si>
  <si>
    <t>0:01:25:07</t>
  </si>
  <si>
    <t>0:01:25:08</t>
  </si>
  <si>
    <t>0:01:25:09</t>
  </si>
  <si>
    <t>0:01:25:10</t>
  </si>
  <si>
    <t>0:01:25:11</t>
  </si>
  <si>
    <t>0:01:25:12</t>
  </si>
  <si>
    <t>0:01:25:13</t>
  </si>
  <si>
    <t>0:01:25:14</t>
  </si>
  <si>
    <t>0:01:25:15</t>
  </si>
  <si>
    <t>0:01:25:16</t>
  </si>
  <si>
    <t>0:01:25:17</t>
  </si>
  <si>
    <t>0:01:25:18</t>
  </si>
  <si>
    <t>0:01:25:19</t>
  </si>
  <si>
    <t>0:01:25:20</t>
  </si>
  <si>
    <t>0:01:25:21</t>
  </si>
  <si>
    <t>0:01:25:22</t>
  </si>
  <si>
    <t>0:01:25:23</t>
  </si>
  <si>
    <t>0:01:25:24</t>
  </si>
  <si>
    <t>0:01:26:00</t>
  </si>
  <si>
    <t>0:01:26:01</t>
  </si>
  <si>
    <t>0:01:26:02</t>
  </si>
  <si>
    <t>0:01:26:03</t>
  </si>
  <si>
    <t>0:01:26:04</t>
  </si>
  <si>
    <t>0:01:26:05</t>
  </si>
  <si>
    <t>0:01:26:06</t>
  </si>
  <si>
    <t>0:01:26:07</t>
  </si>
  <si>
    <t>0:01:26:08</t>
  </si>
  <si>
    <t>0:01:26:09</t>
  </si>
  <si>
    <t>0:01:26:10</t>
  </si>
  <si>
    <t>0:01:26:11</t>
  </si>
  <si>
    <t>0:01:26:12</t>
  </si>
  <si>
    <t>0:01:26:13</t>
  </si>
  <si>
    <t>0:01:26:14</t>
  </si>
  <si>
    <t>0:01:26:15</t>
  </si>
  <si>
    <t>0:01:26:16</t>
  </si>
  <si>
    <t>0:01:26:17</t>
  </si>
  <si>
    <t>0:01:26:18</t>
  </si>
  <si>
    <t>0:01:26:19</t>
  </si>
  <si>
    <t>0:01:26:20</t>
  </si>
  <si>
    <t>0:01:26:21</t>
  </si>
  <si>
    <t>0:01:26:22</t>
  </si>
  <si>
    <t>0:01:26:23</t>
  </si>
  <si>
    <t>0:01:26:24</t>
  </si>
  <si>
    <t>0:01:27:00</t>
  </si>
  <si>
    <t>0:01:27:01</t>
  </si>
  <si>
    <t>0:01:27:02</t>
  </si>
  <si>
    <t>0:01:27:03</t>
  </si>
  <si>
    <t>0:01:27:04</t>
  </si>
  <si>
    <t>0:01:27:05</t>
  </si>
  <si>
    <t>0:01:27:06</t>
  </si>
  <si>
    <t>0:01:27:07</t>
  </si>
  <si>
    <t>0:01:27:08</t>
  </si>
  <si>
    <t>0:01:27:09</t>
  </si>
  <si>
    <t>0:01:27:10</t>
  </si>
  <si>
    <t>0:01:27:11</t>
  </si>
  <si>
    <t>0:01:27:12</t>
  </si>
  <si>
    <t>0:01:27:13</t>
  </si>
  <si>
    <t>0:01:27:14</t>
  </si>
  <si>
    <t>0:01:27:15</t>
  </si>
  <si>
    <t>0:01:27:16</t>
  </si>
  <si>
    <t>0:01:27:17</t>
  </si>
  <si>
    <t>0:01:27:18</t>
  </si>
  <si>
    <t>0:01:27:19</t>
  </si>
  <si>
    <t>0:01:27:20</t>
  </si>
  <si>
    <t>0:01:27:21</t>
  </si>
  <si>
    <t>0:01:27:22</t>
  </si>
  <si>
    <t>0:01:27:23</t>
  </si>
  <si>
    <t>0:01:27:24</t>
  </si>
  <si>
    <t>0:01:28:00</t>
  </si>
  <si>
    <t>0:01:28:01</t>
  </si>
  <si>
    <t>0:01:28:02</t>
  </si>
  <si>
    <t>0:01:28:03</t>
  </si>
  <si>
    <t>0:01:28:04</t>
  </si>
  <si>
    <t>0:01:28:05</t>
  </si>
  <si>
    <t>0:01:28:06</t>
  </si>
  <si>
    <t>0:01:28:07</t>
  </si>
  <si>
    <t>0:01:28:08</t>
  </si>
  <si>
    <t>0:01:28:09</t>
  </si>
  <si>
    <t>0:01:28:10</t>
  </si>
  <si>
    <t>0:01:28:11</t>
  </si>
  <si>
    <t>0:01:28:12</t>
  </si>
  <si>
    <t>0:01:28:13</t>
  </si>
  <si>
    <t>0:01:28:14</t>
  </si>
  <si>
    <t>0:01:28:15</t>
  </si>
  <si>
    <t>0:01:28:16</t>
  </si>
  <si>
    <t>0:01:28:17</t>
  </si>
  <si>
    <t>0:01:28:18</t>
  </si>
  <si>
    <t>0:01:28:19</t>
  </si>
  <si>
    <t>0:01:28:20</t>
  </si>
  <si>
    <t>0:01:28:21</t>
  </si>
  <si>
    <t>0:01:28:22</t>
  </si>
  <si>
    <t>0:01:28:23</t>
  </si>
  <si>
    <t>0:01:28:24</t>
  </si>
  <si>
    <t>0:01:29:00</t>
  </si>
  <si>
    <t>0:01:29:01</t>
  </si>
  <si>
    <t>0:01:29:02</t>
  </si>
  <si>
    <t>0:01:29:03</t>
  </si>
  <si>
    <t>0:01:29:04</t>
  </si>
  <si>
    <t>0:01:29:05</t>
  </si>
  <si>
    <t>0:01:29:06</t>
  </si>
  <si>
    <t>0:01:29:07</t>
  </si>
  <si>
    <t>0:01:29:08</t>
  </si>
  <si>
    <t>0:01:29:09</t>
  </si>
  <si>
    <t>0:01:29:10</t>
  </si>
  <si>
    <t>0:01:29:11</t>
  </si>
  <si>
    <t>0:01:29:12</t>
  </si>
  <si>
    <t>0:01:29:13</t>
  </si>
  <si>
    <t>0:01:29:14</t>
  </si>
  <si>
    <t>0:01:29:15</t>
  </si>
  <si>
    <t>0:01:29:16</t>
  </si>
  <si>
    <t>0:01:29:17</t>
  </si>
  <si>
    <t>0:01:29:18</t>
  </si>
  <si>
    <t>0:01:29:19</t>
  </si>
  <si>
    <t>0:01:29:20</t>
  </si>
  <si>
    <t>0:01:29:21</t>
  </si>
  <si>
    <t>0:01:29:22</t>
  </si>
  <si>
    <t>0:01:29:23</t>
  </si>
  <si>
    <t>0:01:29:24</t>
  </si>
  <si>
    <t>0:01:30:00</t>
  </si>
  <si>
    <t>0:01:30:01</t>
  </si>
  <si>
    <t>0:01:30:02</t>
  </si>
  <si>
    <t>0:01:30:03</t>
  </si>
  <si>
    <t>0:01:30:04</t>
  </si>
  <si>
    <t>0:01:30:05</t>
  </si>
  <si>
    <t>0:01:30:06</t>
  </si>
  <si>
    <t>0:01:30:07</t>
  </si>
  <si>
    <t>0:01:30:08</t>
  </si>
  <si>
    <t>0:01:30:09</t>
  </si>
  <si>
    <t>0:01:30:10</t>
  </si>
  <si>
    <t>0:01:30:11</t>
  </si>
  <si>
    <t>0:01:30:12</t>
  </si>
  <si>
    <t>0:01:30:13</t>
  </si>
  <si>
    <t>0:01:30:14</t>
  </si>
  <si>
    <t>0:01:30:15</t>
  </si>
  <si>
    <t>0:01:30:16</t>
  </si>
  <si>
    <t>0:01:30:17</t>
  </si>
  <si>
    <t>0:01:30:18</t>
  </si>
  <si>
    <t>0:01:30:19</t>
  </si>
  <si>
    <t>0:01:30:20</t>
  </si>
  <si>
    <t>0:01:30:21</t>
  </si>
  <si>
    <t>0:01:30:22</t>
  </si>
  <si>
    <t>0:01:30:23</t>
  </si>
  <si>
    <t>0:01:30:24</t>
  </si>
  <si>
    <t>0:01:31:00</t>
  </si>
  <si>
    <t>0:01:31:01</t>
  </si>
  <si>
    <t>0:01:31:02</t>
  </si>
  <si>
    <t>0:01:31:03</t>
  </si>
  <si>
    <t>0:01:31:04</t>
  </si>
  <si>
    <t>0:01:31:05</t>
  </si>
  <si>
    <t>0:01:31:06</t>
  </si>
  <si>
    <t>0:01:31:07</t>
  </si>
  <si>
    <t>0:01:31:08</t>
  </si>
  <si>
    <t>0:01:31:09</t>
  </si>
  <si>
    <t>0:01:31:10</t>
  </si>
  <si>
    <t>0:01:31:11</t>
  </si>
  <si>
    <t>0:01:31:12</t>
  </si>
  <si>
    <t>0:01:31:13</t>
  </si>
  <si>
    <t>0:01:31:14</t>
  </si>
  <si>
    <t>0:01:31:15</t>
  </si>
  <si>
    <t>0:01:31:16</t>
  </si>
  <si>
    <t>0:01:31:17</t>
  </si>
  <si>
    <t>0:01:31:18</t>
  </si>
  <si>
    <t>0:01:31:19</t>
  </si>
  <si>
    <t>0:01:31:20</t>
  </si>
  <si>
    <t>0:01:31:21</t>
  </si>
  <si>
    <t>0:01:31:22</t>
  </si>
  <si>
    <t>0:01:31:23</t>
  </si>
  <si>
    <t>0:01:31:24</t>
  </si>
  <si>
    <t>0:01:32:00</t>
  </si>
  <si>
    <t>0:01:32:01</t>
  </si>
  <si>
    <t>0:01:32:02</t>
  </si>
  <si>
    <t>0:01:32:03</t>
  </si>
  <si>
    <t>0:01:32:04</t>
  </si>
  <si>
    <t>0:01:32:05</t>
  </si>
  <si>
    <t>0:01:32:06</t>
  </si>
  <si>
    <t>0:01:32:07</t>
  </si>
  <si>
    <t>0:01:32:08</t>
  </si>
  <si>
    <t>0:01:32:09</t>
  </si>
  <si>
    <t>0:01:32:10</t>
  </si>
  <si>
    <t>0:01:32:11</t>
  </si>
  <si>
    <t>0:01:32:12</t>
  </si>
  <si>
    <t>0:01:32:13</t>
  </si>
  <si>
    <t>0:01:32:14</t>
  </si>
  <si>
    <t>0:01:32:15</t>
  </si>
  <si>
    <t>0:01:32:16</t>
  </si>
  <si>
    <t>0:01:32:17</t>
  </si>
  <si>
    <t>0:01:32:18</t>
  </si>
  <si>
    <t>0:01:32:19</t>
  </si>
  <si>
    <t>0:01:32:20</t>
  </si>
  <si>
    <t>0:01:32:21</t>
  </si>
  <si>
    <t>0:01:32:22</t>
  </si>
  <si>
    <t>0:01:32:23</t>
  </si>
  <si>
    <t>0:01:32:24</t>
  </si>
  <si>
    <t>0:01:33:00</t>
  </si>
  <si>
    <t>0:01:33:01</t>
  </si>
  <si>
    <t>0:01:33:02</t>
  </si>
  <si>
    <t>0:01:33:03</t>
  </si>
  <si>
    <t>0:01:33:04</t>
  </si>
  <si>
    <t>0:01:33:05</t>
  </si>
  <si>
    <t>0:01:33:06</t>
  </si>
  <si>
    <t>0:01:33:07</t>
  </si>
  <si>
    <t>0:01:33:08</t>
  </si>
  <si>
    <t>0:01:33:09</t>
  </si>
  <si>
    <t>0:01:33:10</t>
  </si>
  <si>
    <t>0:01:33:11</t>
  </si>
  <si>
    <t>0:01:33:12</t>
  </si>
  <si>
    <t>0:01:33:13</t>
  </si>
  <si>
    <t>0:01:33:14</t>
  </si>
  <si>
    <t>0:01:33:15</t>
  </si>
  <si>
    <t>0:01:33:16</t>
  </si>
  <si>
    <t>0:01:33:17</t>
  </si>
  <si>
    <t>0:01:33:18</t>
  </si>
  <si>
    <t>0:01:33:19</t>
  </si>
  <si>
    <t>0:01:33:20</t>
  </si>
  <si>
    <t>0:01:33:21</t>
  </si>
  <si>
    <t>0:01:33:22</t>
  </si>
  <si>
    <t>0:01:33:23</t>
  </si>
  <si>
    <t>0:01:33:24</t>
  </si>
  <si>
    <t>0:01:34:00</t>
  </si>
  <si>
    <t>0:01:34:01</t>
  </si>
  <si>
    <t>0:01:34:02</t>
  </si>
  <si>
    <t>0:01:34:03</t>
  </si>
  <si>
    <t>0:01:34:04</t>
  </si>
  <si>
    <t>0:01:34:05</t>
  </si>
  <si>
    <t>0:01:34:06</t>
  </si>
  <si>
    <t>0:01:34:07</t>
  </si>
  <si>
    <t>0:01:34:08</t>
  </si>
  <si>
    <t>0:01:34:09</t>
  </si>
  <si>
    <t>0:01:34:10</t>
  </si>
  <si>
    <t>0:01:34:11</t>
  </si>
  <si>
    <t>0:01:34:12</t>
  </si>
  <si>
    <t>0:01:34:13</t>
  </si>
  <si>
    <t>0:01:34:14</t>
  </si>
  <si>
    <t>0:01:34:15</t>
  </si>
  <si>
    <t>0:01:34:16</t>
  </si>
  <si>
    <t>0:01:34:17</t>
  </si>
  <si>
    <t>0:01:34:18</t>
  </si>
  <si>
    <t>0:01:34:19</t>
  </si>
  <si>
    <t>0:01:34:20</t>
  </si>
  <si>
    <t>0:01:34:21</t>
  </si>
  <si>
    <t>0:01:34:22</t>
  </si>
  <si>
    <t>0:01:34:23</t>
  </si>
  <si>
    <t>0:01:34:24</t>
  </si>
  <si>
    <t>0:01:35:00</t>
  </si>
  <si>
    <t>0:01:35:01</t>
  </si>
  <si>
    <t>0:01:35:02</t>
  </si>
  <si>
    <t>0:01:35:03</t>
  </si>
  <si>
    <t>0:01:35:04</t>
  </si>
  <si>
    <t>0:01:35:05</t>
  </si>
  <si>
    <t>0:01:35:06</t>
  </si>
  <si>
    <t>0:01:35:07</t>
  </si>
  <si>
    <t>0:01:35:08</t>
  </si>
  <si>
    <t>0:01:35:09</t>
  </si>
  <si>
    <t>0:01:35:10</t>
  </si>
  <si>
    <t>0:01:35:11</t>
  </si>
  <si>
    <t>0:01:35:12</t>
  </si>
  <si>
    <t>0:01:35:13</t>
  </si>
  <si>
    <t>0:01:35:14</t>
  </si>
  <si>
    <t>0:01:35:15</t>
  </si>
  <si>
    <t>0:01:35:16</t>
  </si>
  <si>
    <t>0:01:35:17</t>
  </si>
  <si>
    <t>0:01:35:18</t>
  </si>
  <si>
    <t>0:01:35:19</t>
  </si>
  <si>
    <t>0:01:35:20</t>
  </si>
  <si>
    <t>0:01:35:21</t>
  </si>
  <si>
    <t>0:01:35:22</t>
  </si>
  <si>
    <t>0:01:35:23</t>
  </si>
  <si>
    <t>0:01:35:24</t>
  </si>
  <si>
    <t>0:01:36:00</t>
  </si>
  <si>
    <t>0:01:36:01</t>
  </si>
  <si>
    <t>0:01:36:02</t>
  </si>
  <si>
    <t>0:01:36:03</t>
  </si>
  <si>
    <t>0:01:36:04</t>
  </si>
  <si>
    <t>0:01:36:05</t>
  </si>
  <si>
    <t>0:01:36:06</t>
  </si>
  <si>
    <t>0:01:36:07</t>
  </si>
  <si>
    <t>0:01:36:08</t>
  </si>
  <si>
    <t>0:01:36:09</t>
  </si>
  <si>
    <t>0:01:36:10</t>
  </si>
  <si>
    <t>0:01:36:11</t>
  </si>
  <si>
    <t>0:01:36:12</t>
  </si>
  <si>
    <t>0:01:36:13</t>
  </si>
  <si>
    <t>0:01:36:14</t>
  </si>
  <si>
    <t>0:01:36:15</t>
  </si>
  <si>
    <t>0:01:36:16</t>
  </si>
  <si>
    <t>0:01:36:17</t>
  </si>
  <si>
    <t>0:01:36:18</t>
  </si>
  <si>
    <t>0:01:36:19</t>
  </si>
  <si>
    <t>0:01:36:20</t>
  </si>
  <si>
    <t>0:01:36:21</t>
  </si>
  <si>
    <t>0:01:36:22</t>
  </si>
  <si>
    <t>0:01:36:23</t>
  </si>
  <si>
    <t>0:01:36:24</t>
  </si>
  <si>
    <t>0:01:37:00</t>
  </si>
  <si>
    <t>0:01:37:01</t>
  </si>
  <si>
    <t>0:01:37:02</t>
  </si>
  <si>
    <t>0:01:37:03</t>
  </si>
  <si>
    <t>0:01:37:04</t>
  </si>
  <si>
    <t>0:01:37:05</t>
  </si>
  <si>
    <t>0:01:37:06</t>
  </si>
  <si>
    <t>0:01:37:07</t>
  </si>
  <si>
    <t>0:01:37:08</t>
  </si>
  <si>
    <t>0:01:37:09</t>
  </si>
  <si>
    <t>0:01:37:10</t>
  </si>
  <si>
    <t>0:01:37:11</t>
  </si>
  <si>
    <t>0:01:37:12</t>
  </si>
  <si>
    <t>0:01:37:13</t>
  </si>
  <si>
    <t>0:01:37:14</t>
  </si>
  <si>
    <t>0:01:37:15</t>
  </si>
  <si>
    <t>0:01:37:16</t>
  </si>
  <si>
    <t>0:01:37:17</t>
  </si>
  <si>
    <t>0:01:37:18</t>
  </si>
  <si>
    <t>0:01:37:19</t>
  </si>
  <si>
    <t>0:01:37:20</t>
  </si>
  <si>
    <t>0:01:37:21</t>
  </si>
  <si>
    <t>0:01:37:22</t>
  </si>
  <si>
    <t>0:01:37:23</t>
  </si>
  <si>
    <t>0:01:37:24</t>
  </si>
  <si>
    <t>0:01:38:00</t>
  </si>
  <si>
    <t>0:01:38:01</t>
  </si>
  <si>
    <t>0:01:38:02</t>
  </si>
  <si>
    <t>0:01:38:03</t>
  </si>
  <si>
    <t>0:01:38:04</t>
  </si>
  <si>
    <t>0:01:38:05</t>
  </si>
  <si>
    <t>0:01:38:06</t>
  </si>
  <si>
    <t>0:01:38:07</t>
  </si>
  <si>
    <t>0:01:38:08</t>
  </si>
  <si>
    <t>0:01:38:09</t>
  </si>
  <si>
    <t>0:01:38:10</t>
  </si>
  <si>
    <t>0:01:38:11</t>
  </si>
  <si>
    <t>0:01:38:12</t>
  </si>
  <si>
    <t>0:01:38:13</t>
  </si>
  <si>
    <t>0:01:38:14</t>
  </si>
  <si>
    <t>0:01:38:15</t>
  </si>
  <si>
    <t>0:01:38:16</t>
  </si>
  <si>
    <t>0:01:38:17</t>
  </si>
  <si>
    <t>0:01:38:18</t>
  </si>
  <si>
    <t>0:01:38:19</t>
  </si>
  <si>
    <t>0:01:38:20</t>
  </si>
  <si>
    <t>0:01:38:21</t>
  </si>
  <si>
    <t>0:01:38:22</t>
  </si>
  <si>
    <t>0:01:38:23</t>
  </si>
  <si>
    <t>0:01:38:24</t>
  </si>
  <si>
    <t>0:01:39:00</t>
  </si>
  <si>
    <t>0:01:39:01</t>
  </si>
  <si>
    <t>0:01:39:02</t>
  </si>
  <si>
    <t>0:01:39:03</t>
  </si>
  <si>
    <t>0:01:39:04</t>
  </si>
  <si>
    <t>0:01:39:05</t>
  </si>
  <si>
    <t>0:01:39:06</t>
  </si>
  <si>
    <t>0:01:39:07</t>
  </si>
  <si>
    <t>0:01:39:08</t>
  </si>
  <si>
    <t>0:01:39:09</t>
  </si>
  <si>
    <t>0:01:39:10</t>
  </si>
  <si>
    <t>0:01:39:11</t>
  </si>
  <si>
    <t>0:01:39:12</t>
  </si>
  <si>
    <t>0:01:39:13</t>
  </si>
  <si>
    <t>0:01:39:14</t>
  </si>
  <si>
    <t>0:01:39:15</t>
  </si>
  <si>
    <t>0:01:39:16</t>
  </si>
  <si>
    <t>0:01:39:17</t>
  </si>
  <si>
    <t>0:01:39:18</t>
  </si>
  <si>
    <t>0:01:39:19</t>
  </si>
  <si>
    <t>0:01:39:20</t>
  </si>
  <si>
    <t>0:01:39:21</t>
  </si>
  <si>
    <t>0:01:39:22</t>
  </si>
  <si>
    <t>0:01:39:23</t>
  </si>
  <si>
    <t>0:01:39:24</t>
  </si>
  <si>
    <t>0:01:40:00</t>
  </si>
  <si>
    <t>0:01:40:01</t>
  </si>
  <si>
    <t>0:01:40:02</t>
  </si>
  <si>
    <t>0:01:40:03</t>
  </si>
  <si>
    <t>0:01:40:04</t>
  </si>
  <si>
    <t>0:01:40:05</t>
  </si>
  <si>
    <t>0:01:40:06</t>
  </si>
  <si>
    <t>0:01:40:07</t>
  </si>
  <si>
    <t>0:01:40:08</t>
  </si>
  <si>
    <t>0:01:40:09</t>
  </si>
  <si>
    <t>0:01:40:10</t>
  </si>
  <si>
    <t>0:01:40:11</t>
  </si>
  <si>
    <t>0:01:40:12</t>
  </si>
  <si>
    <t>0:01:40:13</t>
  </si>
  <si>
    <t>0:01:40:14</t>
  </si>
  <si>
    <t>0:01:40:15</t>
  </si>
  <si>
    <t>0:01:40:16</t>
  </si>
  <si>
    <t>0:01:40:17</t>
  </si>
  <si>
    <t>0:01:40:18</t>
  </si>
  <si>
    <t>0:01:40:19</t>
  </si>
  <si>
    <t>0:01:40:20</t>
  </si>
  <si>
    <t>0:01:40:21</t>
  </si>
  <si>
    <t>0:01:40:22</t>
  </si>
  <si>
    <t>0:01:40:23</t>
  </si>
  <si>
    <t>0:01:40:24</t>
  </si>
  <si>
    <t>0:01:41:00</t>
  </si>
  <si>
    <t>0:01:41:01</t>
  </si>
  <si>
    <t>0:01:41:02</t>
  </si>
  <si>
    <t>0:01:41:03</t>
  </si>
  <si>
    <t>0:01:41:04</t>
  </si>
  <si>
    <t>0:01:41:05</t>
  </si>
  <si>
    <t>0:01:41:06</t>
  </si>
  <si>
    <t>0:01:41:07</t>
  </si>
  <si>
    <t>0:01:41:08</t>
  </si>
  <si>
    <t>0:01:41:09</t>
  </si>
  <si>
    <t>0:01:41:10</t>
  </si>
  <si>
    <t>0:01:41:11</t>
  </si>
  <si>
    <t>0:01:41:12</t>
  </si>
  <si>
    <t>0:01:41:13</t>
  </si>
  <si>
    <t>0:01:41:14</t>
  </si>
  <si>
    <t>0:01:41:15</t>
  </si>
  <si>
    <t>0:01:41:16</t>
  </si>
  <si>
    <t>0:01:41:17</t>
  </si>
  <si>
    <t>0:01:41:18</t>
  </si>
  <si>
    <t>0:01:41:19</t>
  </si>
  <si>
    <t>0:01:41:20</t>
  </si>
  <si>
    <t>0:01:41:21</t>
  </si>
  <si>
    <t>0:01:41:22</t>
  </si>
  <si>
    <t>0:01:41:23</t>
  </si>
  <si>
    <t>0:01:41:24</t>
  </si>
  <si>
    <t>0:01:42:00</t>
  </si>
  <si>
    <t>0:01:42:01</t>
  </si>
  <si>
    <t>0:01:42:02</t>
  </si>
  <si>
    <t>0:01:42:03</t>
  </si>
  <si>
    <t>0:01:42:04</t>
  </si>
  <si>
    <t>0:01:42:05</t>
  </si>
  <si>
    <t>0:01:42:06</t>
  </si>
  <si>
    <t>0:01:42:07</t>
  </si>
  <si>
    <t>0:01:42:08</t>
  </si>
  <si>
    <t>0:01:42:09</t>
  </si>
  <si>
    <t>0:01:42:10</t>
  </si>
  <si>
    <t>0:01:42:11</t>
  </si>
  <si>
    <t>0:01:42:12</t>
  </si>
  <si>
    <t>0:01:42:13</t>
  </si>
  <si>
    <t>0:01:42:14</t>
  </si>
  <si>
    <t>0:01:42:15</t>
  </si>
  <si>
    <t>0:01:42:16</t>
  </si>
  <si>
    <t>0:01:42:17</t>
  </si>
  <si>
    <t>0:01:42:18</t>
  </si>
  <si>
    <t>0:01:42:19</t>
  </si>
  <si>
    <t>0:01:42:20</t>
  </si>
  <si>
    <t>0:01:42:21</t>
  </si>
  <si>
    <t>0:01:42:22</t>
  </si>
  <si>
    <t>0:01:42:23</t>
  </si>
  <si>
    <t>0:01:42:24</t>
  </si>
  <si>
    <t>0:01:43:00</t>
  </si>
  <si>
    <t>0:01:43:01</t>
  </si>
  <si>
    <t>0:01:43:02</t>
  </si>
  <si>
    <t>0:01:43:03</t>
  </si>
  <si>
    <t>0:01:43:04</t>
  </si>
  <si>
    <t>0:01:43:05</t>
  </si>
  <si>
    <t>0:01:43:06</t>
  </si>
  <si>
    <t>0:01:43:07</t>
  </si>
  <si>
    <t>0:01:43:08</t>
  </si>
  <si>
    <t>0:01:43:09</t>
  </si>
  <si>
    <t>0:01:43:10</t>
  </si>
  <si>
    <t>0:01:43:11</t>
  </si>
  <si>
    <t>0:01:43:12</t>
  </si>
  <si>
    <t>0:01:43:13</t>
  </si>
  <si>
    <t>0:01:43:14</t>
  </si>
  <si>
    <t>0:01:43:15</t>
  </si>
  <si>
    <t>0:01:43:16</t>
  </si>
  <si>
    <t>0:01:43:17</t>
  </si>
  <si>
    <t>0:01:43:18</t>
  </si>
  <si>
    <t>0:01:43:19</t>
  </si>
  <si>
    <t>0:01:43:20</t>
  </si>
  <si>
    <t>0:01:43:21</t>
  </si>
  <si>
    <t>0:01:43:22</t>
  </si>
  <si>
    <t>0:01:43:23</t>
  </si>
  <si>
    <t>0:01:43:24</t>
  </si>
  <si>
    <t>0:01:44:00</t>
  </si>
  <si>
    <t>0:01:44:01</t>
  </si>
  <si>
    <t>0:01:44:02</t>
  </si>
  <si>
    <t>0:01:44:03</t>
  </si>
  <si>
    <t>0:01:44:04</t>
  </si>
  <si>
    <t>0:01:44:05</t>
  </si>
  <si>
    <t>0:01:44:06</t>
  </si>
  <si>
    <t>0:01:44:07</t>
  </si>
  <si>
    <t>0:01:44:08</t>
  </si>
  <si>
    <t>0:01:44:09</t>
  </si>
  <si>
    <t>0:01:44:10</t>
  </si>
  <si>
    <t>0:01:44:11</t>
  </si>
  <si>
    <t>0:01:44:12</t>
  </si>
  <si>
    <t>0:01:44:13</t>
  </si>
  <si>
    <t>0:01:44:14</t>
  </si>
  <si>
    <t>0:01:44:15</t>
  </si>
  <si>
    <t>0:01:44:16</t>
  </si>
  <si>
    <t>0:01:44:17</t>
  </si>
  <si>
    <t>0:01:44:18</t>
  </si>
  <si>
    <t>0:01:44:19</t>
  </si>
  <si>
    <t>0:01:44:20</t>
  </si>
  <si>
    <t>0:01:44:21</t>
  </si>
  <si>
    <t>0:01:44:22</t>
  </si>
  <si>
    <t>0:01:44:23</t>
  </si>
  <si>
    <t>0:01:44:24</t>
  </si>
  <si>
    <t>0:01:45:00</t>
  </si>
  <si>
    <t>0:01:45:01</t>
  </si>
  <si>
    <t>0:01:45:02</t>
  </si>
  <si>
    <t>0:01:45:03</t>
  </si>
  <si>
    <t>0:01:45:04</t>
  </si>
  <si>
    <t>0:01:45:05</t>
  </si>
  <si>
    <t>0:01:45:06</t>
  </si>
  <si>
    <t>0:01:45:07</t>
  </si>
  <si>
    <t>0:01:45:08</t>
  </si>
  <si>
    <t>0:01:45:09</t>
  </si>
  <si>
    <t>0:01:45:10</t>
  </si>
  <si>
    <t>0:01:45:11</t>
  </si>
  <si>
    <t>0:01:45:12</t>
  </si>
  <si>
    <t>0:01:45:13</t>
  </si>
  <si>
    <t>0:01:45:14</t>
  </si>
  <si>
    <t>0:01:45:15</t>
  </si>
  <si>
    <t>0:01:45:16</t>
  </si>
  <si>
    <t>0:01:45:17</t>
  </si>
  <si>
    <t>0:01:45:18</t>
  </si>
  <si>
    <t>0:01:45:19</t>
  </si>
  <si>
    <t>0:01:45:20</t>
  </si>
  <si>
    <t>0:01:45:21</t>
  </si>
  <si>
    <t>0:01:45:22</t>
  </si>
  <si>
    <t>0:01:45:23</t>
  </si>
  <si>
    <t>0:01:45:24</t>
  </si>
  <si>
    <t>0:01:46:00</t>
  </si>
  <si>
    <t>0:01:46:01</t>
  </si>
  <si>
    <t>0:01:46:02</t>
  </si>
  <si>
    <t>0:01:46:03</t>
  </si>
  <si>
    <t>0:01:46:04</t>
  </si>
  <si>
    <t>0:01:46:05</t>
  </si>
  <si>
    <t>0:01:46:06</t>
  </si>
  <si>
    <t>0:01:46:07</t>
  </si>
  <si>
    <t>0:01:46:08</t>
  </si>
  <si>
    <t>0:01:46:09</t>
  </si>
  <si>
    <t>0:01:46:10</t>
  </si>
  <si>
    <t>0:01:46:11</t>
  </si>
  <si>
    <t>0:01:46:12</t>
  </si>
  <si>
    <t>0:01:46:13</t>
  </si>
  <si>
    <t>0:01:46:14</t>
  </si>
  <si>
    <t>0:01:46:15</t>
  </si>
  <si>
    <t>0:01:46:16</t>
  </si>
  <si>
    <t>0:01:46:17</t>
  </si>
  <si>
    <t>0:01:46:18</t>
  </si>
  <si>
    <t>0:01:46:19</t>
  </si>
  <si>
    <t>0:01:46:20</t>
  </si>
  <si>
    <t>0:01:46:21</t>
  </si>
  <si>
    <t>0:01:46:22</t>
  </si>
  <si>
    <t>0:01:46:23</t>
  </si>
  <si>
    <t>0:01:46:24</t>
  </si>
  <si>
    <t>0:01:47:00</t>
  </si>
  <si>
    <t>0:01:47:01</t>
  </si>
  <si>
    <t>0:01:47:02</t>
  </si>
  <si>
    <t>0:01:47:03</t>
  </si>
  <si>
    <t>0:01:47:04</t>
  </si>
  <si>
    <t>0:01:47:05</t>
  </si>
  <si>
    <t>0:01:47:06</t>
  </si>
  <si>
    <t>0:01:47:07</t>
  </si>
  <si>
    <t>0:01:47:08</t>
  </si>
  <si>
    <t>0:01:47:09</t>
  </si>
  <si>
    <t>0:01:47:10</t>
  </si>
  <si>
    <t>0:01:47:11</t>
  </si>
  <si>
    <t>0:01:47:12</t>
  </si>
  <si>
    <t>0:01:47:13</t>
  </si>
  <si>
    <t>0:01:47:14</t>
  </si>
  <si>
    <t>0:01:47:15</t>
  </si>
  <si>
    <t>0:01:47:16</t>
  </si>
  <si>
    <t>0:01:47:17</t>
  </si>
  <si>
    <t>0:01:47:18</t>
  </si>
  <si>
    <t>0:01:47:19</t>
  </si>
  <si>
    <t>0:01:47:20</t>
  </si>
  <si>
    <t>0:01:47:21</t>
  </si>
  <si>
    <t>0:01:47:22</t>
  </si>
  <si>
    <t>0:01:47:23</t>
  </si>
  <si>
    <t>0:01:47:24</t>
  </si>
  <si>
    <t>0:01:48:00</t>
  </si>
  <si>
    <t>0:01:48:01</t>
  </si>
  <si>
    <t>0:01:48:02</t>
  </si>
  <si>
    <t>0:01:48:03</t>
  </si>
  <si>
    <t>0:01:48:04</t>
  </si>
  <si>
    <t>0:01:48:05</t>
  </si>
  <si>
    <t>0:01:48:06</t>
  </si>
  <si>
    <t>0:01:48:07</t>
  </si>
  <si>
    <t>0:01:48:08</t>
  </si>
  <si>
    <t>0:01:48:09</t>
  </si>
  <si>
    <t>0:01:48:10</t>
  </si>
  <si>
    <t>0:01:48:11</t>
  </si>
  <si>
    <t>0:01:48:12</t>
  </si>
  <si>
    <t>0:01:48:13</t>
  </si>
  <si>
    <t>0:01:48:14</t>
  </si>
  <si>
    <t>0:01:48:15</t>
  </si>
  <si>
    <t>0:01:48:16</t>
  </si>
  <si>
    <t>0:01:48:17</t>
  </si>
  <si>
    <t>0:01:48:18</t>
  </si>
  <si>
    <t>0:01:48:19</t>
  </si>
  <si>
    <t>0:01:48:20</t>
  </si>
  <si>
    <t>0:01:48:21</t>
  </si>
  <si>
    <t>0:01:48:22</t>
  </si>
  <si>
    <t>0:01:48:23</t>
  </si>
  <si>
    <t>0:01:48:24</t>
  </si>
  <si>
    <t>0:01:49:00</t>
  </si>
  <si>
    <t>0:01:49:01</t>
  </si>
  <si>
    <t>0:01:49:02</t>
  </si>
  <si>
    <t>0:01:49:03</t>
  </si>
  <si>
    <t>0:01:49:04</t>
  </si>
  <si>
    <t>0:01:49:05</t>
  </si>
  <si>
    <t>0:01:49:06</t>
  </si>
  <si>
    <t>0:01:49:07</t>
  </si>
  <si>
    <t>0:01:49:08</t>
  </si>
  <si>
    <t>0:01:49:09</t>
  </si>
  <si>
    <t>0:01:49:10</t>
  </si>
  <si>
    <t>0:01:49:11</t>
  </si>
  <si>
    <t>0:01:49:12</t>
  </si>
  <si>
    <t>0:01:49:13</t>
  </si>
  <si>
    <t>0:01:49:14</t>
  </si>
  <si>
    <t>0:01:49:15</t>
  </si>
  <si>
    <t>0:01:49:16</t>
  </si>
  <si>
    <t>0:01:49:17</t>
  </si>
  <si>
    <t>0:01:49:18</t>
  </si>
  <si>
    <t>0:01:49:19</t>
  </si>
  <si>
    <t>0:01:49:20</t>
  </si>
  <si>
    <t>0:01:49:21</t>
  </si>
  <si>
    <t>0:01:49:22</t>
  </si>
  <si>
    <t>0:01:49:23</t>
  </si>
  <si>
    <t>0:01:49:24</t>
  </si>
  <si>
    <t>0:01:50:00</t>
  </si>
  <si>
    <t>0:01:50:01</t>
  </si>
  <si>
    <t>0:01:50:02</t>
  </si>
  <si>
    <t>0:01:50:03</t>
  </si>
  <si>
    <t>0:01:50:04</t>
  </si>
  <si>
    <t>0:01:50:05</t>
  </si>
  <si>
    <t>0:01:50:06</t>
  </si>
  <si>
    <t>0:01:50:07</t>
  </si>
  <si>
    <t>0:01:50:08</t>
  </si>
  <si>
    <t>0:01:50:09</t>
  </si>
  <si>
    <t>0:01:50:10</t>
  </si>
  <si>
    <t>0:01:50:11</t>
  </si>
  <si>
    <t>0:01:50:12</t>
  </si>
  <si>
    <t>0:01:50:13</t>
  </si>
  <si>
    <t>0:01:50:14</t>
  </si>
  <si>
    <t>0:01:50:15</t>
  </si>
  <si>
    <t>0:01:50:16</t>
  </si>
  <si>
    <t>0:01:50:17</t>
  </si>
  <si>
    <t>0:01:50:18</t>
  </si>
  <si>
    <t>0:01:50:19</t>
  </si>
  <si>
    <t>0:01:50:20</t>
  </si>
  <si>
    <t>0:01:50:21</t>
  </si>
  <si>
    <t>0:01:50:22</t>
  </si>
  <si>
    <t>0:01:50:23</t>
  </si>
  <si>
    <t>0:01:50:24</t>
  </si>
  <si>
    <t>0:01:51:00</t>
  </si>
  <si>
    <t>0:01:51:01</t>
  </si>
  <si>
    <t>0:01:51:02</t>
  </si>
  <si>
    <t>0:01:51:03</t>
  </si>
  <si>
    <t>0:01:51:04</t>
  </si>
  <si>
    <t>0:01:51:05</t>
  </si>
  <si>
    <t>0:01:51:06</t>
  </si>
  <si>
    <t>0:01:51:07</t>
  </si>
  <si>
    <t>0:01:51:08</t>
  </si>
  <si>
    <t>0:01:51:09</t>
  </si>
  <si>
    <t>0:01:51:10</t>
  </si>
  <si>
    <t>0:01:51:11</t>
  </si>
  <si>
    <t>0:01:51:12</t>
  </si>
  <si>
    <t>0:01:51:13</t>
  </si>
  <si>
    <t>0:01:51:14</t>
  </si>
  <si>
    <t>0:01:51:15</t>
  </si>
  <si>
    <t>0:01:51:16</t>
  </si>
  <si>
    <t>0:01:51:17</t>
  </si>
  <si>
    <t>0:01:51:18</t>
  </si>
  <si>
    <t>0:01:51:19</t>
  </si>
  <si>
    <t>0:01:51:20</t>
  </si>
  <si>
    <t>0:01:51:21</t>
  </si>
  <si>
    <t>0:01:51:22</t>
  </si>
  <si>
    <t>0:01:51:23</t>
  </si>
  <si>
    <t>0:01:51:24</t>
  </si>
  <si>
    <t>0:01:52:00</t>
  </si>
  <si>
    <t>0:01:52:01</t>
  </si>
  <si>
    <t>0:01:52:02</t>
  </si>
  <si>
    <t>0:01:52:03</t>
  </si>
  <si>
    <t>0:01:52:04</t>
  </si>
  <si>
    <t>0:01:52:05</t>
  </si>
  <si>
    <t>0:01:52:06</t>
  </si>
  <si>
    <t>0:01:52:07</t>
  </si>
  <si>
    <t>0:01:52:08</t>
  </si>
  <si>
    <t>0:01:52:09</t>
  </si>
  <si>
    <t>0:01:52:10</t>
  </si>
  <si>
    <t>0:01:52:11</t>
  </si>
  <si>
    <t>0:01:52:12</t>
  </si>
  <si>
    <t>0:01:52:13</t>
  </si>
  <si>
    <t>0:01:52:14</t>
  </si>
  <si>
    <t>0:01:52:15</t>
  </si>
  <si>
    <t>0:01:52:16</t>
  </si>
  <si>
    <t>0:01:52:17</t>
  </si>
  <si>
    <t>0:01:52:18</t>
  </si>
  <si>
    <t>0:01:52:19</t>
  </si>
  <si>
    <t>0:01:52:20</t>
  </si>
  <si>
    <t>0:01:52:21</t>
  </si>
  <si>
    <t>0:01:52:22</t>
  </si>
  <si>
    <t>0:01:52:23</t>
  </si>
  <si>
    <t>0:01:52:24</t>
  </si>
  <si>
    <t>0:01:53:00</t>
  </si>
  <si>
    <t>0:01:53:01</t>
  </si>
  <si>
    <t>0:01:53:02</t>
  </si>
  <si>
    <t>0:01:53:03</t>
  </si>
  <si>
    <t>0:01:53:04</t>
  </si>
  <si>
    <t>0:01:53:05</t>
  </si>
  <si>
    <t>0:01:53:06</t>
  </si>
  <si>
    <t>0:01:53:07</t>
  </si>
  <si>
    <t>0:01:53:08</t>
  </si>
  <si>
    <t>0:01:53:09</t>
  </si>
  <si>
    <t>0:01:53:10</t>
  </si>
  <si>
    <t>0:01:53:11</t>
  </si>
  <si>
    <t>0:01:53:12</t>
  </si>
  <si>
    <t>0:01:53:13</t>
  </si>
  <si>
    <t>0:01:53:14</t>
  </si>
  <si>
    <t>0:01:53:15</t>
  </si>
  <si>
    <t>0:01:53:16</t>
  </si>
  <si>
    <t>0:01:53:17</t>
  </si>
  <si>
    <t>0:01:53:18</t>
  </si>
  <si>
    <t>0:01:53:19</t>
  </si>
  <si>
    <t>0:01:53:20</t>
  </si>
  <si>
    <t>0:01:53:21</t>
  </si>
  <si>
    <t>0:01:53:22</t>
  </si>
  <si>
    <t>0:01:53:23</t>
  </si>
  <si>
    <t>0:01:53:24</t>
  </si>
  <si>
    <t>0:01:54:00</t>
  </si>
  <si>
    <t>0:01:54:01</t>
  </si>
  <si>
    <t>0:01:54:02</t>
  </si>
  <si>
    <t>0:01:54:03</t>
  </si>
  <si>
    <t>0:01:54:04</t>
  </si>
  <si>
    <t>0:01:54:05</t>
  </si>
  <si>
    <t>0:01:54:06</t>
  </si>
  <si>
    <t>0:01:54:07</t>
  </si>
  <si>
    <t>0:01:54:08</t>
  </si>
  <si>
    <t>0:01:54:09</t>
  </si>
  <si>
    <t>0:01:54:10</t>
  </si>
  <si>
    <t>0:01:54:11</t>
  </si>
  <si>
    <t>0:01:54:12</t>
  </si>
  <si>
    <t>0:01:54:13</t>
  </si>
  <si>
    <t>0:01:54:14</t>
  </si>
  <si>
    <t>0:01:54:15</t>
  </si>
  <si>
    <t>0:01:54:16</t>
  </si>
  <si>
    <t>0:01:54:17</t>
  </si>
  <si>
    <t>0:01:54:18</t>
  </si>
  <si>
    <t>0:01:54:19</t>
  </si>
  <si>
    <t>0:01:54:20</t>
  </si>
  <si>
    <t>0:01:54:21</t>
  </si>
  <si>
    <t>0:01:54:22</t>
  </si>
  <si>
    <t>0:01:54:23</t>
  </si>
  <si>
    <t>0:01:54:24</t>
  </si>
  <si>
    <t>0:01:55:00</t>
  </si>
  <si>
    <t>0:01:55:01</t>
  </si>
  <si>
    <t>0:01:55:02</t>
  </si>
  <si>
    <t>0:01:55:03</t>
  </si>
  <si>
    <t>0:01:55:04</t>
  </si>
  <si>
    <t>0:01:55:05</t>
  </si>
  <si>
    <t>0:01:55:06</t>
  </si>
  <si>
    <t>0:01:55:07</t>
  </si>
  <si>
    <t>0:01:55:08</t>
  </si>
  <si>
    <t>0:01:55:09</t>
  </si>
  <si>
    <t>0:01:55:10</t>
  </si>
  <si>
    <t>0:01:55:11</t>
  </si>
  <si>
    <t>0:01:55:12</t>
  </si>
  <si>
    <t>0:01:55:13</t>
  </si>
  <si>
    <t>0:01:55:14</t>
  </si>
  <si>
    <t>0:01:55:15</t>
  </si>
  <si>
    <t>0:01:55:16</t>
  </si>
  <si>
    <t>0:01:55:17</t>
  </si>
  <si>
    <t>0:01:55:18</t>
  </si>
  <si>
    <t>0:01:55:19</t>
  </si>
  <si>
    <t>0:01:55:20</t>
  </si>
  <si>
    <t>0:01:55:21</t>
  </si>
  <si>
    <t>0:01:55:22</t>
  </si>
  <si>
    <t>0:01:55:23</t>
  </si>
  <si>
    <t>0:01:55:24</t>
  </si>
  <si>
    <t>0:01:56:00</t>
  </si>
  <si>
    <t>0:01:56:01</t>
  </si>
  <si>
    <t>0:01:56:02</t>
  </si>
  <si>
    <t>0:01:56:03</t>
  </si>
  <si>
    <t>0:01:56:04</t>
  </si>
  <si>
    <t>0:01:56:05</t>
  </si>
  <si>
    <t>0:01:56:06</t>
  </si>
  <si>
    <t>0:01:56:07</t>
  </si>
  <si>
    <t>0:01:56:08</t>
  </si>
  <si>
    <t>0:01:56:09</t>
  </si>
  <si>
    <t>0:01:56:10</t>
  </si>
  <si>
    <t>0:01:56:11</t>
  </si>
  <si>
    <t>0:01:56:12</t>
  </si>
  <si>
    <t>0:01:56:13</t>
  </si>
  <si>
    <t>0:01:56:14</t>
  </si>
  <si>
    <t>0:01:56:15</t>
  </si>
  <si>
    <t>0:01:56:16</t>
  </si>
  <si>
    <t>0:01:56:17</t>
  </si>
  <si>
    <t>0:01:56:18</t>
  </si>
  <si>
    <t>0:01:56:19</t>
  </si>
  <si>
    <t>0:01:56:20</t>
  </si>
  <si>
    <t>0:01:56:21</t>
  </si>
  <si>
    <t>0:01:56:22</t>
  </si>
  <si>
    <t>0:01:56:23</t>
  </si>
  <si>
    <t>0:01:56:24</t>
  </si>
  <si>
    <t>0:01:57:00</t>
  </si>
  <si>
    <t>0:01:57:01</t>
  </si>
  <si>
    <t>0:01:57:02</t>
  </si>
  <si>
    <t>0:01:57:03</t>
  </si>
  <si>
    <t>0:01:57:04</t>
  </si>
  <si>
    <t>0:01:57:05</t>
  </si>
  <si>
    <t>0:01:57:06</t>
  </si>
  <si>
    <t>0:01:57:07</t>
  </si>
  <si>
    <t>0:01:57:08</t>
  </si>
  <si>
    <t>0:01:57:09</t>
  </si>
  <si>
    <t>0:01:57:10</t>
  </si>
  <si>
    <t>0:01:57:11</t>
  </si>
  <si>
    <t>0:01:57:12</t>
  </si>
  <si>
    <t>0:01:57:13</t>
  </si>
  <si>
    <t>0:01:57:14</t>
  </si>
  <si>
    <t>0:01:57:15</t>
  </si>
  <si>
    <t>0:01:57:16</t>
  </si>
  <si>
    <t>0:01:57:17</t>
  </si>
  <si>
    <t>0:01:57:18</t>
  </si>
  <si>
    <t>0:01:57:19</t>
  </si>
  <si>
    <t>0:01:57:20</t>
  </si>
  <si>
    <t>0:01:57:21</t>
  </si>
  <si>
    <t>0:01:57:22</t>
  </si>
  <si>
    <t>0:01:57:23</t>
  </si>
  <si>
    <t>0:01:57:24</t>
  </si>
  <si>
    <t>0:01:58:00</t>
  </si>
  <si>
    <t>0:01:58:01</t>
  </si>
  <si>
    <t>0:01:58:02</t>
  </si>
  <si>
    <t>0:01:58:03</t>
  </si>
  <si>
    <t>0:01:58:04</t>
  </si>
  <si>
    <t>0:01:58:05</t>
  </si>
  <si>
    <t>0:01:58:06</t>
  </si>
  <si>
    <t>0:01:58:07</t>
  </si>
  <si>
    <t>0:01:58:08</t>
  </si>
  <si>
    <t>0:01:58:09</t>
  </si>
  <si>
    <t>0:01:58:10</t>
  </si>
  <si>
    <t>0:01:58:11</t>
  </si>
  <si>
    <t>0:01:58:12</t>
  </si>
  <si>
    <t>0:01:58:13</t>
  </si>
  <si>
    <t>0:01:58:14</t>
  </si>
  <si>
    <t>0:01:58:15</t>
  </si>
  <si>
    <t>0:01:58:16</t>
  </si>
  <si>
    <t>0:01:58:17</t>
  </si>
  <si>
    <t>0:01:58:18</t>
  </si>
  <si>
    <t>0:01:58:19</t>
  </si>
  <si>
    <t>0:01:58:20</t>
  </si>
  <si>
    <t>0:01:58:21</t>
  </si>
  <si>
    <t>0:01:58:22</t>
  </si>
  <si>
    <t>0:01:58:23</t>
  </si>
  <si>
    <t>0:01:58:24</t>
  </si>
  <si>
    <t>0:01:59:00</t>
  </si>
  <si>
    <t>0:01:59:01</t>
  </si>
  <si>
    <t>0:01:59:02</t>
  </si>
  <si>
    <t>0:01:59:03</t>
  </si>
  <si>
    <t>0:01:59:04</t>
  </si>
  <si>
    <t>0:01:59:05</t>
  </si>
  <si>
    <t>0:01:59:06</t>
  </si>
  <si>
    <t>0:01:59:07</t>
  </si>
  <si>
    <t>0:01:59:08</t>
  </si>
  <si>
    <t>0:01:59:09</t>
  </si>
  <si>
    <t>0:01:59:10</t>
  </si>
  <si>
    <t>0:01:59:11</t>
  </si>
  <si>
    <t>0:01:59:12</t>
  </si>
  <si>
    <t>0:01:59:13</t>
  </si>
  <si>
    <t>0:01:59:14</t>
  </si>
  <si>
    <t>0:01:59:15</t>
  </si>
  <si>
    <t>0:01:59:16</t>
  </si>
  <si>
    <t>0:01:59:17</t>
  </si>
  <si>
    <t>0:01:59:18</t>
  </si>
  <si>
    <t>0:01:59:19</t>
  </si>
  <si>
    <t>0:01:59:20</t>
  </si>
  <si>
    <t>0:01:59:21</t>
  </si>
  <si>
    <t>0:01:59:22</t>
  </si>
  <si>
    <t>0:01:59:23</t>
  </si>
  <si>
    <t>0:01:59:24</t>
  </si>
  <si>
    <t>0:02:00:00</t>
  </si>
  <si>
    <t>0:02:00:01</t>
  </si>
  <si>
    <t>0:02:00:02</t>
  </si>
  <si>
    <t>0:02:00:03</t>
  </si>
  <si>
    <t>0:02:00:04</t>
  </si>
  <si>
    <t>0:02:00:05</t>
  </si>
  <si>
    <t>0:02:00:06</t>
  </si>
  <si>
    <t>0:02:00:07</t>
  </si>
  <si>
    <t>0:02:00:08</t>
  </si>
  <si>
    <t>0:02:00:09</t>
  </si>
  <si>
    <t>0:02:00:10</t>
  </si>
  <si>
    <t>0:02:00:11</t>
  </si>
  <si>
    <t>0:02:00:12</t>
  </si>
  <si>
    <t>0:02:00:13</t>
  </si>
  <si>
    <t>0:02:00:14</t>
  </si>
  <si>
    <t>0:02:00:15</t>
  </si>
  <si>
    <t>0:02:00:16</t>
  </si>
  <si>
    <t>0:02:00:17</t>
  </si>
  <si>
    <t>0:02:00:18</t>
  </si>
  <si>
    <t>0:02:00:19</t>
  </si>
  <si>
    <t>0:02:00:20</t>
  </si>
  <si>
    <t>0:02:00:21</t>
  </si>
  <si>
    <t>0:02:00:22</t>
  </si>
  <si>
    <t>0:02:00:23</t>
  </si>
  <si>
    <t>0:02:00:24</t>
  </si>
  <si>
    <t>0:02:01:00</t>
  </si>
  <si>
    <t>0:02:01:01</t>
  </si>
  <si>
    <t>0:02:01:02</t>
  </si>
  <si>
    <t>0:02:01:03</t>
  </si>
  <si>
    <t>0:02:01:04</t>
  </si>
  <si>
    <t>0:02:01:05</t>
  </si>
  <si>
    <t>0:02:01:06</t>
  </si>
  <si>
    <t>0:02:01:07</t>
  </si>
  <si>
    <t>0:02:01:08</t>
  </si>
  <si>
    <t>0:02:01:09</t>
  </si>
  <si>
    <t>0:02:01:10</t>
  </si>
  <si>
    <t>0:02:01:11</t>
  </si>
  <si>
    <t>0:02:01:12</t>
  </si>
  <si>
    <t>0:02:01:13</t>
  </si>
  <si>
    <t>0:02:01:14</t>
  </si>
  <si>
    <t>0:02:01:15</t>
  </si>
  <si>
    <t>0:02:01:16</t>
  </si>
  <si>
    <t>0:02:01:17</t>
  </si>
  <si>
    <t>0:02:01:18</t>
  </si>
  <si>
    <t>0:02:01:19</t>
  </si>
  <si>
    <t>0:02:01:20</t>
  </si>
  <si>
    <t>0:02:01:21</t>
  </si>
  <si>
    <t>0:02:01:22</t>
  </si>
  <si>
    <t>0:02:01:23</t>
  </si>
  <si>
    <t>0:02:01:24</t>
  </si>
  <si>
    <t>0:02:02:00</t>
  </si>
  <si>
    <t>0:02:02:01</t>
  </si>
  <si>
    <t>0:02:02:02</t>
  </si>
  <si>
    <t>0:02:02:03</t>
  </si>
  <si>
    <t>0:02:02:04</t>
  </si>
  <si>
    <t>0:02:02:05</t>
  </si>
  <si>
    <t>0:02:02:06</t>
  </si>
  <si>
    <t>0:02:02:07</t>
  </si>
  <si>
    <t>0:02:02:08</t>
  </si>
  <si>
    <t>0:02:02:09</t>
  </si>
  <si>
    <t>0:02:02:10</t>
  </si>
  <si>
    <t>0:02:02:11</t>
  </si>
  <si>
    <t>0:02:02:12</t>
  </si>
  <si>
    <t>0:02:02:13</t>
  </si>
  <si>
    <t>0:02:02:14</t>
  </si>
  <si>
    <t>0:02:02:15</t>
  </si>
  <si>
    <t>0:02:02:16</t>
  </si>
  <si>
    <t>0:02:02:17</t>
  </si>
  <si>
    <t>0:02:02:18</t>
  </si>
  <si>
    <t>0:02:02:19</t>
  </si>
  <si>
    <t>0:02:02:20</t>
  </si>
  <si>
    <t>0:02:02:21</t>
  </si>
  <si>
    <t>0:02:02:22</t>
  </si>
  <si>
    <t>0:02:02:23</t>
  </si>
  <si>
    <t>0:02:02:24</t>
  </si>
  <si>
    <t>0:02:03:00</t>
  </si>
  <si>
    <t>0:02:03:01</t>
  </si>
  <si>
    <t>0:02:03:02</t>
  </si>
  <si>
    <t>0:02:03:03</t>
  </si>
  <si>
    <t>0:02:03:04</t>
  </si>
  <si>
    <t>0:02:03:05</t>
  </si>
  <si>
    <t>0:02:03:06</t>
  </si>
  <si>
    <t>0:02:03:07</t>
  </si>
  <si>
    <t>0:02:03:08</t>
  </si>
  <si>
    <t>0:02:03:09</t>
  </si>
  <si>
    <t>0:02:03:10</t>
  </si>
  <si>
    <t>0:02:03:11</t>
  </si>
  <si>
    <t>0:02:03:12</t>
  </si>
  <si>
    <t>0:02:03:13</t>
  </si>
  <si>
    <t>0:02:03:14</t>
  </si>
  <si>
    <t>0:02:03:15</t>
  </si>
  <si>
    <t>0:02:03:16</t>
  </si>
  <si>
    <t>0:02:03:17</t>
  </si>
  <si>
    <t>0:02:03:18</t>
  </si>
  <si>
    <t>0:02:03:19</t>
  </si>
  <si>
    <t>0:02:03:20</t>
  </si>
  <si>
    <t>0:02:03:21</t>
  </si>
  <si>
    <t>0:02:03:22</t>
  </si>
  <si>
    <t>0:02:03:23</t>
  </si>
  <si>
    <t>0:02:03:24</t>
  </si>
  <si>
    <t>0:02:04:00</t>
  </si>
  <si>
    <t>0:02:04:01</t>
  </si>
  <si>
    <t>0:02:04:02</t>
  </si>
  <si>
    <t>0:02:04:03</t>
  </si>
  <si>
    <t>0:02:04:04</t>
  </si>
  <si>
    <t>0:02:04:05</t>
  </si>
  <si>
    <t>0:02:04:06</t>
  </si>
  <si>
    <t>0:02:04:07</t>
  </si>
  <si>
    <t>0:02:04:08</t>
  </si>
  <si>
    <t>0:02:04:09</t>
  </si>
  <si>
    <t>0:02:04:10</t>
  </si>
  <si>
    <t>0:02:04:11</t>
  </si>
  <si>
    <t>0:02:04:12</t>
  </si>
  <si>
    <t>0:02:04:13</t>
  </si>
  <si>
    <t>0:02:04:14</t>
  </si>
  <si>
    <t>0:02:04:15</t>
  </si>
  <si>
    <t>0:02:04:16</t>
  </si>
  <si>
    <t>0:02:04:17</t>
  </si>
  <si>
    <t>0:02:04:18</t>
  </si>
  <si>
    <t>0:02:04:19</t>
  </si>
  <si>
    <t>0:02:04:20</t>
  </si>
  <si>
    <t>0:02:04:21</t>
  </si>
  <si>
    <t>0:02:04:22</t>
  </si>
  <si>
    <t>0:02:04:23</t>
  </si>
  <si>
    <t>0:02:04:24</t>
  </si>
  <si>
    <t>0:02:05:00</t>
  </si>
  <si>
    <t>0:02:05:01</t>
  </si>
  <si>
    <t>0:02:05:02</t>
  </si>
  <si>
    <t>0:02:05:03</t>
  </si>
  <si>
    <t>0:02:05:04</t>
  </si>
  <si>
    <t>0:02:05:05</t>
  </si>
  <si>
    <t>0:02:05:06</t>
  </si>
  <si>
    <t>0:02:05:07</t>
  </si>
  <si>
    <t>0:02:05:08</t>
  </si>
  <si>
    <t>0:02:05:09</t>
  </si>
  <si>
    <t>0:02:05:10</t>
  </si>
  <si>
    <t>0:02:05:11</t>
  </si>
  <si>
    <t>0:02:05:12</t>
  </si>
  <si>
    <t>0:02:05:13</t>
  </si>
  <si>
    <t>0:02:05:14</t>
  </si>
  <si>
    <t>0:02:05:15</t>
  </si>
  <si>
    <t>0:02:05:16</t>
  </si>
  <si>
    <t>0:02:05:17</t>
  </si>
  <si>
    <t>0:02:05:18</t>
  </si>
  <si>
    <t>0:02:05:19</t>
  </si>
  <si>
    <t>0:02:05:20</t>
  </si>
  <si>
    <t>0:02:05:21</t>
  </si>
  <si>
    <t>0:02:05:22</t>
  </si>
  <si>
    <t>0:02:05:23</t>
  </si>
  <si>
    <t>0:02:05:24</t>
  </si>
  <si>
    <t>0:02:06:00</t>
  </si>
  <si>
    <t>0:02:06:01</t>
  </si>
  <si>
    <t>0:02:06:02</t>
  </si>
  <si>
    <t>0:02:06:03</t>
  </si>
  <si>
    <t>0:02:06:04</t>
  </si>
  <si>
    <t>0:02:06:05</t>
  </si>
  <si>
    <t>0:02:06:06</t>
  </si>
  <si>
    <t>0:02:06:07</t>
  </si>
  <si>
    <t>0:02:06:08</t>
  </si>
  <si>
    <t>0:02:06:09</t>
  </si>
  <si>
    <t>0:02:06:10</t>
  </si>
  <si>
    <t>0:02:06:11</t>
  </si>
  <si>
    <t>0:02:06:12</t>
  </si>
  <si>
    <t>0:02:06:13</t>
  </si>
  <si>
    <t>0:02:06:14</t>
  </si>
  <si>
    <t>0:02:06:15</t>
  </si>
  <si>
    <t>0:02:06:16</t>
  </si>
  <si>
    <t>0:02:06:17</t>
  </si>
  <si>
    <t>0:02:06:18</t>
  </si>
  <si>
    <t>0:02:06:19</t>
  </si>
  <si>
    <t>0:02:06:20</t>
  </si>
  <si>
    <t>0:02:06:21</t>
  </si>
  <si>
    <t>0:02:06:22</t>
  </si>
  <si>
    <t>0:02:06:23</t>
  </si>
  <si>
    <t>0:02:06:24</t>
  </si>
  <si>
    <t>0:02:07:00</t>
  </si>
  <si>
    <t>0:02:07:01</t>
  </si>
  <si>
    <t>0:02:07:02</t>
  </si>
  <si>
    <t>0:02:07:03</t>
  </si>
  <si>
    <t>0:02:07:04</t>
  </si>
  <si>
    <t>0:02:07:05</t>
  </si>
  <si>
    <t>0:02:07:06</t>
  </si>
  <si>
    <t>0:02:07:07</t>
  </si>
  <si>
    <t>0:02:07:08</t>
  </si>
  <si>
    <t>0:02:07:09</t>
  </si>
  <si>
    <t>0:02:07:10</t>
  </si>
  <si>
    <t>0:02:07:11</t>
  </si>
  <si>
    <t>0:02:07:12</t>
  </si>
  <si>
    <t>0:02:07:13</t>
  </si>
  <si>
    <t>0:02:07:14</t>
  </si>
  <si>
    <t>0:02:07:15</t>
  </si>
  <si>
    <t>0:02:07:16</t>
  </si>
  <si>
    <t>0:02:07:17</t>
  </si>
  <si>
    <t>0:02:07:18</t>
  </si>
  <si>
    <t>0:02:07:19</t>
  </si>
  <si>
    <t>0:02:07:20</t>
  </si>
  <si>
    <t>0:02:07:21</t>
  </si>
  <si>
    <t>0:02:07:22</t>
  </si>
  <si>
    <t>0:02:07:23</t>
  </si>
  <si>
    <t>0:02:07:24</t>
  </si>
  <si>
    <t>0:02:08:00</t>
  </si>
  <si>
    <t>0:02:08:01</t>
  </si>
  <si>
    <t>0:02:08:02</t>
  </si>
  <si>
    <t>0:02:08:03</t>
  </si>
  <si>
    <t>0:02:08:04</t>
  </si>
  <si>
    <t>0:02:08:05</t>
  </si>
  <si>
    <t>0:02:08:06</t>
  </si>
  <si>
    <t>0:02:08:07</t>
  </si>
  <si>
    <t>0:02:08:08</t>
  </si>
  <si>
    <t>0:02:08:09</t>
  </si>
  <si>
    <t>0:02:08:10</t>
  </si>
  <si>
    <t>0:02:08:11</t>
  </si>
  <si>
    <t>0:02:08:12</t>
  </si>
  <si>
    <t>0:02:08:13</t>
  </si>
  <si>
    <t>0:02:08:14</t>
  </si>
  <si>
    <t>0:02:08:15</t>
  </si>
  <si>
    <t>0:02:08:16</t>
  </si>
  <si>
    <t>0:02:08:17</t>
  </si>
  <si>
    <t>0:02:08:18</t>
  </si>
  <si>
    <t>0:02:08:19</t>
  </si>
  <si>
    <t>0:02:08:20</t>
  </si>
  <si>
    <t>0:02:08:21</t>
  </si>
  <si>
    <t>0:02:08:22</t>
  </si>
  <si>
    <t>0:02:08:23</t>
  </si>
  <si>
    <t>0:02:08:24</t>
  </si>
  <si>
    <t>0:02:09:00</t>
  </si>
  <si>
    <t>0:02:09:01</t>
  </si>
  <si>
    <t>0:02:09:02</t>
  </si>
  <si>
    <t>0:02:09:03</t>
  </si>
  <si>
    <t>0:02:09:04</t>
  </si>
  <si>
    <t>0:02:09:05</t>
  </si>
  <si>
    <t>0:02:09:06</t>
  </si>
  <si>
    <t>0:02:09:07</t>
  </si>
  <si>
    <t>0:02:09:08</t>
  </si>
  <si>
    <t>0:02:09:09</t>
  </si>
  <si>
    <t>0:02:09:10</t>
  </si>
  <si>
    <t>0:02:09:11</t>
  </si>
  <si>
    <t>0:02:09:12</t>
  </si>
  <si>
    <t>0:02:09:13</t>
  </si>
  <si>
    <t>0:02:09:14</t>
  </si>
  <si>
    <t>0:02:09:15</t>
  </si>
  <si>
    <t>0:02:09:16</t>
  </si>
  <si>
    <t>0:02:09:17</t>
  </si>
  <si>
    <t>0:02:09:18</t>
  </si>
  <si>
    <t>0:02:09:19</t>
  </si>
  <si>
    <t>0:02:09:20</t>
  </si>
  <si>
    <t>0:02:09:21</t>
  </si>
  <si>
    <t>0:02:09:22</t>
  </si>
  <si>
    <t>0:02:09:23</t>
  </si>
  <si>
    <t>0:02:09:24</t>
  </si>
  <si>
    <t>0:02:10:00</t>
  </si>
  <si>
    <t>0:02:10:01</t>
  </si>
  <si>
    <t>0:02:10:02</t>
  </si>
  <si>
    <t>0:02:10:03</t>
  </si>
  <si>
    <t>0:02:10:04</t>
  </si>
  <si>
    <t>0:02:10:05</t>
  </si>
  <si>
    <t>0:02:10:06</t>
  </si>
  <si>
    <t>0:02:10:07</t>
  </si>
  <si>
    <t>0:02:10:08</t>
  </si>
  <si>
    <t>0:02:10:09</t>
  </si>
  <si>
    <t>0:02:10:10</t>
  </si>
  <si>
    <t>0:02:10:11</t>
  </si>
  <si>
    <t>0:02:10:12</t>
  </si>
  <si>
    <t>0:02:10:13</t>
  </si>
  <si>
    <t>0:02:10:14</t>
  </si>
  <si>
    <t>0:02:10:15</t>
  </si>
  <si>
    <t>0:02:10:16</t>
  </si>
  <si>
    <t>0:02:10:17</t>
  </si>
  <si>
    <t>0:02:10:18</t>
  </si>
  <si>
    <t>0:02:10:19</t>
  </si>
  <si>
    <t>0:02:10:20</t>
  </si>
  <si>
    <t>0:02:10:21</t>
  </si>
  <si>
    <t>0:02:10:22</t>
  </si>
  <si>
    <t>0:02:10:23</t>
  </si>
  <si>
    <t>0:02:10:24</t>
  </si>
  <si>
    <t>0:02:11:00</t>
  </si>
  <si>
    <t>0:02:11:01</t>
  </si>
  <si>
    <t>0:02:11:02</t>
  </si>
  <si>
    <t>0:02:11:03</t>
  </si>
  <si>
    <t>0:02:11:04</t>
  </si>
  <si>
    <t>0:02:11:05</t>
  </si>
  <si>
    <t>0:02:11:06</t>
  </si>
  <si>
    <t>0:02:11:07</t>
  </si>
  <si>
    <t>0:02:11:08</t>
  </si>
  <si>
    <t>0:02:11:09</t>
  </si>
  <si>
    <t>0:02:11:10</t>
  </si>
  <si>
    <t>0:02:11:11</t>
  </si>
  <si>
    <t>0:02:11:12</t>
  </si>
  <si>
    <t>0:02:11:13</t>
  </si>
  <si>
    <t>0:02:11:14</t>
  </si>
  <si>
    <t>0:02:11:15</t>
  </si>
  <si>
    <t>0:02:11:16</t>
  </si>
  <si>
    <t>0:02:11:17</t>
  </si>
  <si>
    <t>0:02:11:18</t>
  </si>
  <si>
    <t>0:02:11:19</t>
  </si>
  <si>
    <t>0:02:11:20</t>
  </si>
  <si>
    <t>0:02:11:21</t>
  </si>
  <si>
    <t>0:02:11:22</t>
  </si>
  <si>
    <t>0:02:11:23</t>
  </si>
  <si>
    <t>0:02:11:24</t>
  </si>
  <si>
    <t>0:02:12:00</t>
  </si>
  <si>
    <t>0:02:12:01</t>
  </si>
  <si>
    <t>0:02:12:02</t>
  </si>
  <si>
    <t>0:02:12:03</t>
  </si>
  <si>
    <t>0:02:12:04</t>
  </si>
  <si>
    <t>0:02:12:05</t>
  </si>
  <si>
    <t>0:02:12:06</t>
  </si>
  <si>
    <t>0:02:12:07</t>
  </si>
  <si>
    <t>0:02:12:08</t>
  </si>
  <si>
    <t>0:02:12:09</t>
  </si>
  <si>
    <t>0:02:12:10</t>
  </si>
  <si>
    <t>0:02:12:11</t>
  </si>
  <si>
    <t>0:02:12:12</t>
  </si>
  <si>
    <t>0:02:12:13</t>
  </si>
  <si>
    <t>0:02:12:14</t>
  </si>
  <si>
    <t>0:02:12:15</t>
  </si>
  <si>
    <t>0:02:12:16</t>
  </si>
  <si>
    <t>0:02:12:17</t>
  </si>
  <si>
    <t>0:02:12:18</t>
  </si>
  <si>
    <t>0:02:12:19</t>
  </si>
  <si>
    <t>0:02:12:20</t>
  </si>
  <si>
    <t>0:02:12:21</t>
  </si>
  <si>
    <t>0:02:12:22</t>
  </si>
  <si>
    <t>0:02:12:23</t>
  </si>
  <si>
    <t>0:02:12:24</t>
  </si>
  <si>
    <t>0:02:13:00</t>
  </si>
  <si>
    <t>0:02:13:01</t>
  </si>
  <si>
    <t>0:02:13:02</t>
  </si>
  <si>
    <t>0:02:13:03</t>
  </si>
  <si>
    <t>0:02:13:04</t>
  </si>
  <si>
    <t>0:02:13:05</t>
  </si>
  <si>
    <t>0:02:13:06</t>
  </si>
  <si>
    <t>0:02:13:07</t>
  </si>
  <si>
    <t>0:02:13:08</t>
  </si>
  <si>
    <t>0:02:13:09</t>
  </si>
  <si>
    <t>0:02:13:10</t>
  </si>
  <si>
    <t>0:02:13:11</t>
  </si>
  <si>
    <t>0:02:13:12</t>
  </si>
  <si>
    <t>0:02:13:13</t>
  </si>
  <si>
    <t>0:02:13:14</t>
  </si>
  <si>
    <t>0:02:13:15</t>
  </si>
  <si>
    <t>0:02:13:16</t>
  </si>
  <si>
    <t>0:02:13:17</t>
  </si>
  <si>
    <t>0:02:13:18</t>
  </si>
  <si>
    <t>0:02:13:19</t>
  </si>
  <si>
    <t>0:02:13:20</t>
  </si>
  <si>
    <t>0:02:13:21</t>
  </si>
  <si>
    <t>0:02:13:22</t>
  </si>
  <si>
    <t>0:02:13:23</t>
  </si>
  <si>
    <t>0:02:13:24</t>
  </si>
  <si>
    <t>0:02:14:00</t>
  </si>
  <si>
    <t>0:02:14:01</t>
  </si>
  <si>
    <t>0:02:14:02</t>
  </si>
  <si>
    <t>0:02:14:03</t>
  </si>
  <si>
    <t>0:02:14:04</t>
  </si>
  <si>
    <t>0:02:14:05</t>
  </si>
  <si>
    <t>0:02:14:06</t>
  </si>
  <si>
    <t>0:02:14:07</t>
  </si>
  <si>
    <t>0:02:14:08</t>
  </si>
  <si>
    <t>0:02:14:09</t>
  </si>
  <si>
    <t>0:02:14:10</t>
  </si>
  <si>
    <t>0:02:14:11</t>
  </si>
  <si>
    <t>0:02:14:12</t>
  </si>
  <si>
    <t>0:02:14:13</t>
  </si>
  <si>
    <t>0:02:14:14</t>
  </si>
  <si>
    <t>0:02:14:15</t>
  </si>
  <si>
    <t>0:02:14:16</t>
  </si>
  <si>
    <t>0:02:14:17</t>
  </si>
  <si>
    <t>0:02:14:18</t>
  </si>
  <si>
    <t>0:02:14:19</t>
  </si>
  <si>
    <t>0:02:14:20</t>
  </si>
  <si>
    <t>0:02:14:21</t>
  </si>
  <si>
    <t>0:02:14:22</t>
  </si>
  <si>
    <t>0:02:14:23</t>
  </si>
  <si>
    <t>0:02:14:24</t>
  </si>
  <si>
    <t>0:02:15:00</t>
  </si>
  <si>
    <t>0:02:15:01</t>
  </si>
  <si>
    <t>0:02:15:02</t>
  </si>
  <si>
    <t>0:02:15:03</t>
  </si>
  <si>
    <t>0:02:15:04</t>
  </si>
  <si>
    <t>0:02:15:05</t>
  </si>
  <si>
    <t>0:02:15:06</t>
  </si>
  <si>
    <t>0:02:15:07</t>
  </si>
  <si>
    <t>0:02:15:08</t>
  </si>
  <si>
    <t>0:02:15:09</t>
  </si>
  <si>
    <t>0:02:15:10</t>
  </si>
  <si>
    <t>0:02:15:11</t>
  </si>
  <si>
    <t>0:02:15:12</t>
  </si>
  <si>
    <t>0:02:15:13</t>
  </si>
  <si>
    <t>0:02:15:14</t>
  </si>
  <si>
    <t>0:02:15:15</t>
  </si>
  <si>
    <t>0:02:15:16</t>
  </si>
  <si>
    <t>0:02:15:17</t>
  </si>
  <si>
    <t>0:02:15:18</t>
  </si>
  <si>
    <t>0:02:15:19</t>
  </si>
  <si>
    <t>0:02:15:20</t>
  </si>
  <si>
    <t>0:02:15:21</t>
  </si>
  <si>
    <t>0:02:15:22</t>
  </si>
  <si>
    <t>0:02:15:23</t>
  </si>
  <si>
    <t>0:02:15:24</t>
  </si>
  <si>
    <t>0:02:16:00</t>
  </si>
  <si>
    <t>0:02:16:01</t>
  </si>
  <si>
    <t>0:02:16:02</t>
  </si>
  <si>
    <t>0:02:16:03</t>
  </si>
  <si>
    <t>0:02:16:04</t>
  </si>
  <si>
    <t>0:02:16:05</t>
  </si>
  <si>
    <t>0:02:16:06</t>
  </si>
  <si>
    <t>0:02:16:07</t>
  </si>
  <si>
    <t>0:02:16:08</t>
  </si>
  <si>
    <t>0:02:16:09</t>
  </si>
  <si>
    <t>0:02:16:10</t>
  </si>
  <si>
    <t>0:02:16:11</t>
  </si>
  <si>
    <t>0:02:16:12</t>
  </si>
  <si>
    <t>0:02:16:13</t>
  </si>
  <si>
    <t>0:02:16:14</t>
  </si>
  <si>
    <t>0:02:16:15</t>
  </si>
  <si>
    <t>0:02:16:16</t>
  </si>
  <si>
    <t>0:02:16:17</t>
  </si>
  <si>
    <t>0:02:16:18</t>
  </si>
  <si>
    <t>0:02:16:19</t>
  </si>
  <si>
    <t>0:02:16:20</t>
  </si>
  <si>
    <t>0:02:16:21</t>
  </si>
  <si>
    <t>0:02:16:22</t>
  </si>
  <si>
    <t>0:02:16:23</t>
  </si>
  <si>
    <t>0:02:16:24</t>
  </si>
  <si>
    <t>0:02:17:00</t>
  </si>
  <si>
    <t>0:02:17:01</t>
  </si>
  <si>
    <t>0:02:17:02</t>
  </si>
  <si>
    <t>0:02:17:03</t>
  </si>
  <si>
    <t>0:02:17:04</t>
  </si>
  <si>
    <t>0:02:17:05</t>
  </si>
  <si>
    <t>0:02:17:06</t>
  </si>
  <si>
    <t>0:02:17:07</t>
  </si>
  <si>
    <t>0:02:17:08</t>
  </si>
  <si>
    <t>0:02:17:09</t>
  </si>
  <si>
    <t>0:02:17:10</t>
  </si>
  <si>
    <t>0:02:17:11</t>
  </si>
  <si>
    <t>0:02:17:12</t>
  </si>
  <si>
    <t>0:02:17:13</t>
  </si>
  <si>
    <t>0:02:17:14</t>
  </si>
  <si>
    <t>0:02:17:15</t>
  </si>
  <si>
    <t>0:02:17:16</t>
  </si>
  <si>
    <t>0:02:17:17</t>
  </si>
  <si>
    <t>0:02:17:18</t>
  </si>
  <si>
    <t>0:02:17:19</t>
  </si>
  <si>
    <t>0:02:17:20</t>
  </si>
  <si>
    <t>0:02:17:21</t>
  </si>
  <si>
    <t>0:02:17:22</t>
  </si>
  <si>
    <t>0:02:17:23</t>
  </si>
  <si>
    <t>0:02:17:24</t>
  </si>
  <si>
    <t>0:02:18:00</t>
  </si>
  <si>
    <t>0:02:18:01</t>
  </si>
  <si>
    <t>0:02:18:02</t>
  </si>
  <si>
    <t>0:02:18:03</t>
  </si>
  <si>
    <t>0:02:18:04</t>
  </si>
  <si>
    <t>0:02:18:05</t>
  </si>
  <si>
    <t>0:02:18:06</t>
  </si>
  <si>
    <t>0:02:18:07</t>
  </si>
  <si>
    <t>0:02:18:08</t>
  </si>
  <si>
    <t>0:02:18:09</t>
  </si>
  <si>
    <t>0:02:18:10</t>
  </si>
  <si>
    <t>0:02:18:11</t>
  </si>
  <si>
    <t>0:02:18:12</t>
  </si>
  <si>
    <t>0:02:18:13</t>
  </si>
  <si>
    <t>0:02:18:14</t>
  </si>
  <si>
    <t>0:02:18:15</t>
  </si>
  <si>
    <t>0:02:18:16</t>
  </si>
  <si>
    <t>0:02:18:17</t>
  </si>
  <si>
    <t>0:02:18:18</t>
  </si>
  <si>
    <t>0:02:18:19</t>
  </si>
  <si>
    <t>0:02:18:20</t>
  </si>
  <si>
    <t>0:02:18:21</t>
  </si>
  <si>
    <t>0:02:18:22</t>
  </si>
  <si>
    <t>0:02:18:23</t>
  </si>
  <si>
    <t>0:02:18:24</t>
  </si>
  <si>
    <t>0:02:19:00</t>
  </si>
  <si>
    <t>0:02:19:01</t>
  </si>
  <si>
    <t>0:02:19:02</t>
  </si>
  <si>
    <t>0:02:19:03</t>
  </si>
  <si>
    <t>0:02:19:04</t>
  </si>
  <si>
    <t>0:02:19:05</t>
  </si>
  <si>
    <t>0:02:19:06</t>
  </si>
  <si>
    <t>0:02:19:07</t>
  </si>
  <si>
    <t>0:02:19:08</t>
  </si>
  <si>
    <t>0:02:19:09</t>
  </si>
  <si>
    <t>0:02:19:10</t>
  </si>
  <si>
    <t>0:02:19:11</t>
  </si>
  <si>
    <t>0:02:19:12</t>
  </si>
  <si>
    <t>0:02:19:13</t>
  </si>
  <si>
    <t>0:02:19:14</t>
  </si>
  <si>
    <t>0:02:19:15</t>
  </si>
  <si>
    <t>0:02:19:16</t>
  </si>
  <si>
    <t>0:02:19:17</t>
  </si>
  <si>
    <t>0:02:19:18</t>
  </si>
  <si>
    <t>0:02:19:19</t>
  </si>
  <si>
    <t>0:02:19:20</t>
  </si>
  <si>
    <t>0:02:19:21</t>
  </si>
  <si>
    <t>0:02:19:22</t>
  </si>
  <si>
    <t>0:02:19:23</t>
  </si>
  <si>
    <t>0:02:19:24</t>
  </si>
  <si>
    <t>0:02:20:00</t>
  </si>
  <si>
    <t>0:02:20:01</t>
  </si>
  <si>
    <t>0:02:20:02</t>
  </si>
  <si>
    <t>0:02:20:03</t>
  </si>
  <si>
    <t>0:02:20:04</t>
  </si>
  <si>
    <t>0:02:20:05</t>
  </si>
  <si>
    <t>0:02:20:06</t>
  </si>
  <si>
    <t>0:02:20:07</t>
  </si>
  <si>
    <t>0:02:20:08</t>
  </si>
  <si>
    <t>0:02:20:09</t>
  </si>
  <si>
    <t>0:02:20:10</t>
  </si>
  <si>
    <t>0:02:20:11</t>
  </si>
  <si>
    <t>0:02:20:12</t>
  </si>
  <si>
    <t>0:02:20:13</t>
  </si>
  <si>
    <t>0:02:20:14</t>
  </si>
  <si>
    <t>0:02:20:15</t>
  </si>
  <si>
    <t>0:02:20:16</t>
  </si>
  <si>
    <t>0:02:20:17</t>
  </si>
  <si>
    <t>0:02:20:18</t>
  </si>
  <si>
    <t>0:02:20:19</t>
  </si>
  <si>
    <t>0:02:20:20</t>
  </si>
  <si>
    <t>0:02:20:21</t>
  </si>
  <si>
    <t>0:02:20:22</t>
  </si>
  <si>
    <t>0:02:20:23</t>
  </si>
  <si>
    <t>0:02:20:24</t>
  </si>
  <si>
    <t>0:02:21:00</t>
  </si>
  <si>
    <t>0:02:21:01</t>
  </si>
  <si>
    <t>0:02:21:02</t>
  </si>
  <si>
    <t>0:02:21:03</t>
  </si>
  <si>
    <t>0:02:21:04</t>
  </si>
  <si>
    <t>0:02:21:05</t>
  </si>
  <si>
    <t>0:02:21:06</t>
  </si>
  <si>
    <t>0:02:21:07</t>
  </si>
  <si>
    <t>0:02:21:08</t>
  </si>
  <si>
    <t>0:02:21:09</t>
  </si>
  <si>
    <t>0:02:21:10</t>
  </si>
  <si>
    <t>0:02:21:11</t>
  </si>
  <si>
    <t>0:02:21:12</t>
  </si>
  <si>
    <t>0:02:21:13</t>
  </si>
  <si>
    <t>0:02:21:14</t>
  </si>
  <si>
    <t>0:02:21:15</t>
  </si>
  <si>
    <t>0:02:21:16</t>
  </si>
  <si>
    <t>0:02:21:17</t>
  </si>
  <si>
    <t>0:02:21:18</t>
  </si>
  <si>
    <t>0:02:21:19</t>
  </si>
  <si>
    <t>0:02:21:20</t>
  </si>
  <si>
    <t>0:02:21:21</t>
  </si>
  <si>
    <t>0:02:21:22</t>
  </si>
  <si>
    <t>0:02:21:23</t>
  </si>
  <si>
    <t>0:02:21:24</t>
  </si>
  <si>
    <t>0:02:22:00</t>
  </si>
  <si>
    <t>0:02:22:01</t>
  </si>
  <si>
    <t>0:02:22:02</t>
  </si>
  <si>
    <t>0:02:22:03</t>
  </si>
  <si>
    <t>0:02:22:04</t>
  </si>
  <si>
    <t>0:02:22:05</t>
  </si>
  <si>
    <t>0:02:22:06</t>
  </si>
  <si>
    <t>0:02:22:07</t>
  </si>
  <si>
    <t>0:02:22:08</t>
  </si>
  <si>
    <t>0:02:22:09</t>
  </si>
  <si>
    <t>0:02:22:10</t>
  </si>
  <si>
    <t>0:02:22:11</t>
  </si>
  <si>
    <t>0:02:22:12</t>
  </si>
  <si>
    <t>0:02:22:13</t>
  </si>
  <si>
    <t>0:02:22:14</t>
  </si>
  <si>
    <t>0:02:22:15</t>
  </si>
  <si>
    <t>0:02:22:16</t>
  </si>
  <si>
    <t>0:02:22:17</t>
  </si>
  <si>
    <t>0:02:22:18</t>
  </si>
  <si>
    <t>0:02:22:19</t>
  </si>
  <si>
    <t>0:02:22:20</t>
  </si>
  <si>
    <t>0:02:22:21</t>
  </si>
  <si>
    <t>0:02:22:22</t>
  </si>
  <si>
    <t>0:02:22:23</t>
  </si>
  <si>
    <t>0:02:22:24</t>
  </si>
  <si>
    <t>0:02:23:00</t>
  </si>
  <si>
    <t>0:02:23:01</t>
  </si>
  <si>
    <t>0:02:23:02</t>
  </si>
  <si>
    <t>0:02:23:03</t>
  </si>
  <si>
    <t>0:02:23:04</t>
  </si>
  <si>
    <t>0:02:23:05</t>
  </si>
  <si>
    <t>0:02:23:06</t>
  </si>
  <si>
    <t>0:02:23:07</t>
  </si>
  <si>
    <t>0:02:23:08</t>
  </si>
  <si>
    <t>0:02:23:09</t>
  </si>
  <si>
    <t>0:02:23:10</t>
  </si>
  <si>
    <t>0:02:23:11</t>
  </si>
  <si>
    <t>0:02:23:12</t>
  </si>
  <si>
    <t>0:02:23:13</t>
  </si>
  <si>
    <t>0:02:23:14</t>
  </si>
  <si>
    <t>0:02:23:15</t>
  </si>
  <si>
    <t>0:02:23:16</t>
  </si>
  <si>
    <t>0:02:23:17</t>
  </si>
  <si>
    <t>0:02:23:18</t>
  </si>
  <si>
    <t>0:02:23:19</t>
  </si>
  <si>
    <t>0:02:23:20</t>
  </si>
  <si>
    <t>0:02:23:21</t>
  </si>
  <si>
    <t>0:02:23:22</t>
  </si>
  <si>
    <t>0:02:23:23</t>
  </si>
  <si>
    <t>0:02:23:24</t>
  </si>
  <si>
    <t>0:02:24:00</t>
  </si>
  <si>
    <t>0:02:24:01</t>
  </si>
  <si>
    <t>0:02:24:02</t>
  </si>
  <si>
    <t>0:02:24:03</t>
  </si>
  <si>
    <t>0:02:24:04</t>
  </si>
  <si>
    <t>0:02:24:05</t>
  </si>
  <si>
    <t>0:02:24:06</t>
  </si>
  <si>
    <t>0:02:24:07</t>
  </si>
  <si>
    <t>0:02:24:08</t>
  </si>
  <si>
    <t>0:02:24:09</t>
  </si>
  <si>
    <t>0:02:24:10</t>
  </si>
  <si>
    <t>0:02:24:11</t>
  </si>
  <si>
    <t>0:02:24:12</t>
  </si>
  <si>
    <t>0:02:24:13</t>
  </si>
  <si>
    <t>0:02:24:14</t>
  </si>
  <si>
    <t>0:02:24:15</t>
  </si>
  <si>
    <t>0:02:24:16</t>
  </si>
  <si>
    <t>0:02:24:17</t>
  </si>
  <si>
    <t>0:02:24:18</t>
  </si>
  <si>
    <t>0:02:24:19</t>
  </si>
  <si>
    <t>0:02:24:20</t>
  </si>
  <si>
    <t>0:02:24:21</t>
  </si>
  <si>
    <t>0:02:24:22</t>
  </si>
  <si>
    <t>0:02:24:23</t>
  </si>
  <si>
    <t>0:02:24:24</t>
  </si>
  <si>
    <t>0:02:25:00</t>
  </si>
  <si>
    <t>0:02:25:01</t>
  </si>
  <si>
    <t>0:02:25:02</t>
  </si>
  <si>
    <t>0:02:25:03</t>
  </si>
  <si>
    <t>0:02:25:04</t>
  </si>
  <si>
    <t>0:02:25:05</t>
  </si>
  <si>
    <t>0:02:25:06</t>
  </si>
  <si>
    <t>0:02:25:07</t>
  </si>
  <si>
    <t>0:02:25:08</t>
  </si>
  <si>
    <t>0:02:25:09</t>
  </si>
  <si>
    <t>0:02:25:10</t>
  </si>
  <si>
    <t>0:02:25:11</t>
  </si>
  <si>
    <t>0:02:25:12</t>
  </si>
  <si>
    <t>0:02:25:13</t>
  </si>
  <si>
    <t>0:02:25:14</t>
  </si>
  <si>
    <t>0:02:25:15</t>
  </si>
  <si>
    <t>0:02:25:16</t>
  </si>
  <si>
    <t>0:02:25:17</t>
  </si>
  <si>
    <t>0:02:25:18</t>
  </si>
  <si>
    <t>0:02:25:19</t>
  </si>
  <si>
    <t>0:02:25:20</t>
  </si>
  <si>
    <t>0:02:25:21</t>
  </si>
  <si>
    <t>0:02:25:22</t>
  </si>
  <si>
    <t>0:02:25:23</t>
  </si>
  <si>
    <t>0:02:25:24</t>
  </si>
  <si>
    <t>0:02:26:00</t>
  </si>
  <si>
    <t>0:02:26:01</t>
  </si>
  <si>
    <t>0:02:26:02</t>
  </si>
  <si>
    <t>0:02:26:03</t>
  </si>
  <si>
    <t>0:02:26:04</t>
  </si>
  <si>
    <t>0:02:26:05</t>
  </si>
  <si>
    <t>0:02:26:06</t>
  </si>
  <si>
    <t>0:02:26:07</t>
  </si>
  <si>
    <t>0:02:26:08</t>
  </si>
  <si>
    <t>0:02:26:09</t>
  </si>
  <si>
    <t>0:02:26:10</t>
  </si>
  <si>
    <t>0:02:26:11</t>
  </si>
  <si>
    <t>0:02:26:12</t>
  </si>
  <si>
    <t>0:02:26:13</t>
  </si>
  <si>
    <t>0:02:26:14</t>
  </si>
  <si>
    <t>0:02:26:15</t>
  </si>
  <si>
    <t>0:02:26:16</t>
  </si>
  <si>
    <t>0:02:26:17</t>
  </si>
  <si>
    <t>0:02:26:18</t>
  </si>
  <si>
    <t>0:02:26:19</t>
  </si>
  <si>
    <t>0:02:26:20</t>
  </si>
  <si>
    <t>0:02:26:21</t>
  </si>
  <si>
    <t>0:02:26:22</t>
  </si>
  <si>
    <t>0:02:26:23</t>
  </si>
  <si>
    <t>0:02:26:24</t>
  </si>
  <si>
    <t>0:02:27:00</t>
  </si>
  <si>
    <t>0:02:27:01</t>
  </si>
  <si>
    <t>0:02:27:02</t>
  </si>
  <si>
    <t>0:02:27:03</t>
  </si>
  <si>
    <t>0:02:27:04</t>
  </si>
  <si>
    <t>0:02:27:05</t>
  </si>
  <si>
    <t>0:02:27:06</t>
  </si>
  <si>
    <t>0:02:27:07</t>
  </si>
  <si>
    <t>0:02:27:08</t>
  </si>
  <si>
    <t>0:02:27:09</t>
  </si>
  <si>
    <t>0:02:27:10</t>
  </si>
  <si>
    <t>0:02:27:11</t>
  </si>
  <si>
    <t>0:02:27:12</t>
  </si>
  <si>
    <t>0:02:27:13</t>
  </si>
  <si>
    <t>0:02:27:14</t>
  </si>
  <si>
    <t>0:02:27:15</t>
  </si>
  <si>
    <t>0:02:27:16</t>
  </si>
  <si>
    <t>0:02:27:17</t>
  </si>
  <si>
    <t>0:02:27:18</t>
  </si>
  <si>
    <t>0:02:27:19</t>
  </si>
  <si>
    <t>0:02:27:20</t>
  </si>
  <si>
    <t>0:02:27:21</t>
  </si>
  <si>
    <t>0:02:27:22</t>
  </si>
  <si>
    <t>0:02:27:23</t>
  </si>
  <si>
    <t>0:02:27:24</t>
  </si>
  <si>
    <t>0:02:28:00</t>
  </si>
  <si>
    <t>0:02:28:01</t>
  </si>
  <si>
    <t>0:02:28:02</t>
  </si>
  <si>
    <t>0:02:28:03</t>
  </si>
  <si>
    <t>0:02:28:04</t>
  </si>
  <si>
    <t>0:02:28:05</t>
  </si>
  <si>
    <t>0:02:28:06</t>
  </si>
  <si>
    <t>0:02:28:07</t>
  </si>
  <si>
    <t>0:02:28:08</t>
  </si>
  <si>
    <t>0:02:28:09</t>
  </si>
  <si>
    <t>0:02:28:10</t>
  </si>
  <si>
    <t>0:02:28:11</t>
  </si>
  <si>
    <t>0:02:28:12</t>
  </si>
  <si>
    <t>0:02:28:13</t>
  </si>
  <si>
    <t>0:02:28:14</t>
  </si>
  <si>
    <t>0:02:28:15</t>
  </si>
  <si>
    <t>0:02:28:16</t>
  </si>
  <si>
    <t>0:02:28:17</t>
  </si>
  <si>
    <t>0:02:28:18</t>
  </si>
  <si>
    <t>0:02:28:19</t>
  </si>
  <si>
    <t>0:02:28:20</t>
  </si>
  <si>
    <t>0:02:28:21</t>
  </si>
  <si>
    <t>0:02:28:22</t>
  </si>
  <si>
    <t>0:02:28:23</t>
  </si>
  <si>
    <t>0:02:28:24</t>
  </si>
  <si>
    <t>0:02:29:00</t>
  </si>
  <si>
    <t>0:02:29:01</t>
  </si>
  <si>
    <t>0:02:29:02</t>
  </si>
  <si>
    <t>0:02:29:03</t>
  </si>
  <si>
    <t>0:02:29:04</t>
  </si>
  <si>
    <t>0:02:29:05</t>
  </si>
  <si>
    <t>0:02:29:06</t>
  </si>
  <si>
    <t>0:02:29:07</t>
  </si>
  <si>
    <t>0:02:29:08</t>
  </si>
  <si>
    <t>0:02:29:09</t>
  </si>
  <si>
    <t>0:02:29:10</t>
  </si>
  <si>
    <t>0:02:29:11</t>
  </si>
  <si>
    <t>0:02:29:12</t>
  </si>
  <si>
    <t>0:02:29:13</t>
  </si>
  <si>
    <t>0:02:29:14</t>
  </si>
  <si>
    <t>0:02:29:15</t>
  </si>
  <si>
    <t>0:02:29:16</t>
  </si>
  <si>
    <t>0:02:29:17</t>
  </si>
  <si>
    <t>0:02:29:18</t>
  </si>
  <si>
    <t>0:02:29:19</t>
  </si>
  <si>
    <t>0:02:29:20</t>
  </si>
  <si>
    <t>0:02:29:21</t>
  </si>
  <si>
    <t>0:02:29:22</t>
  </si>
  <si>
    <t>0:02:29:23</t>
  </si>
  <si>
    <t>0:02:29:24</t>
  </si>
  <si>
    <t>0:02:30:00</t>
  </si>
  <si>
    <t>0:02:30:01</t>
  </si>
  <si>
    <t>0:02:30:02</t>
  </si>
  <si>
    <t>0:02:30:03</t>
  </si>
  <si>
    <t>0:02:30:04</t>
  </si>
  <si>
    <t>0:02:30:05</t>
  </si>
  <si>
    <t>0:02:30:06</t>
  </si>
  <si>
    <t>0:02:30:07</t>
  </si>
  <si>
    <t>0:02:30:08</t>
  </si>
  <si>
    <t>0:02:30:09</t>
  </si>
  <si>
    <t>0:02:30:10</t>
  </si>
  <si>
    <t>0:02:30:11</t>
  </si>
  <si>
    <t>0:02:30:12</t>
  </si>
  <si>
    <t>0:02:30:13</t>
  </si>
  <si>
    <t>0:02:30:14</t>
  </si>
  <si>
    <t>0:02:30:15</t>
  </si>
  <si>
    <t>0:02:30:16</t>
  </si>
  <si>
    <t>0:02:30:17</t>
  </si>
  <si>
    <t>0:02:30:18</t>
  </si>
  <si>
    <t>0:02:30:19</t>
  </si>
  <si>
    <t>0:02:30:20</t>
  </si>
  <si>
    <t>0:02:30:21</t>
  </si>
  <si>
    <t>0:02:30:22</t>
  </si>
  <si>
    <t>0:02:30:23</t>
  </si>
  <si>
    <t>0:02:30:24</t>
  </si>
  <si>
    <t>0:02:31:00</t>
  </si>
  <si>
    <t>0:02:31:01</t>
  </si>
  <si>
    <t>0:02:31:02</t>
  </si>
  <si>
    <t>0:02:31:03</t>
  </si>
  <si>
    <t>0:02:31:04</t>
  </si>
  <si>
    <t>0:02:31:05</t>
  </si>
  <si>
    <t>0:02:31:06</t>
  </si>
  <si>
    <t>0:02:31:07</t>
  </si>
  <si>
    <t>0:02:31:08</t>
  </si>
  <si>
    <t>0:02:31:09</t>
  </si>
  <si>
    <t>0:02:31:10</t>
  </si>
  <si>
    <t>0:02:31:11</t>
  </si>
  <si>
    <t>0:02:31:12</t>
  </si>
  <si>
    <t>0:02:31:13</t>
  </si>
  <si>
    <t>0:02:31:14</t>
  </si>
  <si>
    <t>0:02:31:15</t>
  </si>
  <si>
    <t>0:02:31:16</t>
  </si>
  <si>
    <t>0:02:31:17</t>
  </si>
  <si>
    <t>0:02:31:18</t>
  </si>
  <si>
    <t>0:02:31:19</t>
  </si>
  <si>
    <t>0:02:31:20</t>
  </si>
  <si>
    <t>0:02:31:21</t>
  </si>
  <si>
    <t>0:02:31:22</t>
  </si>
  <si>
    <t>0:02:31:23</t>
  </si>
  <si>
    <t>0:02:31:24</t>
  </si>
  <si>
    <t>0:02:32:00</t>
  </si>
  <si>
    <t>0:02:32:01</t>
  </si>
  <si>
    <t>0:02:32:02</t>
  </si>
  <si>
    <t>0:02:32:03</t>
  </si>
  <si>
    <t>0:02:32:04</t>
  </si>
  <si>
    <t>0:02:32:05</t>
  </si>
  <si>
    <t>0:02:32:06</t>
  </si>
  <si>
    <t>0:02:32:07</t>
  </si>
  <si>
    <t>0:02:32:08</t>
  </si>
  <si>
    <t>0:02:32:09</t>
  </si>
  <si>
    <t>0:02:32:10</t>
  </si>
  <si>
    <t>0:02:32:11</t>
  </si>
  <si>
    <t>0:02:32:12</t>
  </si>
  <si>
    <t>0:02:32:13</t>
  </si>
  <si>
    <t>0:02:32:14</t>
  </si>
  <si>
    <t>0:02:32:15</t>
  </si>
  <si>
    <t>0:02:32:16</t>
  </si>
  <si>
    <t>0:02:32:17</t>
  </si>
  <si>
    <t>0:02:32:18</t>
  </si>
  <si>
    <t>0:02:32:19</t>
  </si>
  <si>
    <t>0:02:32:20</t>
  </si>
  <si>
    <t>0:02:32:21</t>
  </si>
  <si>
    <t>0:02:32:22</t>
  </si>
  <si>
    <t>0:02:32:23</t>
  </si>
  <si>
    <t>0:02:32:24</t>
  </si>
  <si>
    <t>0:02:33:00</t>
  </si>
  <si>
    <t>0:02:33:01</t>
  </si>
  <si>
    <t>0:02:33:02</t>
  </si>
  <si>
    <t>0:02:33:03</t>
  </si>
  <si>
    <t>0:02:33:04</t>
  </si>
  <si>
    <t>0:02:33:05</t>
  </si>
  <si>
    <t>0:02:33:06</t>
  </si>
  <si>
    <t>0:02:33:07</t>
  </si>
  <si>
    <t>0:02:33:08</t>
  </si>
  <si>
    <t>0:02:33:09</t>
  </si>
  <si>
    <t>0:02:33:10</t>
  </si>
  <si>
    <t>0:02:33:11</t>
  </si>
  <si>
    <t>0:02:33:12</t>
  </si>
  <si>
    <t>0:02:33:13</t>
  </si>
  <si>
    <t>0:02:33:14</t>
  </si>
  <si>
    <t>0:02:33:15</t>
  </si>
  <si>
    <t>0:02:33:16</t>
  </si>
  <si>
    <t>0:02:33:17</t>
  </si>
  <si>
    <t>0:02:33:18</t>
  </si>
  <si>
    <t>0:02:33:19</t>
  </si>
  <si>
    <t>0:02:33:20</t>
  </si>
  <si>
    <t>0:02:33:21</t>
  </si>
  <si>
    <t>0:02:33:22</t>
  </si>
  <si>
    <t>0:02:33:23</t>
  </si>
  <si>
    <t>0:02:33:24</t>
  </si>
  <si>
    <t>0:02:34:00</t>
  </si>
  <si>
    <t>0:02:34:01</t>
  </si>
  <si>
    <t>0:02:34:02</t>
  </si>
  <si>
    <t>0:02:34:03</t>
  </si>
  <si>
    <t>0:02:34:04</t>
  </si>
  <si>
    <t>0:02:34:05</t>
  </si>
  <si>
    <t>0:02:34:06</t>
  </si>
  <si>
    <t>0:02:34:07</t>
  </si>
  <si>
    <t>0:02:34:08</t>
  </si>
  <si>
    <t>0:02:34:09</t>
  </si>
  <si>
    <t>0:02:34:10</t>
  </si>
  <si>
    <t>0:02:34:11</t>
  </si>
  <si>
    <t>0:02:34:12</t>
  </si>
  <si>
    <t>0:02:34:13</t>
  </si>
  <si>
    <t>0:02:34:14</t>
  </si>
  <si>
    <t>0:02:34:15</t>
  </si>
  <si>
    <t>0:02:34:16</t>
  </si>
  <si>
    <t>0:02:34:17</t>
  </si>
  <si>
    <t>0:02:34:18</t>
  </si>
  <si>
    <t>0:02:34:19</t>
  </si>
  <si>
    <t>0:02:34:20</t>
  </si>
  <si>
    <t>0:02:34:21</t>
  </si>
  <si>
    <t>0:02:34:22</t>
  </si>
  <si>
    <t>0:02:34:23</t>
  </si>
  <si>
    <t>0:02:34:24</t>
  </si>
  <si>
    <t>0:02:35:00</t>
  </si>
  <si>
    <t>0:02:35:01</t>
  </si>
  <si>
    <t>0:02:35:02</t>
  </si>
  <si>
    <t>0:02:35:03</t>
  </si>
  <si>
    <t>0:02:35:04</t>
  </si>
  <si>
    <t>0:02:35:05</t>
  </si>
  <si>
    <t>0:02:35:06</t>
  </si>
  <si>
    <t>0:02:35:07</t>
  </si>
  <si>
    <t>0:02:35:08</t>
  </si>
  <si>
    <t>0:02:35:09</t>
  </si>
  <si>
    <t>0:02:35:10</t>
  </si>
  <si>
    <t>0:02:35:11</t>
  </si>
  <si>
    <t>0:02:35:12</t>
  </si>
  <si>
    <t>0:02:35:13</t>
  </si>
  <si>
    <t>0:02:35:14</t>
  </si>
  <si>
    <t>0:02:35:15</t>
  </si>
  <si>
    <t>0:02:35:16</t>
  </si>
  <si>
    <t>0:02:35:17</t>
  </si>
  <si>
    <t>0:02:35:18</t>
  </si>
  <si>
    <t>0:02:35:19</t>
  </si>
  <si>
    <t>0:02:35:20</t>
  </si>
  <si>
    <t>0:02:35:21</t>
  </si>
  <si>
    <t>0:02:35:22</t>
  </si>
  <si>
    <t>0:02:35:23</t>
  </si>
  <si>
    <t>0:02:35:24</t>
  </si>
  <si>
    <t>0:02:36:00</t>
  </si>
  <si>
    <t>0:02:36:01</t>
  </si>
  <si>
    <t>0:02:36:02</t>
  </si>
  <si>
    <t>0:02:36:03</t>
  </si>
  <si>
    <t>0:02:36:04</t>
  </si>
  <si>
    <t>0:02:36:05</t>
  </si>
  <si>
    <t>0:02:36:06</t>
  </si>
  <si>
    <t>0:02:36:07</t>
  </si>
  <si>
    <t>0:02:36:08</t>
  </si>
  <si>
    <t>0:02:36:09</t>
  </si>
  <si>
    <t>0:02:36:10</t>
  </si>
  <si>
    <t>0:02:36:11</t>
  </si>
  <si>
    <t>0:02:36:12</t>
  </si>
  <si>
    <t>0:02:36:13</t>
  </si>
  <si>
    <t>0:02:36:14</t>
  </si>
  <si>
    <t>0:02:36:15</t>
  </si>
  <si>
    <t>0:02:36:16</t>
  </si>
  <si>
    <t>0:02:36:17</t>
  </si>
  <si>
    <t>0:02:36:18</t>
  </si>
  <si>
    <t>0:02:36:19</t>
  </si>
  <si>
    <t>0:02:36:20</t>
  </si>
  <si>
    <t>0:02:36:21</t>
  </si>
  <si>
    <t>0:02:36:22</t>
  </si>
  <si>
    <t>0:02:36:23</t>
  </si>
  <si>
    <t>0:02:36:24</t>
  </si>
  <si>
    <t>0:02:37:00</t>
  </si>
  <si>
    <t>0:02:37:01</t>
  </si>
  <si>
    <t>0:02:37:02</t>
  </si>
  <si>
    <t>0:02:37:03</t>
  </si>
  <si>
    <t>0:02:37:04</t>
  </si>
  <si>
    <t>0:02:37:05</t>
  </si>
  <si>
    <t>0:02:37:06</t>
  </si>
  <si>
    <t>0:02:37:07</t>
  </si>
  <si>
    <t>0:02:37:08</t>
  </si>
  <si>
    <t>0:02:37:09</t>
  </si>
  <si>
    <t>0:02:37:10</t>
  </si>
  <si>
    <t>0:02:37:11</t>
  </si>
  <si>
    <t>0:02:37:12</t>
  </si>
  <si>
    <t>0:02:37:13</t>
  </si>
  <si>
    <t>0:02:37:14</t>
  </si>
  <si>
    <t>0:02:37:15</t>
  </si>
  <si>
    <t>0:02:37:16</t>
  </si>
  <si>
    <t>0:02:37:17</t>
  </si>
  <si>
    <t>0:02:37:18</t>
  </si>
  <si>
    <t>0:02:37:19</t>
  </si>
  <si>
    <t>0:02:37:20</t>
  </si>
  <si>
    <t>0:02:37:21</t>
  </si>
  <si>
    <t>0:02:37:22</t>
  </si>
  <si>
    <t>0:02:37:23</t>
  </si>
  <si>
    <t>0:02:37:24</t>
  </si>
  <si>
    <t>0:02:38:00</t>
  </si>
  <si>
    <t>0:02:38:01</t>
  </si>
  <si>
    <t>0:02:38:02</t>
  </si>
  <si>
    <t>0:02:38:03</t>
  </si>
  <si>
    <t>0:02:38:04</t>
  </si>
  <si>
    <t>0:02:38:05</t>
  </si>
  <si>
    <t>0:02:38:06</t>
  </si>
  <si>
    <t>0:02:38:07</t>
  </si>
  <si>
    <t>0:02:38:08</t>
  </si>
  <si>
    <t>0:02:38:09</t>
  </si>
  <si>
    <t>0:02:38:10</t>
  </si>
  <si>
    <t>0:02:38:11</t>
  </si>
  <si>
    <t>0:02:38:12</t>
  </si>
  <si>
    <t>0:02:38:13</t>
  </si>
  <si>
    <t>0:02:38:14</t>
  </si>
  <si>
    <t>0:02:38:15</t>
  </si>
  <si>
    <t>0:02:38:16</t>
  </si>
  <si>
    <t>0:02:38:17</t>
  </si>
  <si>
    <t>0:02:38:18</t>
  </si>
  <si>
    <t>0:02:38:19</t>
  </si>
  <si>
    <t>0:02:38:20</t>
  </si>
  <si>
    <t>0:02:38:21</t>
  </si>
  <si>
    <t>0:02:38:22</t>
  </si>
  <si>
    <t>0:02:38:23</t>
  </si>
  <si>
    <t>0:02:38:24</t>
  </si>
  <si>
    <t>0:02:39:00</t>
  </si>
  <si>
    <t>0:02:39:01</t>
  </si>
  <si>
    <t>0:02:39:02</t>
  </si>
  <si>
    <t>0:02:39:03</t>
  </si>
  <si>
    <t>0:02:39:04</t>
  </si>
  <si>
    <t>0:02:39:05</t>
  </si>
  <si>
    <t>0:02:39:06</t>
  </si>
  <si>
    <t>0:02:39:07</t>
  </si>
  <si>
    <t>0:02:39:08</t>
  </si>
  <si>
    <t>0:02:39:09</t>
  </si>
  <si>
    <t>0:02:39:10</t>
  </si>
  <si>
    <t>0:02:39:11</t>
  </si>
  <si>
    <t>0:02:39:12</t>
  </si>
  <si>
    <t>0:02:39:13</t>
  </si>
  <si>
    <t>0:02:39:14</t>
  </si>
  <si>
    <t>0:02:39:15</t>
  </si>
  <si>
    <t>0:02:39:16</t>
  </si>
  <si>
    <t>0:02:39:17</t>
  </si>
  <si>
    <t>0:02:39:18</t>
  </si>
  <si>
    <t>0:02:39:19</t>
  </si>
  <si>
    <t>0:02:39:20</t>
  </si>
  <si>
    <t>0:02:39:21</t>
  </si>
  <si>
    <t>0:02:39:22</t>
  </si>
  <si>
    <t>0:02:39:23</t>
  </si>
  <si>
    <t>0:02:39:24</t>
  </si>
  <si>
    <t>0:02:40:00</t>
  </si>
  <si>
    <t>0:02:40:01</t>
  </si>
  <si>
    <t>0:02:40:02</t>
  </si>
  <si>
    <t>0:02:40:03</t>
  </si>
  <si>
    <t>0:02:40:04</t>
  </si>
  <si>
    <t>0:02:40:05</t>
  </si>
  <si>
    <t>0:02:40:06</t>
  </si>
  <si>
    <t>0:02:40:07</t>
  </si>
  <si>
    <t>0:02:40:08</t>
  </si>
  <si>
    <t>0:02:40:09</t>
  </si>
  <si>
    <t>0:02:40:10</t>
  </si>
  <si>
    <t>0:02:40:11</t>
  </si>
  <si>
    <t>0:02:40:12</t>
  </si>
  <si>
    <t>0:02:40:13</t>
  </si>
  <si>
    <t>0:02:40:14</t>
  </si>
  <si>
    <t>0:02:40:15</t>
  </si>
  <si>
    <t>0:02:40:16</t>
  </si>
  <si>
    <t>0:02:40:17</t>
  </si>
  <si>
    <t>0:02:40:18</t>
  </si>
  <si>
    <t>0:02:40:19</t>
  </si>
  <si>
    <t>0:02:40:20</t>
  </si>
  <si>
    <t>0:02:40:21</t>
  </si>
  <si>
    <t>0:02:40:22</t>
  </si>
  <si>
    <t>0:02:40:23</t>
  </si>
  <si>
    <t>0:02:40:24</t>
  </si>
  <si>
    <t>0:02:41:00</t>
  </si>
  <si>
    <t>0:02:41:01</t>
  </si>
  <si>
    <t>0:02:41:02</t>
  </si>
  <si>
    <t>0:02:41:03</t>
  </si>
  <si>
    <t>0:02:41:04</t>
  </si>
  <si>
    <t>0:02:41:05</t>
  </si>
  <si>
    <t>0:02:41:06</t>
  </si>
  <si>
    <t>0:02:41:07</t>
  </si>
  <si>
    <t>0:02:41:08</t>
  </si>
  <si>
    <t>0:02:41:09</t>
  </si>
  <si>
    <t>0:02:41:10</t>
  </si>
  <si>
    <t>0:02:41:11</t>
  </si>
  <si>
    <t>0:02:41:12</t>
  </si>
  <si>
    <t>0:02:41:13</t>
  </si>
  <si>
    <t>0:02:41:14</t>
  </si>
  <si>
    <t>0:02:41:15</t>
  </si>
  <si>
    <t>0:02:41:16</t>
  </si>
  <si>
    <t>0:02:41:17</t>
  </si>
  <si>
    <t>0:02:41:18</t>
  </si>
  <si>
    <t>0:02:41:19</t>
  </si>
  <si>
    <t>0:02:41:20</t>
  </si>
  <si>
    <t>0:02:41:21</t>
  </si>
  <si>
    <t>0:02:41:22</t>
  </si>
  <si>
    <t>0:02:41:23</t>
  </si>
  <si>
    <t>0:02:41:24</t>
  </si>
  <si>
    <t>0:02:42:00</t>
  </si>
  <si>
    <t>0:02:42:01</t>
  </si>
  <si>
    <t>0:02:42:02</t>
  </si>
  <si>
    <t>0:02:42:03</t>
  </si>
  <si>
    <t>0:02:42:04</t>
  </si>
  <si>
    <t>0:02:42:05</t>
  </si>
  <si>
    <t>0:02:42:06</t>
  </si>
  <si>
    <t>0:02:42:07</t>
  </si>
  <si>
    <t>0:02:42:08</t>
  </si>
  <si>
    <t>0:02:42:09</t>
  </si>
  <si>
    <t>0:02:42:10</t>
  </si>
  <si>
    <t>0:02:42:11</t>
  </si>
  <si>
    <t>0:02:42:12</t>
  </si>
  <si>
    <t>0:02:42:13</t>
  </si>
  <si>
    <t>0:02:42:14</t>
  </si>
  <si>
    <t>0:02:42:15</t>
  </si>
  <si>
    <t>0:02:42:16</t>
  </si>
  <si>
    <t>0:02:42:17</t>
  </si>
  <si>
    <t>0:02:42:18</t>
  </si>
  <si>
    <t>0:02:42:19</t>
  </si>
  <si>
    <t>0:02:42:20</t>
  </si>
  <si>
    <t>0:02:42:21</t>
  </si>
  <si>
    <t>0:02:42:22</t>
  </si>
  <si>
    <t>0:02:42:23</t>
  </si>
  <si>
    <t>0:02:42:24</t>
  </si>
  <si>
    <t>0:02:43:00</t>
  </si>
  <si>
    <t>0:02:43:01</t>
  </si>
  <si>
    <t>0:02:43:02</t>
  </si>
  <si>
    <t>0:02:43:03</t>
  </si>
  <si>
    <t>0:02:43:04</t>
  </si>
  <si>
    <t>0:02:43:05</t>
  </si>
  <si>
    <t>0:02:43:06</t>
  </si>
  <si>
    <t>0:02:43:07</t>
  </si>
  <si>
    <t>0:02:43:08</t>
  </si>
  <si>
    <t>0:02:43:09</t>
  </si>
  <si>
    <t>0:02:43:10</t>
  </si>
  <si>
    <t>0:02:43:11</t>
  </si>
  <si>
    <t>0:02:43:12</t>
  </si>
  <si>
    <t>0:02:43:13</t>
  </si>
  <si>
    <t>0:02:43:14</t>
  </si>
  <si>
    <t>0:02:43:15</t>
  </si>
  <si>
    <t>0:02:43:16</t>
  </si>
  <si>
    <t>0:02:43:17</t>
  </si>
  <si>
    <t>0:02:43:18</t>
  </si>
  <si>
    <t>0:02:43:19</t>
  </si>
  <si>
    <t>0:02:43:20</t>
  </si>
  <si>
    <t>0:02:43:21</t>
  </si>
  <si>
    <t>0:02:43:22</t>
  </si>
  <si>
    <t>0:02:43:23</t>
  </si>
  <si>
    <t>0:02:43:24</t>
  </si>
  <si>
    <t>0:02:44:00</t>
  </si>
  <si>
    <t>0:02:44:01</t>
  </si>
  <si>
    <t>0:02:44:02</t>
  </si>
  <si>
    <t>0:02:44:03</t>
  </si>
  <si>
    <t>0:02:44:04</t>
  </si>
  <si>
    <t>0:02:44:05</t>
  </si>
  <si>
    <t>0:02:44:06</t>
  </si>
  <si>
    <t>0:02:44:07</t>
  </si>
  <si>
    <t>0:02:44:08</t>
  </si>
  <si>
    <t>0:02:44:09</t>
  </si>
  <si>
    <t>0:02:44:10</t>
  </si>
  <si>
    <t>0:02:44:11</t>
  </si>
  <si>
    <t>0:02:44:12</t>
  </si>
  <si>
    <t>0:02:44:13</t>
  </si>
  <si>
    <t>0:02:44:14</t>
  </si>
  <si>
    <t>0:02:44:15</t>
  </si>
  <si>
    <t>0:02:44:16</t>
  </si>
  <si>
    <t>0:02:44:17</t>
  </si>
  <si>
    <t>0:02:44:18</t>
  </si>
  <si>
    <t>0:02:44:19</t>
  </si>
  <si>
    <t>0:02:44:20</t>
  </si>
  <si>
    <t>0:02:44:21</t>
  </si>
  <si>
    <t>0:02:44:22</t>
  </si>
  <si>
    <t>0:02:44:23</t>
  </si>
  <si>
    <t>0:02:44:24</t>
  </si>
  <si>
    <t>0:02:45:00</t>
  </si>
  <si>
    <t>0:02:45:01</t>
  </si>
  <si>
    <t>0:02:45:02</t>
  </si>
  <si>
    <t>0:02:45:03</t>
  </si>
  <si>
    <t>0:02:45:04</t>
  </si>
  <si>
    <t>0:02:45:05</t>
  </si>
  <si>
    <t>0:02:45:06</t>
  </si>
  <si>
    <t>0:02:45:07</t>
  </si>
  <si>
    <t>0:02:45:08</t>
  </si>
  <si>
    <t>0:02:45:09</t>
  </si>
  <si>
    <t>0:02:45:10</t>
  </si>
  <si>
    <t>0:02:45:11</t>
  </si>
  <si>
    <t>0:02:45:12</t>
  </si>
  <si>
    <t>0:02:45:13</t>
  </si>
  <si>
    <t>0:02:45:14</t>
  </si>
  <si>
    <t>0:02:45:15</t>
  </si>
  <si>
    <t>0:02:45:16</t>
  </si>
  <si>
    <t>0:02:45:17</t>
  </si>
  <si>
    <t>0:02:45:18</t>
  </si>
  <si>
    <t>0:02:45:19</t>
  </si>
  <si>
    <t>0:02:45:20</t>
  </si>
  <si>
    <t>0:02:45:21</t>
  </si>
  <si>
    <t>0:02:45:22</t>
  </si>
  <si>
    <t>0:02:45:23</t>
  </si>
  <si>
    <t>0:02:45:24</t>
  </si>
  <si>
    <t>0:02:46:00</t>
  </si>
  <si>
    <t>0:02:46:01</t>
  </si>
  <si>
    <t>0:02:46:02</t>
  </si>
  <si>
    <t>0:02:46:03</t>
  </si>
  <si>
    <t>0:02:46:04</t>
  </si>
  <si>
    <t>0:02:46:05</t>
  </si>
  <si>
    <t>0:02:46:06</t>
  </si>
  <si>
    <t>0:02:46:07</t>
  </si>
  <si>
    <t>0:02:46:08</t>
  </si>
  <si>
    <t>0:02:46:09</t>
  </si>
  <si>
    <t>0:02:46:10</t>
  </si>
  <si>
    <t>0:02:46:11</t>
  </si>
  <si>
    <t>0:02:46:12</t>
  </si>
  <si>
    <t>0:02:46:13</t>
  </si>
  <si>
    <t>0:02:46:14</t>
  </si>
  <si>
    <t>0:02:46:15</t>
  </si>
  <si>
    <t>0:02:46:16</t>
  </si>
  <si>
    <t>0:02:46:17</t>
  </si>
  <si>
    <t>0:02:46:18</t>
  </si>
  <si>
    <t>0:02:46:19</t>
  </si>
  <si>
    <t>0:02:46:20</t>
  </si>
  <si>
    <t>0:02:46:21</t>
  </si>
  <si>
    <t>0:02:46:22</t>
  </si>
  <si>
    <t>0:02:46:23</t>
  </si>
  <si>
    <t>0:02:46:24</t>
  </si>
  <si>
    <t>0:02:47:00</t>
  </si>
  <si>
    <t>0:02:47:01</t>
  </si>
  <si>
    <t>0:02:47:02</t>
  </si>
  <si>
    <t>0:02:47:03</t>
  </si>
  <si>
    <t>0:02:47:04</t>
  </si>
  <si>
    <t>0:02:47:05</t>
  </si>
  <si>
    <t>0:02:47:06</t>
  </si>
  <si>
    <t>0:02:47:07</t>
  </si>
  <si>
    <t>0:02:47:08</t>
  </si>
  <si>
    <t>0:02:47:09</t>
  </si>
  <si>
    <t>0:02:47:10</t>
  </si>
  <si>
    <t>0:02:47:11</t>
  </si>
  <si>
    <t>0:02:47:12</t>
  </si>
  <si>
    <t>0:02:47:13</t>
  </si>
  <si>
    <t>0:02:47:14</t>
  </si>
  <si>
    <t>0:02:47:15</t>
  </si>
  <si>
    <t>0:02:47:16</t>
  </si>
  <si>
    <t>0:02:47:17</t>
  </si>
  <si>
    <t>0:02:47:18</t>
  </si>
  <si>
    <t>0:02:47:19</t>
  </si>
  <si>
    <t>0:02:47:20</t>
  </si>
  <si>
    <t>0:02:47:21</t>
  </si>
  <si>
    <t>0:02:47:22</t>
  </si>
  <si>
    <t>0:02:47:23</t>
  </si>
  <si>
    <t>0:02:47:24</t>
  </si>
  <si>
    <t>0:02:48:00</t>
  </si>
  <si>
    <t>0:02:48:01</t>
  </si>
  <si>
    <t>0:02:48:02</t>
  </si>
  <si>
    <t>0:02:48:03</t>
  </si>
  <si>
    <t>0:02:48:04</t>
  </si>
  <si>
    <t>0:02:48:05</t>
  </si>
  <si>
    <t>0:02:48:06</t>
  </si>
  <si>
    <t>0:02:48:07</t>
  </si>
  <si>
    <t>0:02:48:08</t>
  </si>
  <si>
    <t>0:02:48:09</t>
  </si>
  <si>
    <t>0:02:48:10</t>
  </si>
  <si>
    <t>0:02:48:11</t>
  </si>
  <si>
    <t>0:02:48:12</t>
  </si>
  <si>
    <t>0:02:48:13</t>
  </si>
  <si>
    <t>0:02:48:14</t>
  </si>
  <si>
    <t>0:02:48:15</t>
  </si>
  <si>
    <t>0:02:48:16</t>
  </si>
  <si>
    <t>0:02:48:17</t>
  </si>
  <si>
    <t>0:02:48:18</t>
  </si>
  <si>
    <t>0:02:48:19</t>
  </si>
  <si>
    <t>0:02:48:20</t>
  </si>
  <si>
    <t>0:02:48:21</t>
  </si>
  <si>
    <t>0:02:48:22</t>
  </si>
  <si>
    <t>0:02:48:23</t>
  </si>
  <si>
    <t>0:02:48:24</t>
  </si>
  <si>
    <t>0:02:49:00</t>
  </si>
  <si>
    <t>0:02:49:01</t>
  </si>
  <si>
    <t>0:02:49:02</t>
  </si>
  <si>
    <t>0:02:49:03</t>
  </si>
  <si>
    <t>0:02:49:04</t>
  </si>
  <si>
    <t>0:02:49:05</t>
  </si>
  <si>
    <t>0:02:49:06</t>
  </si>
  <si>
    <t>0:02:49:07</t>
  </si>
  <si>
    <t>0:02:49:08</t>
  </si>
  <si>
    <t>0:02:49:09</t>
  </si>
  <si>
    <t>0:02:49:10</t>
  </si>
  <si>
    <t>0:02:49:11</t>
  </si>
  <si>
    <t>0:02:49:12</t>
  </si>
  <si>
    <t>0:02:49:13</t>
  </si>
  <si>
    <t>0:02:49:14</t>
  </si>
  <si>
    <t>0:02:49:15</t>
  </si>
  <si>
    <t>0:02:49:16</t>
  </si>
  <si>
    <t>0:02:49:17</t>
  </si>
  <si>
    <t>0:02:49:18</t>
  </si>
  <si>
    <t>0:02:49:19</t>
  </si>
  <si>
    <t>0:02:49:20</t>
  </si>
  <si>
    <t>0:02:49:21</t>
  </si>
  <si>
    <t>0:02:49:22</t>
  </si>
  <si>
    <t>0:02:49:23</t>
  </si>
  <si>
    <t>0:02:49:24</t>
  </si>
  <si>
    <t>0:02:50:00</t>
  </si>
  <si>
    <t>0:02:50:01</t>
  </si>
  <si>
    <t>0:02:50:02</t>
  </si>
  <si>
    <t>0:02:50:03</t>
  </si>
  <si>
    <t>0:02:50:04</t>
  </si>
  <si>
    <t>0:02:50:05</t>
  </si>
  <si>
    <t>0:02:50:06</t>
  </si>
  <si>
    <t>0:02:50:07</t>
  </si>
  <si>
    <t>0:02:50:08</t>
  </si>
  <si>
    <t>0:02:50:09</t>
  </si>
  <si>
    <t>0:02:50:10</t>
  </si>
  <si>
    <t>0:02:50:11</t>
  </si>
  <si>
    <t>0:02:50:12</t>
  </si>
  <si>
    <t>0:02:50:13</t>
  </si>
  <si>
    <t>0:02:50:14</t>
  </si>
  <si>
    <t>0:02:50:15</t>
  </si>
  <si>
    <t>0:02:50:16</t>
  </si>
  <si>
    <t>0:02:50:17</t>
  </si>
  <si>
    <t>0:02:50:18</t>
  </si>
  <si>
    <t>0:02:50:19</t>
  </si>
  <si>
    <t>0:02:50:20</t>
  </si>
  <si>
    <t>0:02:50:21</t>
  </si>
  <si>
    <t>0:02:50:22</t>
  </si>
  <si>
    <t>0:02:50:23</t>
  </si>
  <si>
    <t>0:02:50:24</t>
  </si>
  <si>
    <t>0:02:51:00</t>
  </si>
  <si>
    <t>0:02:51:01</t>
  </si>
  <si>
    <t>0:02:51:02</t>
  </si>
  <si>
    <t>0:02:51:03</t>
  </si>
  <si>
    <t>0:02:51:04</t>
  </si>
  <si>
    <t>0:02:51:05</t>
  </si>
  <si>
    <t>0:02:51:06</t>
  </si>
  <si>
    <t>0:02:51:07</t>
  </si>
  <si>
    <t>0:02:51:08</t>
  </si>
  <si>
    <t>0:02:51:09</t>
  </si>
  <si>
    <t>0:02:51:10</t>
  </si>
  <si>
    <t>0:02:51:11</t>
  </si>
  <si>
    <t>0:02:51:12</t>
  </si>
  <si>
    <t>0:02:51:13</t>
  </si>
  <si>
    <t>0:02:51:14</t>
  </si>
  <si>
    <t>0:02:51:15</t>
  </si>
  <si>
    <t>0:02:51:16</t>
  </si>
  <si>
    <t>0:02:51:17</t>
  </si>
  <si>
    <t>0:02:51:18</t>
  </si>
  <si>
    <t>0:02:51:19</t>
  </si>
  <si>
    <t>0:02:51:20</t>
  </si>
  <si>
    <t>0:02:51:21</t>
  </si>
  <si>
    <t>0:02:51:22</t>
  </si>
  <si>
    <t>0:02:51:23</t>
  </si>
  <si>
    <t>0:02:51:24</t>
  </si>
  <si>
    <t>0:02:52:00</t>
  </si>
  <si>
    <t>0:02:52:01</t>
  </si>
  <si>
    <t>0:02:52:02</t>
  </si>
  <si>
    <t>0:02:52:03</t>
  </si>
  <si>
    <t>0:02:52:04</t>
  </si>
  <si>
    <t>0:02:52:05</t>
  </si>
  <si>
    <t>0:02:52:06</t>
  </si>
  <si>
    <t>0:02:52:07</t>
  </si>
  <si>
    <t>0:02:52:08</t>
  </si>
  <si>
    <t>0:02:52:09</t>
  </si>
  <si>
    <t>0:02:52:10</t>
  </si>
  <si>
    <t>0:02:52:11</t>
  </si>
  <si>
    <t>0:02:52:12</t>
  </si>
  <si>
    <t>0:02:52:13</t>
  </si>
  <si>
    <t>0:02:52:14</t>
  </si>
  <si>
    <t>0:02:52:15</t>
  </si>
  <si>
    <t>0:02:52:16</t>
  </si>
  <si>
    <t>0:02:52:17</t>
  </si>
  <si>
    <t>0:02:52:18</t>
  </si>
  <si>
    <t>0:02:52:19</t>
  </si>
  <si>
    <t>0:02:52:20</t>
  </si>
  <si>
    <t>0:02:52:21</t>
  </si>
  <si>
    <t>0:02:52:22</t>
  </si>
  <si>
    <t>0:02:52:23</t>
  </si>
  <si>
    <t>0:02:52:24</t>
  </si>
  <si>
    <t>0:02:53:00</t>
  </si>
  <si>
    <t>0:02:53:01</t>
  </si>
  <si>
    <t>0:02:53:02</t>
  </si>
  <si>
    <t>0:02:53:03</t>
  </si>
  <si>
    <t>0:02:53:04</t>
  </si>
  <si>
    <t>0:02:53:05</t>
  </si>
  <si>
    <t>0:02:53:06</t>
  </si>
  <si>
    <t>0:02:53:07</t>
  </si>
  <si>
    <t>0:02:53:08</t>
  </si>
  <si>
    <t>0:02:53:09</t>
  </si>
  <si>
    <t>0:02:53:10</t>
  </si>
  <si>
    <t>0:02:53:11</t>
  </si>
  <si>
    <t>0:02:53:12</t>
  </si>
  <si>
    <t>0:02:53:13</t>
  </si>
  <si>
    <t>0:02:53:14</t>
  </si>
  <si>
    <t>0:02:53:15</t>
  </si>
  <si>
    <t>0:02:53:16</t>
  </si>
  <si>
    <t>0:02:53:17</t>
  </si>
  <si>
    <t>0:02:53:18</t>
  </si>
  <si>
    <t>0:02:53:19</t>
  </si>
  <si>
    <t>0:02:53:20</t>
  </si>
  <si>
    <t>0:02:53:21</t>
  </si>
  <si>
    <t>0:02:53:22</t>
  </si>
  <si>
    <t>0:02:53:23</t>
  </si>
  <si>
    <t>0:02:53:24</t>
  </si>
  <si>
    <t>0:02:54:00</t>
  </si>
  <si>
    <t>0:02:54:01</t>
  </si>
  <si>
    <t>0:02:54:02</t>
  </si>
  <si>
    <t>0:02:54:03</t>
  </si>
  <si>
    <t>0:02:54:04</t>
  </si>
  <si>
    <t>0:02:54:05</t>
  </si>
  <si>
    <t>0:02:54:06</t>
  </si>
  <si>
    <t>0:02:54:07</t>
  </si>
  <si>
    <t>0:02:54:08</t>
  </si>
  <si>
    <t>0:02:54:09</t>
  </si>
  <si>
    <t>0:02:54:10</t>
  </si>
  <si>
    <t>0:02:54:11</t>
  </si>
  <si>
    <t>0:02:54:12</t>
  </si>
  <si>
    <t>0:02:54:13</t>
  </si>
  <si>
    <t>0:02:54:14</t>
  </si>
  <si>
    <t>0:02:54:15</t>
  </si>
  <si>
    <t>0:02:54:16</t>
  </si>
  <si>
    <t>0:02:54:17</t>
  </si>
  <si>
    <t>0:02:54:18</t>
  </si>
  <si>
    <t>0:02:54:19</t>
  </si>
  <si>
    <t>0:02:54:20</t>
  </si>
  <si>
    <t>0:02:54:21</t>
  </si>
  <si>
    <t>0:02:54:22</t>
  </si>
  <si>
    <t>0:02:54:23</t>
  </si>
  <si>
    <t>0:02:54:24</t>
  </si>
  <si>
    <t>0:02:55:00</t>
  </si>
  <si>
    <t>0:02:55:01</t>
  </si>
  <si>
    <t>0:02:55:02</t>
  </si>
  <si>
    <t>0:02:55:03</t>
  </si>
  <si>
    <t>0:02:55:04</t>
  </si>
  <si>
    <t>0:02:55:05</t>
  </si>
  <si>
    <t>0:02:55:06</t>
  </si>
  <si>
    <t>0:02:55:07</t>
  </si>
  <si>
    <t>0:02:55:08</t>
  </si>
  <si>
    <t>0:02:55:09</t>
  </si>
  <si>
    <t>0:02:55:10</t>
  </si>
  <si>
    <t>0:02:55:11</t>
  </si>
  <si>
    <t>0:02:55:12</t>
  </si>
  <si>
    <t>0:02:55:13</t>
  </si>
  <si>
    <t>0:02:55:14</t>
  </si>
  <si>
    <t>0:02:55:15</t>
  </si>
  <si>
    <t>0:02:55:16</t>
  </si>
  <si>
    <t>0:02:55:17</t>
  </si>
  <si>
    <t>0:02:55:18</t>
  </si>
  <si>
    <t>0:02:55:19</t>
  </si>
  <si>
    <t>0:02:55:20</t>
  </si>
  <si>
    <t>0:02:55:21</t>
  </si>
  <si>
    <t>0:02:55:22</t>
  </si>
  <si>
    <t>0:02:55:23</t>
  </si>
  <si>
    <t>0:02:55:24</t>
  </si>
  <si>
    <t>0:02:56:00</t>
  </si>
  <si>
    <t>0:02:56:01</t>
  </si>
  <si>
    <t>0:02:56:02</t>
  </si>
  <si>
    <t>0:02:56:03</t>
  </si>
  <si>
    <t>0:02:56:04</t>
  </si>
  <si>
    <t>0:02:56:05</t>
  </si>
  <si>
    <t>0:02:56:06</t>
  </si>
  <si>
    <t>0:02:56:07</t>
  </si>
  <si>
    <t>0:02:56:08</t>
  </si>
  <si>
    <t>0:02:56:09</t>
  </si>
  <si>
    <t>0:02:56:10</t>
  </si>
  <si>
    <t>0:02:56:11</t>
  </si>
  <si>
    <t>0:02:56:12</t>
  </si>
  <si>
    <t>0:02:56:13</t>
  </si>
  <si>
    <t>0:02:56:14</t>
  </si>
  <si>
    <t>0:02:56:15</t>
  </si>
  <si>
    <t>0:02:56:16</t>
  </si>
  <si>
    <t>0:02:56:17</t>
  </si>
  <si>
    <t>0:02:56:18</t>
  </si>
  <si>
    <t>0:02:56:19</t>
  </si>
  <si>
    <t>0:02:56:20</t>
  </si>
  <si>
    <t>0:02:56:21</t>
  </si>
  <si>
    <t>0:02:56:22</t>
  </si>
  <si>
    <t>0:02:56:23</t>
  </si>
  <si>
    <t>0:02:56:24</t>
  </si>
  <si>
    <t>0:02:57:00</t>
  </si>
  <si>
    <t>0:02:57:01</t>
  </si>
  <si>
    <t>0:02:57:02</t>
  </si>
  <si>
    <t>0:02:57:03</t>
  </si>
  <si>
    <t>0:02:57:04</t>
  </si>
  <si>
    <t>0:02:57:05</t>
  </si>
  <si>
    <t>0:02:57:06</t>
  </si>
  <si>
    <t>0:02:57:07</t>
  </si>
  <si>
    <t>0:02:57:08</t>
  </si>
  <si>
    <t>0:02:57:09</t>
  </si>
  <si>
    <t>0:02:57:10</t>
  </si>
  <si>
    <t>0:02:57:11</t>
  </si>
  <si>
    <t>0:02:57:12</t>
  </si>
  <si>
    <t>0:02:57:13</t>
  </si>
  <si>
    <t>0:02:57:14</t>
  </si>
  <si>
    <t>0:02:57:15</t>
  </si>
  <si>
    <t>0:02:57:16</t>
  </si>
  <si>
    <t>0:02:57:17</t>
  </si>
  <si>
    <t>0:02:57:18</t>
  </si>
  <si>
    <t>0:02:57:19</t>
  </si>
  <si>
    <t>0:02:57:20</t>
  </si>
  <si>
    <t>0:02:57:21</t>
  </si>
  <si>
    <t>0:02:57:22</t>
  </si>
  <si>
    <t>0:02:57:23</t>
  </si>
  <si>
    <t>0:02:57:24</t>
  </si>
  <si>
    <t>0:02:58:00</t>
  </si>
  <si>
    <t>0:02:58:01</t>
  </si>
  <si>
    <t>0:02:58:02</t>
  </si>
  <si>
    <t>0:02:58:03</t>
  </si>
  <si>
    <t>0:02:58:04</t>
  </si>
  <si>
    <t>0:02:58:05</t>
  </si>
  <si>
    <t>0:02:58:06</t>
  </si>
  <si>
    <t>0:02:58:07</t>
  </si>
  <si>
    <t>0:02:58:08</t>
  </si>
  <si>
    <t>0:02:58:09</t>
  </si>
  <si>
    <t>0:02:58:10</t>
  </si>
  <si>
    <t>0:02:58:11</t>
  </si>
  <si>
    <t>0:02:58:12</t>
  </si>
  <si>
    <t>0:02:58:13</t>
  </si>
  <si>
    <t>0:02:58:14</t>
  </si>
  <si>
    <t>0:02:58:15</t>
  </si>
  <si>
    <t>0:02:58:16</t>
  </si>
  <si>
    <t>0:02:58:17</t>
  </si>
  <si>
    <t>0:02:58:18</t>
  </si>
  <si>
    <t>0:02:58:19</t>
  </si>
  <si>
    <t>0:02:58:20</t>
  </si>
  <si>
    <t>0:02:58:21</t>
  </si>
  <si>
    <t>0:02:58:22</t>
  </si>
  <si>
    <t>0:02:58:23</t>
  </si>
  <si>
    <t>0:02:58:24</t>
  </si>
  <si>
    <t>0:02:59:00</t>
  </si>
  <si>
    <t>0:02:59:01</t>
  </si>
  <si>
    <t>0:02:59:02</t>
  </si>
  <si>
    <t>0:02:59:03</t>
  </si>
  <si>
    <t>0:02:59:04</t>
  </si>
  <si>
    <t>0:02:59:05</t>
  </si>
  <si>
    <t>0:02:59:06</t>
  </si>
  <si>
    <t>0:02:59:07</t>
  </si>
  <si>
    <t>0:02:59:08</t>
  </si>
  <si>
    <t>0:02:59:09</t>
  </si>
  <si>
    <t>0:02:59:10</t>
  </si>
  <si>
    <t>0:02:59:11</t>
  </si>
  <si>
    <t>0:02:59:12</t>
  </si>
  <si>
    <t>0:02:59:13</t>
  </si>
  <si>
    <t>0:02:59:14</t>
  </si>
  <si>
    <t>0:02:59:15</t>
  </si>
  <si>
    <t>0:02:59:16</t>
  </si>
  <si>
    <t>0:02:59:17</t>
  </si>
  <si>
    <t>0:02:59:18</t>
  </si>
  <si>
    <t>0:02:59:19</t>
  </si>
  <si>
    <t>0:02:59:20</t>
  </si>
  <si>
    <t>0:02:59:21</t>
  </si>
  <si>
    <t>0:02:59:22</t>
  </si>
  <si>
    <t>0:02:59:23</t>
  </si>
  <si>
    <t>0:02:59:24</t>
  </si>
  <si>
    <t>0:03:00:00</t>
  </si>
  <si>
    <t>0:03:00:01</t>
  </si>
  <si>
    <t>0:03:00:02</t>
  </si>
  <si>
    <t>0:03:00:03</t>
  </si>
  <si>
    <t>0:03:00:04</t>
  </si>
  <si>
    <t>0:03:00:05</t>
  </si>
  <si>
    <t>0:03:00:06</t>
  </si>
  <si>
    <t>0:03:00:07</t>
  </si>
  <si>
    <t>0:03:00:08</t>
  </si>
  <si>
    <t>0:03:00:09</t>
  </si>
  <si>
    <t>0:03:00:10</t>
  </si>
  <si>
    <t>0:03:00:11</t>
  </si>
  <si>
    <t>0:03:00:12</t>
  </si>
  <si>
    <t>0:03:00:13</t>
  </si>
  <si>
    <t>0:03:00:14</t>
  </si>
  <si>
    <t>0:03:00:15</t>
  </si>
  <si>
    <t>0:03:00:16</t>
  </si>
  <si>
    <t>0:03:00:17</t>
  </si>
  <si>
    <t>0:03:00:18</t>
  </si>
  <si>
    <t>0:03:00:19</t>
  </si>
  <si>
    <t>0:03:00:20</t>
  </si>
  <si>
    <t>0:03:00:21</t>
  </si>
  <si>
    <t>0:03:00:22</t>
  </si>
  <si>
    <t>0:03:00:23</t>
  </si>
  <si>
    <t>0:03:00:24</t>
  </si>
  <si>
    <t>0:03:01:00</t>
  </si>
  <si>
    <t>0:03:01:01</t>
  </si>
  <si>
    <t>0:03:01:02</t>
  </si>
  <si>
    <t>0:03:01:03</t>
  </si>
  <si>
    <t>0:03:01:04</t>
  </si>
  <si>
    <t>0:03:01:05</t>
  </si>
  <si>
    <t>0:03:01:06</t>
  </si>
  <si>
    <t>0:03:01:07</t>
  </si>
  <si>
    <t>0:03:01:08</t>
  </si>
  <si>
    <t>0:03:01:09</t>
  </si>
  <si>
    <t>0:03:01:10</t>
  </si>
  <si>
    <t>0:03:01:11</t>
  </si>
  <si>
    <t>0:03:01:12</t>
  </si>
  <si>
    <t>0:03:01:13</t>
  </si>
  <si>
    <t>0:03:01:14</t>
  </si>
  <si>
    <t>0:03:01:15</t>
  </si>
  <si>
    <t>0:03:01:16</t>
  </si>
  <si>
    <t>0:03:01:17</t>
  </si>
  <si>
    <t>0:03:01:18</t>
  </si>
  <si>
    <t>0:03:01:19</t>
  </si>
  <si>
    <t>0:03:01:20</t>
  </si>
  <si>
    <t>0:03:01:21</t>
  </si>
  <si>
    <t>0:03:01:22</t>
  </si>
  <si>
    <t>0:03:01:23</t>
  </si>
  <si>
    <t>0:03:01:24</t>
  </si>
  <si>
    <t>0:03:02:00</t>
  </si>
  <si>
    <t>0:03:02:01</t>
  </si>
  <si>
    <t>0:03:02:02</t>
  </si>
  <si>
    <t>0:03:02:03</t>
  </si>
  <si>
    <t>0:03:02:04</t>
  </si>
  <si>
    <t>0:03:02:05</t>
  </si>
  <si>
    <t>0:03:02:06</t>
  </si>
  <si>
    <t>0:03:02:07</t>
  </si>
  <si>
    <t>0:03:02:08</t>
  </si>
  <si>
    <t>0:03:02:09</t>
  </si>
  <si>
    <t>0:03:02:10</t>
  </si>
  <si>
    <t>0:03:02:11</t>
  </si>
  <si>
    <t>0:03:02:12</t>
  </si>
  <si>
    <t>0:03:02:13</t>
  </si>
  <si>
    <t>0:03:02:14</t>
  </si>
  <si>
    <t>0:03:02:15</t>
  </si>
  <si>
    <t>0:03:02:16</t>
  </si>
  <si>
    <t>0:03:02:17</t>
  </si>
  <si>
    <t>0:03:02:18</t>
  </si>
  <si>
    <t>0:03:02:19</t>
  </si>
  <si>
    <t>0:03:02:20</t>
  </si>
  <si>
    <t>0:03:02:21</t>
  </si>
  <si>
    <t>0:03:02:22</t>
  </si>
  <si>
    <t>0:03:02:23</t>
  </si>
  <si>
    <t>0:03:02:24</t>
  </si>
  <si>
    <t>0:03:03:00</t>
  </si>
  <si>
    <t>0:03:03:01</t>
  </si>
  <si>
    <t>0:03:03:02</t>
  </si>
  <si>
    <t>0:03:03:03</t>
  </si>
  <si>
    <t>0:03:03:04</t>
  </si>
  <si>
    <t>0:03:03:05</t>
  </si>
  <si>
    <t>0:03:03:06</t>
  </si>
  <si>
    <t>0:03:03:07</t>
  </si>
  <si>
    <t>0:03:03:08</t>
  </si>
  <si>
    <t>0:03:03:09</t>
  </si>
  <si>
    <t>0:03:03:10</t>
  </si>
  <si>
    <t>0:03:03:11</t>
  </si>
  <si>
    <t>0:03:03:12</t>
  </si>
  <si>
    <t>0:03:03:13</t>
  </si>
  <si>
    <t>0:03:03:14</t>
  </si>
  <si>
    <t>0:03:03:15</t>
  </si>
  <si>
    <t>0:03:03:16</t>
  </si>
  <si>
    <t>0:03:03:17</t>
  </si>
  <si>
    <t>0:03:03:18</t>
  </si>
  <si>
    <t>0:03:03:19</t>
  </si>
  <si>
    <t>0:03:03:20</t>
  </si>
  <si>
    <t>0:03:03:21</t>
  </si>
  <si>
    <t>0:03:03:22</t>
  </si>
  <si>
    <t>0:03:03:23</t>
  </si>
  <si>
    <t>0:03:03:24</t>
  </si>
  <si>
    <t>0:03:04:00</t>
  </si>
  <si>
    <t>0:03:04:01</t>
  </si>
  <si>
    <t>0:03:04:02</t>
  </si>
  <si>
    <t>0:03:04:03</t>
  </si>
  <si>
    <t>0:03:04:04</t>
  </si>
  <si>
    <t>0:03:04:05</t>
  </si>
  <si>
    <t>0:03:04:06</t>
  </si>
  <si>
    <t>0:03:04:07</t>
  </si>
  <si>
    <t>0:03:04:08</t>
  </si>
  <si>
    <t>0:03:04:09</t>
  </si>
  <si>
    <t>0:03:04:10</t>
  </si>
  <si>
    <t>0:03:04:11</t>
  </si>
  <si>
    <t>0:03:04:12</t>
  </si>
  <si>
    <t>0:03:04:13</t>
  </si>
  <si>
    <t>0:03:04:14</t>
  </si>
  <si>
    <t>0:03:04:15</t>
  </si>
  <si>
    <t>0:03:04:16</t>
  </si>
  <si>
    <t>0:03:04:17</t>
  </si>
  <si>
    <t>0:03:04:18</t>
  </si>
  <si>
    <t>0:03:04:19</t>
  </si>
  <si>
    <t>0:03:04:20</t>
  </si>
  <si>
    <t>0:03:04:21</t>
  </si>
  <si>
    <t>0:03:04:22</t>
  </si>
  <si>
    <t>0:03:04:23</t>
  </si>
  <si>
    <t>0:03:04:24</t>
  </si>
  <si>
    <t>0:03:05:00</t>
  </si>
  <si>
    <t>0:03:05:01</t>
  </si>
  <si>
    <t>0:03:05:02</t>
  </si>
  <si>
    <t>0:03:05:03</t>
  </si>
  <si>
    <t>0:03:05:04</t>
  </si>
  <si>
    <t>0:03:05:05</t>
  </si>
  <si>
    <t>0:03:05:06</t>
  </si>
  <si>
    <t>0:03:05:07</t>
  </si>
  <si>
    <t>0:03:05:08</t>
  </si>
  <si>
    <t>0:03:05:09</t>
  </si>
  <si>
    <t>0:03:05:10</t>
  </si>
  <si>
    <t>0:03:05:11</t>
  </si>
  <si>
    <t>0:03:05:12</t>
  </si>
  <si>
    <t>0:03:05:13</t>
  </si>
  <si>
    <t>0:03:05:14</t>
  </si>
  <si>
    <t>0:03:05:15</t>
  </si>
  <si>
    <t>0:03:05:16</t>
  </si>
  <si>
    <t>0:03:05:17</t>
  </si>
  <si>
    <t>0:03:05:18</t>
  </si>
  <si>
    <t>0:03:05:19</t>
  </si>
  <si>
    <t>0:03:05:20</t>
  </si>
  <si>
    <t>0:03:05:21</t>
  </si>
  <si>
    <t>0:03:05:22</t>
  </si>
  <si>
    <t>0:03:05:23</t>
  </si>
  <si>
    <t>0:03:05:24</t>
  </si>
  <si>
    <t>0:03:06:00</t>
  </si>
  <si>
    <t>0:03:06:01</t>
  </si>
  <si>
    <t>0:03:06:02</t>
  </si>
  <si>
    <t>0:03:06:03</t>
  </si>
  <si>
    <t>0:03:06:04</t>
  </si>
  <si>
    <t>0:03:06:05</t>
  </si>
  <si>
    <t>0:03:06:06</t>
  </si>
  <si>
    <t>0:03:06:07</t>
  </si>
  <si>
    <t>0:03:06:08</t>
  </si>
  <si>
    <t>0:03:06:09</t>
  </si>
  <si>
    <t>0:03:06:10</t>
  </si>
  <si>
    <t>0:03:06:11</t>
  </si>
  <si>
    <t>0:03:06:12</t>
  </si>
  <si>
    <t>0:03:06:13</t>
  </si>
  <si>
    <t>0:03:06:14</t>
  </si>
  <si>
    <t>0:03:06:15</t>
  </si>
  <si>
    <t>0:03:06:16</t>
  </si>
  <si>
    <t>0:03:06:17</t>
  </si>
  <si>
    <t>0:03:06:18</t>
  </si>
  <si>
    <t>0:03:06:19</t>
  </si>
  <si>
    <t>0:03:06:20</t>
  </si>
  <si>
    <t>0:03:06:21</t>
  </si>
  <si>
    <t>0:03:06:22</t>
  </si>
  <si>
    <t>0:03:06:23</t>
  </si>
  <si>
    <t>0:03:06:24</t>
  </si>
  <si>
    <t>0:03:07:00</t>
  </si>
  <si>
    <t>0:03:07:01</t>
  </si>
  <si>
    <t>0:03:07:02</t>
  </si>
  <si>
    <t>0:03:07:03</t>
  </si>
  <si>
    <t>0:03:07:04</t>
  </si>
  <si>
    <t>0:03:07:05</t>
  </si>
  <si>
    <t>0:03:07:06</t>
  </si>
  <si>
    <t>0:03:07:07</t>
  </si>
  <si>
    <t>0:03:07:08</t>
  </si>
  <si>
    <t>0:03:07:09</t>
  </si>
  <si>
    <t>0:03:07:10</t>
  </si>
  <si>
    <t>0:03:07:11</t>
  </si>
  <si>
    <t>0:03:07:12</t>
  </si>
  <si>
    <t>0:03:07:13</t>
  </si>
  <si>
    <t>0:03:07:14</t>
  </si>
  <si>
    <t>0:03:07:15</t>
  </si>
  <si>
    <t>0:03:07:16</t>
  </si>
  <si>
    <t>0:03:07:17</t>
  </si>
  <si>
    <t>0:03:07:18</t>
  </si>
  <si>
    <t>0:03:07:19</t>
  </si>
  <si>
    <t>0:03:07:20</t>
  </si>
  <si>
    <t>0:03:07:21</t>
  </si>
  <si>
    <t>0:03:07:22</t>
  </si>
  <si>
    <t>0:03:07:23</t>
  </si>
  <si>
    <t>0:03:07:24</t>
  </si>
  <si>
    <t>0:03:08:00</t>
  </si>
  <si>
    <t>0:03:08:01</t>
  </si>
  <si>
    <t>0:03:08:02</t>
  </si>
  <si>
    <t>0:03:08:03</t>
  </si>
  <si>
    <t>0:03:08:04</t>
  </si>
  <si>
    <t>0:03:08:05</t>
  </si>
  <si>
    <t>0:03:08:06</t>
  </si>
  <si>
    <t>0:03:08:07</t>
  </si>
  <si>
    <t>0:03:08:08</t>
  </si>
  <si>
    <t>0:03:08:09</t>
  </si>
  <si>
    <t>0:03:08:10</t>
  </si>
  <si>
    <t>0:03:08:11</t>
  </si>
  <si>
    <t>0:03:08:12</t>
  </si>
  <si>
    <t>0:03:08:13</t>
  </si>
  <si>
    <t>0:03:08:14</t>
  </si>
  <si>
    <t>0:03:08:15</t>
  </si>
  <si>
    <t>0:03:08:16</t>
  </si>
  <si>
    <t>0:03:08:17</t>
  </si>
  <si>
    <t>0:03:08:18</t>
  </si>
  <si>
    <t>0:03:08:19</t>
  </si>
  <si>
    <t>0:03:08:20</t>
  </si>
  <si>
    <t>0:03:08:21</t>
  </si>
  <si>
    <t>0:03:08:22</t>
  </si>
  <si>
    <t>0:03:08:23</t>
  </si>
  <si>
    <t>0:03:08:24</t>
  </si>
  <si>
    <t>0:03:09:00</t>
  </si>
  <si>
    <t>0:03:09:01</t>
  </si>
  <si>
    <t>0:03:09:02</t>
  </si>
  <si>
    <t>0:03:09:03</t>
  </si>
  <si>
    <t>0:03:09:04</t>
  </si>
  <si>
    <t>0:03:09:05</t>
  </si>
  <si>
    <t>0:03:09:06</t>
  </si>
  <si>
    <t>0:03:09:07</t>
  </si>
  <si>
    <t>0:03:09:08</t>
  </si>
  <si>
    <t>0:03:09:09</t>
  </si>
  <si>
    <t>0:03:09:10</t>
  </si>
  <si>
    <t>0:03:09:11</t>
  </si>
  <si>
    <t>0:03:09:12</t>
  </si>
  <si>
    <t>0:03:09:13</t>
  </si>
  <si>
    <t>0:03:09:14</t>
  </si>
  <si>
    <t>0:03:09:15</t>
  </si>
  <si>
    <t>0:03:09:16</t>
  </si>
  <si>
    <t>0:03:09:17</t>
  </si>
  <si>
    <t>0:03:09:18</t>
  </si>
  <si>
    <t>0:03:09:19</t>
  </si>
  <si>
    <t>0:03:09:20</t>
  </si>
  <si>
    <t>0:03:09:21</t>
  </si>
  <si>
    <t>0:03:09:22</t>
  </si>
  <si>
    <t>0:03:09:23</t>
  </si>
  <si>
    <t>0:03:09:24</t>
  </si>
  <si>
    <t>0:03:10:00</t>
  </si>
  <si>
    <t>0:03:10:01</t>
  </si>
  <si>
    <t>0:03:10:02</t>
  </si>
  <si>
    <t>0:03:10:03</t>
  </si>
  <si>
    <t>0:03:10:04</t>
  </si>
  <si>
    <t>0:03:10:05</t>
  </si>
  <si>
    <t>0:03:10:06</t>
  </si>
  <si>
    <t>0:03:10:07</t>
  </si>
  <si>
    <t>0:03:10:08</t>
  </si>
  <si>
    <t>0:03:10:09</t>
  </si>
  <si>
    <t>0:03:10:10</t>
  </si>
  <si>
    <t>0:03:10:11</t>
  </si>
  <si>
    <t>0:03:10:12</t>
  </si>
  <si>
    <t>0:03:10:13</t>
  </si>
  <si>
    <t>0:03:10:14</t>
  </si>
  <si>
    <t>0:03:10:15</t>
  </si>
  <si>
    <t>0:03:10:16</t>
  </si>
  <si>
    <t>0:03:10:17</t>
  </si>
  <si>
    <t>0:03:10:18</t>
  </si>
  <si>
    <t>0:03:10:19</t>
  </si>
  <si>
    <t>0:03:10:20</t>
  </si>
  <si>
    <t>0:03:10:21</t>
  </si>
  <si>
    <t>0:03:10:22</t>
  </si>
  <si>
    <t>0:03:10:23</t>
  </si>
  <si>
    <t>0:03:10:24</t>
  </si>
  <si>
    <t>0:03:11:00</t>
  </si>
  <si>
    <t>0:03:11:01</t>
  </si>
  <si>
    <t>0:03:11:02</t>
  </si>
  <si>
    <t>0:03:11:03</t>
  </si>
  <si>
    <t>0:03:11:04</t>
  </si>
  <si>
    <t>0:03:11:05</t>
  </si>
  <si>
    <t>0:03:11:06</t>
  </si>
  <si>
    <t>0:03:11:07</t>
  </si>
  <si>
    <t>0:03:11:08</t>
  </si>
  <si>
    <t>0:03:11:09</t>
  </si>
  <si>
    <t>0:03:11:10</t>
  </si>
  <si>
    <t>0:03:11:11</t>
  </si>
  <si>
    <t>0:03:11:12</t>
  </si>
  <si>
    <t>0:03:11:13</t>
  </si>
  <si>
    <t>0:03:11:14</t>
  </si>
  <si>
    <t>0:03:11:15</t>
  </si>
  <si>
    <t>0:03:11:16</t>
  </si>
  <si>
    <t>0:03:11:17</t>
  </si>
  <si>
    <t>0:03:11:18</t>
  </si>
  <si>
    <t>0:03:11:19</t>
  </si>
  <si>
    <t>0:03:11:20</t>
  </si>
  <si>
    <t>0:03:11:21</t>
  </si>
  <si>
    <t>0:03:11:22</t>
  </si>
  <si>
    <t>0:03:11:23</t>
  </si>
  <si>
    <t>0:03:11:24</t>
  </si>
  <si>
    <t>0:03:12:00</t>
  </si>
  <si>
    <t>0:03:12:01</t>
  </si>
  <si>
    <t>0:03:12:02</t>
  </si>
  <si>
    <t>0:03:12:03</t>
  </si>
  <si>
    <t>0:03:12:04</t>
  </si>
  <si>
    <t>0:03:12:05</t>
  </si>
  <si>
    <t>0:03:12:06</t>
  </si>
  <si>
    <t>0:03:12:07</t>
  </si>
  <si>
    <t>0:03:12:08</t>
  </si>
  <si>
    <t>0:03:12:09</t>
  </si>
  <si>
    <t>0:03:12:10</t>
  </si>
  <si>
    <t>0:03:12:11</t>
  </si>
  <si>
    <t>0:03:12:12</t>
  </si>
  <si>
    <t>0:03:12:13</t>
  </si>
  <si>
    <t>0:03:12:14</t>
  </si>
  <si>
    <t>0:03:12:15</t>
  </si>
  <si>
    <t>0:03:12:16</t>
  </si>
  <si>
    <t>0:03:12:17</t>
  </si>
  <si>
    <t>0:03:12:18</t>
  </si>
  <si>
    <t>0:03:12:19</t>
  </si>
  <si>
    <t>0:03:12:20</t>
  </si>
  <si>
    <t>0:03:12:21</t>
  </si>
  <si>
    <t>0:03:12:22</t>
  </si>
  <si>
    <t>0:03:12:23</t>
  </si>
  <si>
    <t>0:03:12:24</t>
  </si>
  <si>
    <t>0:03:13:00</t>
  </si>
  <si>
    <t>0:03:13:01</t>
  </si>
  <si>
    <t>0:03:13:02</t>
  </si>
  <si>
    <t>0:03:13:03</t>
  </si>
  <si>
    <t>0:03:13:04</t>
  </si>
  <si>
    <t>0:03:13:05</t>
  </si>
  <si>
    <t>0:03:13:06</t>
  </si>
  <si>
    <t>0:03:13:07</t>
  </si>
  <si>
    <t>0:03:13:08</t>
  </si>
  <si>
    <t>0:03:13:09</t>
  </si>
  <si>
    <t>0:03:13:10</t>
  </si>
  <si>
    <t>0:03:13:11</t>
  </si>
  <si>
    <t>0:03:13:12</t>
  </si>
  <si>
    <t>0:03:13:13</t>
  </si>
  <si>
    <t>0:03:13:14</t>
  </si>
  <si>
    <t>0:03:13:15</t>
  </si>
  <si>
    <t>0:03:13:16</t>
  </si>
  <si>
    <t>0:03:13:17</t>
  </si>
  <si>
    <t>0:03:13:18</t>
  </si>
  <si>
    <t>0:03:13:19</t>
  </si>
  <si>
    <t>0:03:13:20</t>
  </si>
  <si>
    <t>0:03:13:21</t>
  </si>
  <si>
    <t>0:03:13:22</t>
  </si>
  <si>
    <t>0:03:13:23</t>
  </si>
  <si>
    <t>0:03:13:24</t>
  </si>
  <si>
    <t>0:03:14:00</t>
  </si>
  <si>
    <t>0:03:14:01</t>
  </si>
  <si>
    <t>0:03:14:02</t>
  </si>
  <si>
    <t>0:03:14:03</t>
  </si>
  <si>
    <t>0:03:14:04</t>
  </si>
  <si>
    <t>0:03:14:05</t>
  </si>
  <si>
    <t>0:03:14:06</t>
  </si>
  <si>
    <t>0:03:14:07</t>
  </si>
  <si>
    <t>0:03:14:08</t>
  </si>
  <si>
    <t>0:03:14:09</t>
  </si>
  <si>
    <t>0:03:14:10</t>
  </si>
  <si>
    <t>0:03:14:11</t>
  </si>
  <si>
    <t>0:03:14:12</t>
  </si>
  <si>
    <t>0:03:14:13</t>
  </si>
  <si>
    <t>0:03:14:14</t>
  </si>
  <si>
    <t>0:03:14:15</t>
  </si>
  <si>
    <t>0:03:14:16</t>
  </si>
  <si>
    <t>0:03:14:17</t>
  </si>
  <si>
    <t>0:03:14:18</t>
  </si>
  <si>
    <t>0:03:14:19</t>
  </si>
  <si>
    <t>0:03:14:20</t>
  </si>
  <si>
    <t>0:03:14:21</t>
  </si>
  <si>
    <t>0:03:14:22</t>
  </si>
  <si>
    <t>0:03:14:23</t>
  </si>
  <si>
    <t>0:03:14:24</t>
  </si>
  <si>
    <t>0:03:15:00</t>
  </si>
  <si>
    <t>0:03:15:01</t>
  </si>
  <si>
    <t>0:03:15:02</t>
  </si>
  <si>
    <t>0:03:15:03</t>
  </si>
  <si>
    <t>0:03:15:04</t>
  </si>
  <si>
    <t>0:03:15:05</t>
  </si>
  <si>
    <t>0:03:15:06</t>
  </si>
  <si>
    <t>0:03:15:07</t>
  </si>
  <si>
    <t>0:03:15:08</t>
  </si>
  <si>
    <t>0:03:15:09</t>
  </si>
  <si>
    <t>0:03:15:10</t>
  </si>
  <si>
    <t>0:03:15:11</t>
  </si>
  <si>
    <t>0:03:15:12</t>
  </si>
  <si>
    <t>0:03:15:13</t>
  </si>
  <si>
    <t>0:03:15:14</t>
  </si>
  <si>
    <t>0:03:15:15</t>
  </si>
  <si>
    <t>0:03:15:16</t>
  </si>
  <si>
    <t>0:03:15:17</t>
  </si>
  <si>
    <t>0:03:15:18</t>
  </si>
  <si>
    <t>0:03:15:19</t>
  </si>
  <si>
    <t>0:03:15:20</t>
  </si>
  <si>
    <t>0:03:15:21</t>
  </si>
  <si>
    <t>0:03:15:22</t>
  </si>
  <si>
    <t>0:03:15:23</t>
  </si>
  <si>
    <t>0:03:15:24</t>
  </si>
  <si>
    <t>0:03:16:00</t>
  </si>
  <si>
    <t>0:03:16:01</t>
  </si>
  <si>
    <t>0:03:16:02</t>
  </si>
  <si>
    <t>0:03:16:03</t>
  </si>
  <si>
    <t>0:03:16:04</t>
  </si>
  <si>
    <t>0:03:16:05</t>
  </si>
  <si>
    <t>0:03:16:06</t>
  </si>
  <si>
    <t>0:03:16:07</t>
  </si>
  <si>
    <t>0:03:16:08</t>
  </si>
  <si>
    <t>0:03:16:09</t>
  </si>
  <si>
    <t>0:03:16:10</t>
  </si>
  <si>
    <t>0:03:16:11</t>
  </si>
  <si>
    <t>0:03:16:12</t>
  </si>
  <si>
    <t>0:03:16:13</t>
  </si>
  <si>
    <t>0:03:16:14</t>
  </si>
  <si>
    <t>0:03:16:15</t>
  </si>
  <si>
    <t>0:03:16:16</t>
  </si>
  <si>
    <t>0:03:16:17</t>
  </si>
  <si>
    <t>0:03:16:18</t>
  </si>
  <si>
    <t>0:03:16:19</t>
  </si>
  <si>
    <t>0:03:16:20</t>
  </si>
  <si>
    <t>0:03:16:21</t>
  </si>
  <si>
    <t>0:03:16:22</t>
  </si>
  <si>
    <t>0:03:16:23</t>
  </si>
  <si>
    <t>0:03:16:24</t>
  </si>
  <si>
    <t>0:03:17:00</t>
  </si>
  <si>
    <t>0:03:17:01</t>
  </si>
  <si>
    <t>0:03:17:02</t>
  </si>
  <si>
    <t>0:03:17:03</t>
  </si>
  <si>
    <t>0:03:17:04</t>
  </si>
  <si>
    <t>0:03:17:05</t>
  </si>
  <si>
    <t>0:03:17:06</t>
  </si>
  <si>
    <t>0:03:17:07</t>
  </si>
  <si>
    <t>0:03:17:08</t>
  </si>
  <si>
    <t>0:03:17:09</t>
  </si>
  <si>
    <t>0:03:17:10</t>
  </si>
  <si>
    <t>0:03:17:11</t>
  </si>
  <si>
    <t>0:03:17:12</t>
  </si>
  <si>
    <t>0:03:17:13</t>
  </si>
  <si>
    <t>0:03:17:14</t>
  </si>
  <si>
    <t>0:03:17:15</t>
  </si>
  <si>
    <t>0:03:17:16</t>
  </si>
  <si>
    <t>0:03:17:17</t>
  </si>
  <si>
    <t>0:03:17:18</t>
  </si>
  <si>
    <t>0:03:17:19</t>
  </si>
  <si>
    <t>0:03:17:20</t>
  </si>
  <si>
    <t>0:03:17:21</t>
  </si>
  <si>
    <t>0:03:17:22</t>
  </si>
  <si>
    <t>0:03:17:23</t>
  </si>
  <si>
    <t>0:03:17:24</t>
  </si>
  <si>
    <t>0:03:18:00</t>
  </si>
  <si>
    <t>0:03:18:01</t>
  </si>
  <si>
    <t>0:03:18:02</t>
  </si>
  <si>
    <t>0:03:18:03</t>
  </si>
  <si>
    <t>0:03:18:04</t>
  </si>
  <si>
    <t>0:03:18:05</t>
  </si>
  <si>
    <t>0:03:18:06</t>
  </si>
  <si>
    <t>0:03:18:07</t>
  </si>
  <si>
    <t>0:03:18:08</t>
  </si>
  <si>
    <t>0:03:18:09</t>
  </si>
  <si>
    <t>0:03:18:10</t>
  </si>
  <si>
    <t>0:03:18:11</t>
  </si>
  <si>
    <t>0:03:18:12</t>
  </si>
  <si>
    <t>0:03:18:13</t>
  </si>
  <si>
    <t>0:03:18:14</t>
  </si>
  <si>
    <t>0:03:18:15</t>
  </si>
  <si>
    <t>0:03:18:16</t>
  </si>
  <si>
    <t>0:03:18:17</t>
  </si>
  <si>
    <t>0:03:18:18</t>
  </si>
  <si>
    <t>0:03:18:19</t>
  </si>
  <si>
    <t>0:03:18:20</t>
  </si>
  <si>
    <t>0:03:18:21</t>
  </si>
  <si>
    <t>0:03:18:22</t>
  </si>
  <si>
    <t>0:03:18:23</t>
  </si>
  <si>
    <t>0:03:18:24</t>
  </si>
  <si>
    <t>0:03:19:00</t>
  </si>
  <si>
    <t>0:03:19:01</t>
  </si>
  <si>
    <t>0:03:19:02</t>
  </si>
  <si>
    <t>0:03:19:03</t>
  </si>
  <si>
    <t>0:03:19:04</t>
  </si>
  <si>
    <t>0:03:19:05</t>
  </si>
  <si>
    <t>0:03:19:06</t>
  </si>
  <si>
    <t>0:03:19:07</t>
  </si>
  <si>
    <t>0:03:19:08</t>
  </si>
  <si>
    <t>0:03:19:09</t>
  </si>
  <si>
    <t>0:03:19:10</t>
  </si>
  <si>
    <t>0:03:19:11</t>
  </si>
  <si>
    <t>0:03:19:12</t>
  </si>
  <si>
    <t>0:03:19:13</t>
  </si>
  <si>
    <t>0:03:19:14</t>
  </si>
  <si>
    <t>0:03:19:15</t>
  </si>
  <si>
    <t>0:03:19:16</t>
  </si>
  <si>
    <t>0:03:19:17</t>
  </si>
  <si>
    <t>0:03:19:18</t>
  </si>
  <si>
    <t>0:03:19:19</t>
  </si>
  <si>
    <t>0:03:19:20</t>
  </si>
  <si>
    <t>0:03:19:21</t>
  </si>
  <si>
    <t>0:03:19:22</t>
  </si>
  <si>
    <t>0:03:19:23</t>
  </si>
  <si>
    <t>0:03:19:24</t>
  </si>
  <si>
    <t>0:03:20:00</t>
  </si>
  <si>
    <t>0:03:20:01</t>
  </si>
  <si>
    <t>0:03:20:02</t>
  </si>
  <si>
    <t>0:03:20:03</t>
  </si>
  <si>
    <t>0:03:20:04</t>
  </si>
  <si>
    <t>0:03:20:05</t>
  </si>
  <si>
    <t>0:03:20:06</t>
  </si>
  <si>
    <t>0:03:20:07</t>
  </si>
  <si>
    <t>0:03:20:08</t>
  </si>
  <si>
    <t>0:03:20:09</t>
  </si>
  <si>
    <t>0:03:20:10</t>
  </si>
  <si>
    <t>0:03:20:11</t>
  </si>
  <si>
    <t>0:03:20:12</t>
  </si>
  <si>
    <t>0:03:20:13</t>
  </si>
  <si>
    <t>0:03:20:14</t>
  </si>
  <si>
    <t>0:03:20:15</t>
  </si>
  <si>
    <t>0:03:20:16</t>
  </si>
  <si>
    <t>0:03:20:17</t>
  </si>
  <si>
    <t>0:03:20:18</t>
  </si>
  <si>
    <t>0:03:20:19</t>
  </si>
  <si>
    <t>0:03:20:20</t>
  </si>
  <si>
    <t>0:03:20:21</t>
  </si>
  <si>
    <t>0:03:20:22</t>
  </si>
  <si>
    <t>0:03:20:23</t>
  </si>
  <si>
    <t>0:03:20:24</t>
  </si>
  <si>
    <t>0:03:21:00</t>
  </si>
  <si>
    <t>0:03:21:01</t>
  </si>
  <si>
    <t>0:03:21:02</t>
  </si>
  <si>
    <t>0:03:21:03</t>
  </si>
  <si>
    <t>0:03:21:04</t>
  </si>
  <si>
    <t>0:03:21:05</t>
  </si>
  <si>
    <t>0:03:21:06</t>
  </si>
  <si>
    <t>0:03:21:07</t>
  </si>
  <si>
    <t>0:03:21:08</t>
  </si>
  <si>
    <t>0:03:21:09</t>
  </si>
  <si>
    <t>0:03:21:10</t>
  </si>
  <si>
    <t>0:03:21:11</t>
  </si>
  <si>
    <t>0:03:21:12</t>
  </si>
  <si>
    <t>0:03:21:13</t>
  </si>
  <si>
    <t>0:03:21:14</t>
  </si>
  <si>
    <t>0:03:21:15</t>
  </si>
  <si>
    <t>0:03:21:16</t>
  </si>
  <si>
    <t>0:03:21:17</t>
  </si>
  <si>
    <t>0:03:21:18</t>
  </si>
  <si>
    <t>0:03:21:19</t>
  </si>
  <si>
    <t>0:03:21:20</t>
  </si>
  <si>
    <t>0:03:21:21</t>
  </si>
  <si>
    <t>0:03:21:22</t>
  </si>
  <si>
    <t>0:03:21:23</t>
  </si>
  <si>
    <t>0:03:21:24</t>
  </si>
  <si>
    <t>0:03:22:00</t>
  </si>
  <si>
    <t>0:03:22:01</t>
  </si>
  <si>
    <t>0:03:22:02</t>
  </si>
  <si>
    <t>0:03:22:03</t>
  </si>
  <si>
    <t>0:03:22:04</t>
  </si>
  <si>
    <t>0:03:22:05</t>
  </si>
  <si>
    <t>0:03:22:06</t>
  </si>
  <si>
    <t>0:03:22:07</t>
  </si>
  <si>
    <t>0:03:22:08</t>
  </si>
  <si>
    <t>0:03:22:09</t>
  </si>
  <si>
    <t>0:03:22:10</t>
  </si>
  <si>
    <t>0:03:22:11</t>
  </si>
  <si>
    <t>0:03:22:12</t>
  </si>
  <si>
    <t>0:03:22:13</t>
  </si>
  <si>
    <t>0:03:22:14</t>
  </si>
  <si>
    <t>0:03:22:15</t>
  </si>
  <si>
    <t>0:03:22:16</t>
  </si>
  <si>
    <t>0:03:22:17</t>
  </si>
  <si>
    <t>0:03:22:18</t>
  </si>
  <si>
    <t>0:03:22:19</t>
  </si>
  <si>
    <t>0:03:22:20</t>
  </si>
  <si>
    <t>0:03:22:21</t>
  </si>
  <si>
    <t>0:03:22:22</t>
  </si>
  <si>
    <t>0:03:22:23</t>
  </si>
  <si>
    <t>0:03:22:24</t>
  </si>
  <si>
    <t>0:03:23:00</t>
  </si>
  <si>
    <t>0:03:23:01</t>
  </si>
  <si>
    <t>0:03:23:02</t>
  </si>
  <si>
    <t>0:03:23:03</t>
  </si>
  <si>
    <t>0:03:23:04</t>
  </si>
  <si>
    <t>0:03:23:05</t>
  </si>
  <si>
    <t>0:03:23:06</t>
  </si>
  <si>
    <t>0:03:23:07</t>
  </si>
  <si>
    <t>0:03:23:08</t>
  </si>
  <si>
    <t>0:03:23:09</t>
  </si>
  <si>
    <t>0:03:23:10</t>
  </si>
  <si>
    <t>0:03:23:11</t>
  </si>
  <si>
    <t>0:03:23:12</t>
  </si>
  <si>
    <t>0:03:23:13</t>
  </si>
  <si>
    <t>0:03:23:14</t>
  </si>
  <si>
    <t>0:03:23:15</t>
  </si>
  <si>
    <t>0:03:23:16</t>
  </si>
  <si>
    <t>0:03:23:17</t>
  </si>
  <si>
    <t>0:03:23:18</t>
  </si>
  <si>
    <t>0:03:23:19</t>
  </si>
  <si>
    <t>0:03:23:20</t>
  </si>
  <si>
    <t>0:03:23:21</t>
  </si>
  <si>
    <t>0:03:23:22</t>
  </si>
  <si>
    <t>0:03:23:23</t>
  </si>
  <si>
    <t>0:03:23:24</t>
  </si>
  <si>
    <t>0:03:24:00</t>
  </si>
  <si>
    <t>0:03:24:01</t>
  </si>
  <si>
    <t>0:03:24:02</t>
  </si>
  <si>
    <t>0:03:24:03</t>
  </si>
  <si>
    <t>0:03:24:04</t>
  </si>
  <si>
    <t>0:03:24:05</t>
  </si>
  <si>
    <t>0:03:24:06</t>
  </si>
  <si>
    <t>0:03:24:07</t>
  </si>
  <si>
    <t>0:03:24:08</t>
  </si>
  <si>
    <t>0:03:24:09</t>
  </si>
  <si>
    <t>0:03:24:10</t>
  </si>
  <si>
    <t>0:03:24:11</t>
  </si>
  <si>
    <t>0:03:24:12</t>
  </si>
  <si>
    <t>0:03:24:13</t>
  </si>
  <si>
    <t>0:03:24:14</t>
  </si>
  <si>
    <t>0:03:24:15</t>
  </si>
  <si>
    <t>0:03:24:16</t>
  </si>
  <si>
    <t>0:03:24:17</t>
  </si>
  <si>
    <t>0:03:24:18</t>
  </si>
  <si>
    <t>0:03:24:19</t>
  </si>
  <si>
    <t>0:03:24:20</t>
  </si>
  <si>
    <t>0:03:24:21</t>
  </si>
  <si>
    <t>0:03:24:22</t>
  </si>
  <si>
    <t>0:03:24:23</t>
  </si>
  <si>
    <t>0:03:24:24</t>
  </si>
  <si>
    <t>0:03:25:00</t>
  </si>
  <si>
    <t>0:03:25:01</t>
  </si>
  <si>
    <t>0:03:25:02</t>
  </si>
  <si>
    <t>0:03:25:03</t>
  </si>
  <si>
    <t>0:03:25:04</t>
  </si>
  <si>
    <t>0:03:25:05</t>
  </si>
  <si>
    <t>0:03:25:06</t>
  </si>
  <si>
    <t>0:03:25:07</t>
  </si>
  <si>
    <t>0:03:25:08</t>
  </si>
  <si>
    <t>0:03:25:09</t>
  </si>
  <si>
    <t>0:03:25:10</t>
  </si>
  <si>
    <t>0:03:25:11</t>
  </si>
  <si>
    <t>0:03:25:12</t>
  </si>
  <si>
    <t>0:03:25:13</t>
  </si>
  <si>
    <t>0:03:25:14</t>
  </si>
  <si>
    <t>0:03:25:15</t>
  </si>
  <si>
    <t>0:03:25:16</t>
  </si>
  <si>
    <t>0:03:25:17</t>
  </si>
  <si>
    <t>0:03:25:18</t>
  </si>
  <si>
    <t>0:03:25:19</t>
  </si>
  <si>
    <t>0:03:25:20</t>
  </si>
  <si>
    <t>0:03:25:21</t>
  </si>
  <si>
    <t>0:03:25:22</t>
  </si>
  <si>
    <t>0:03:25:23</t>
  </si>
  <si>
    <t>0:03:25:24</t>
  </si>
  <si>
    <t>0:03:26:00</t>
  </si>
  <si>
    <t>0:03:26:01</t>
  </si>
  <si>
    <t>0:03:26:02</t>
  </si>
  <si>
    <t>0:03:26:03</t>
  </si>
  <si>
    <t>0:03:26:04</t>
  </si>
  <si>
    <t>0:03:26:05</t>
  </si>
  <si>
    <t>0:03:26:06</t>
  </si>
  <si>
    <t>0:03:26:07</t>
  </si>
  <si>
    <t>0:03:26:08</t>
  </si>
  <si>
    <t>0:03:26:09</t>
  </si>
  <si>
    <t>0:03:26:10</t>
  </si>
  <si>
    <t>0:03:26:11</t>
  </si>
  <si>
    <t>0:03:26:12</t>
  </si>
  <si>
    <t>0:03:26:13</t>
  </si>
  <si>
    <t>0:03:26:14</t>
  </si>
  <si>
    <t>0:03:26:15</t>
  </si>
  <si>
    <t>0:03:26:16</t>
  </si>
  <si>
    <t>0:03:26:17</t>
  </si>
  <si>
    <t>0:03:26:18</t>
  </si>
  <si>
    <t>0:03:26:19</t>
  </si>
  <si>
    <t>0:03:26:20</t>
  </si>
  <si>
    <t>0:03:26:21</t>
  </si>
  <si>
    <t>0:03:26:22</t>
  </si>
  <si>
    <t>0:03:26:23</t>
  </si>
  <si>
    <t>0:03:26:24</t>
  </si>
  <si>
    <t>0:03:27:00</t>
  </si>
  <si>
    <t>0:03:27:01</t>
  </si>
  <si>
    <t>0:03:27:02</t>
  </si>
  <si>
    <t>0:03:27:03</t>
  </si>
  <si>
    <t>0:03:27:04</t>
  </si>
  <si>
    <t>0:03:27:05</t>
  </si>
  <si>
    <t>0:03:27:06</t>
  </si>
  <si>
    <t>0:03:27:07</t>
  </si>
  <si>
    <t>0:03:27:08</t>
  </si>
  <si>
    <t>0:03:27:09</t>
  </si>
  <si>
    <t>0:03:27:10</t>
  </si>
  <si>
    <t>0:03:27:11</t>
  </si>
  <si>
    <t>0:03:27:12</t>
  </si>
  <si>
    <t>0:03:27:13</t>
  </si>
  <si>
    <t>0:03:27:14</t>
  </si>
  <si>
    <t>0:03:27:15</t>
  </si>
  <si>
    <t>0:03:27:16</t>
  </si>
  <si>
    <t>0:03:27:17</t>
  </si>
  <si>
    <t>0:03:27:18</t>
  </si>
  <si>
    <t>0:03:27:19</t>
  </si>
  <si>
    <t>0:03:27:20</t>
  </si>
  <si>
    <t>0:03:27:21</t>
  </si>
  <si>
    <t>0:03:27:22</t>
  </si>
  <si>
    <t>0:03:27:23</t>
  </si>
  <si>
    <t>0:03:27:24</t>
  </si>
  <si>
    <t>0:03:28:00</t>
  </si>
  <si>
    <t>0:03:28:01</t>
  </si>
  <si>
    <t>0:03:28:02</t>
  </si>
  <si>
    <t>0:03:28:03</t>
  </si>
  <si>
    <t>0:03:28:04</t>
  </si>
  <si>
    <t>0:03:28:05</t>
  </si>
  <si>
    <t>0:03:28:06</t>
  </si>
  <si>
    <t>0:03:28:07</t>
  </si>
  <si>
    <t>0:03:28:08</t>
  </si>
  <si>
    <t>0:03:28:09</t>
  </si>
  <si>
    <t>0:03:28:10</t>
  </si>
  <si>
    <t>0:03:28:11</t>
  </si>
  <si>
    <t>0:03:28:12</t>
  </si>
  <si>
    <t>0:03:28:13</t>
  </si>
  <si>
    <t>0:03:28:14</t>
  </si>
  <si>
    <t>0:03:28:15</t>
  </si>
  <si>
    <t>0:03:28:16</t>
  </si>
  <si>
    <t>0:03:28:17</t>
  </si>
  <si>
    <t>0:03:28:18</t>
  </si>
  <si>
    <t>0:03:28:19</t>
  </si>
  <si>
    <t>0:03:28:20</t>
  </si>
  <si>
    <t>0:03:28:21</t>
  </si>
  <si>
    <t>0:03:28:22</t>
  </si>
  <si>
    <t>0:03:28:23</t>
  </si>
  <si>
    <t>0:03:28:24</t>
  </si>
  <si>
    <t>0:03:29:00</t>
  </si>
  <si>
    <t>0:03:29:01</t>
  </si>
  <si>
    <t>0:03:29:02</t>
  </si>
  <si>
    <t>0:03:29:03</t>
  </si>
  <si>
    <t>0:03:29:04</t>
  </si>
  <si>
    <t>0:03:29:05</t>
  </si>
  <si>
    <t>0:03:29:06</t>
  </si>
  <si>
    <t>0:03:29:07</t>
  </si>
  <si>
    <t>0:03:29:08</t>
  </si>
  <si>
    <t>0:03:29:09</t>
  </si>
  <si>
    <t>0:03:29:10</t>
  </si>
  <si>
    <t>0:03:29:11</t>
  </si>
  <si>
    <t>0:03:29:12</t>
  </si>
  <si>
    <t>0:03:29:13</t>
  </si>
  <si>
    <t>0:03:29:14</t>
  </si>
  <si>
    <t>0:03:29:15</t>
  </si>
  <si>
    <t>0:03:29:16</t>
  </si>
  <si>
    <t>0:03:29:17</t>
  </si>
  <si>
    <t>0:03:29:18</t>
  </si>
  <si>
    <t>0:03:29:19</t>
  </si>
  <si>
    <t>0:03:29:20</t>
  </si>
  <si>
    <t>0:03:29:21</t>
  </si>
  <si>
    <t>0:03:29:22</t>
  </si>
  <si>
    <t>0:03:29:23</t>
  </si>
  <si>
    <t>0:03:29:24</t>
  </si>
  <si>
    <t>0:03:30:00</t>
  </si>
  <si>
    <t>0:03:30:01</t>
  </si>
  <si>
    <t>0:03:30:02</t>
  </si>
  <si>
    <t>0:03:30:03</t>
  </si>
  <si>
    <t>0:03:30:04</t>
  </si>
  <si>
    <t>0:03:30:05</t>
  </si>
  <si>
    <t>0:03:30:06</t>
  </si>
  <si>
    <t>0:03:30:07</t>
  </si>
  <si>
    <t>0:03:30:08</t>
  </si>
  <si>
    <t>0:03:30:09</t>
  </si>
  <si>
    <t>0:03:30:10</t>
  </si>
  <si>
    <t>0:03:30:11</t>
  </si>
  <si>
    <t>0:03:30:12</t>
  </si>
  <si>
    <t>0:03:30:13</t>
  </si>
  <si>
    <t>0:03:30:14</t>
  </si>
  <si>
    <t>0:03:30:15</t>
  </si>
  <si>
    <t>0:03:30:16</t>
  </si>
  <si>
    <t>0:03:30:17</t>
  </si>
  <si>
    <t>0:03:30:18</t>
  </si>
  <si>
    <t>0:03:30:19</t>
  </si>
  <si>
    <t>0:03:30:20</t>
  </si>
  <si>
    <t>0:03:30:21</t>
  </si>
  <si>
    <t>0:03:30:22</t>
  </si>
  <si>
    <t>0:03:30:23</t>
  </si>
  <si>
    <t>0:03:30:24</t>
  </si>
  <si>
    <t>0:03:31:00</t>
  </si>
  <si>
    <t>0:03:31:01</t>
  </si>
  <si>
    <t>0:03:31:02</t>
  </si>
  <si>
    <t>0:03:31:03</t>
  </si>
  <si>
    <t>0:03:31:04</t>
  </si>
  <si>
    <t>0:03:31:05</t>
  </si>
  <si>
    <t>0:03:31:06</t>
  </si>
  <si>
    <t>0:03:31:07</t>
  </si>
  <si>
    <t>0:03:31:08</t>
  </si>
  <si>
    <t>0:03:31:09</t>
  </si>
  <si>
    <t>0:03:31:10</t>
  </si>
  <si>
    <t>0:03:31:11</t>
  </si>
  <si>
    <t>0:03:31:12</t>
  </si>
  <si>
    <t>0:03:31:13</t>
  </si>
  <si>
    <t>0:03:31:14</t>
  </si>
  <si>
    <t>0:03:31:15</t>
  </si>
  <si>
    <t>0:03:31:16</t>
  </si>
  <si>
    <t>0:03:31:17</t>
  </si>
  <si>
    <t>0:03:31:18</t>
  </si>
  <si>
    <t>0:03:31:19</t>
  </si>
  <si>
    <t>0:03:31:20</t>
  </si>
  <si>
    <t>0:03:31:21</t>
  </si>
  <si>
    <t>0:03:31:22</t>
  </si>
  <si>
    <t>0:03:31:23</t>
  </si>
  <si>
    <t>0:03:31:24</t>
  </si>
  <si>
    <t>0:03:32:00</t>
  </si>
  <si>
    <t>0:03:32:01</t>
  </si>
  <si>
    <t>0:03:32:02</t>
  </si>
  <si>
    <t>0:03:32:03</t>
  </si>
  <si>
    <t>0:03:32:04</t>
  </si>
  <si>
    <t>0:03:32:05</t>
  </si>
  <si>
    <t>0:03:32:06</t>
  </si>
  <si>
    <t>0:03:32:07</t>
  </si>
  <si>
    <t>0:03:32:08</t>
  </si>
  <si>
    <t>0:03:32:09</t>
  </si>
  <si>
    <t>0:03:32:10</t>
  </si>
  <si>
    <t>0:03:32:11</t>
  </si>
  <si>
    <t>0:03:32:12</t>
  </si>
  <si>
    <t>0:03:32:13</t>
  </si>
  <si>
    <t>0:03:32:14</t>
  </si>
  <si>
    <t>0:03:32:15</t>
  </si>
  <si>
    <t>0:03:32:16</t>
  </si>
  <si>
    <t>0:03:32:17</t>
  </si>
  <si>
    <t>0:03:32:18</t>
  </si>
  <si>
    <t>0:03:32:19</t>
  </si>
  <si>
    <t>0:03:32:20</t>
  </si>
  <si>
    <t>0:03:32:21</t>
  </si>
  <si>
    <t>0:03:32:22</t>
  </si>
  <si>
    <t>0:03:32:23</t>
  </si>
  <si>
    <t>0:03:32:24</t>
  </si>
  <si>
    <t>0:03:33:00</t>
  </si>
  <si>
    <t>0:03:33:01</t>
  </si>
  <si>
    <t>0:03:33:02</t>
  </si>
  <si>
    <t>0:03:33:03</t>
  </si>
  <si>
    <t>0:03:33:04</t>
  </si>
  <si>
    <t>0:03:33:05</t>
  </si>
  <si>
    <t>0:03:33:06</t>
  </si>
  <si>
    <t>0:03:33:07</t>
  </si>
  <si>
    <t>0:03:33:08</t>
  </si>
  <si>
    <t>0:03:33:09</t>
  </si>
  <si>
    <t>0:03:33:10</t>
  </si>
  <si>
    <t>0:03:33:11</t>
  </si>
  <si>
    <t>0:03:33:12</t>
  </si>
  <si>
    <t>0:03:33:13</t>
  </si>
  <si>
    <t>0:03:33:14</t>
  </si>
  <si>
    <t>0:03:33:15</t>
  </si>
  <si>
    <t>0:03:33:16</t>
  </si>
  <si>
    <t>0:03:33:17</t>
  </si>
  <si>
    <t>0:03:33:18</t>
  </si>
  <si>
    <t>0:03:33:19</t>
  </si>
  <si>
    <t>0:03:33:20</t>
  </si>
  <si>
    <t>0:03:33:21</t>
  </si>
  <si>
    <t>0:03:33:22</t>
  </si>
  <si>
    <t>0:03:33:23</t>
  </si>
  <si>
    <t>0:03:33:24</t>
  </si>
  <si>
    <t>0:03:34:00</t>
  </si>
  <si>
    <t>0:03:34:01</t>
  </si>
  <si>
    <t>0:03:34:02</t>
  </si>
  <si>
    <t>0:03:34:03</t>
  </si>
  <si>
    <t>0:03:34:04</t>
  </si>
  <si>
    <t>0:03:34:05</t>
  </si>
  <si>
    <t>0:03:34:06</t>
  </si>
  <si>
    <t>0:03:34:07</t>
  </si>
  <si>
    <t>0:03:34:08</t>
  </si>
  <si>
    <t>0:03:34:09</t>
  </si>
  <si>
    <t>0:03:34:10</t>
  </si>
  <si>
    <t>0:03:34:11</t>
  </si>
  <si>
    <t>0:03:34:12</t>
  </si>
  <si>
    <t>0:03:34:13</t>
  </si>
  <si>
    <t>0:03:34:14</t>
  </si>
  <si>
    <t>0:03:34:15</t>
  </si>
  <si>
    <t>0:03:34:16</t>
  </si>
  <si>
    <t>0:03:34:17</t>
  </si>
  <si>
    <t>0:03:34:18</t>
  </si>
  <si>
    <t>0:03:34:19</t>
  </si>
  <si>
    <t>0:03:34:20</t>
  </si>
  <si>
    <t>0:03:34:21</t>
  </si>
  <si>
    <t>0:03:34:22</t>
  </si>
  <si>
    <t>0:03:34:23</t>
  </si>
  <si>
    <t>0:03:34:24</t>
  </si>
  <si>
    <t>0:03:35:00</t>
  </si>
  <si>
    <t>0:03:35:01</t>
  </si>
  <si>
    <t>0:03:35:02</t>
  </si>
  <si>
    <t>0:03:35:03</t>
  </si>
  <si>
    <t>0:03:35:04</t>
  </si>
  <si>
    <t>0:03:35:05</t>
  </si>
  <si>
    <t>0:03:35:06</t>
  </si>
  <si>
    <t>0:03:35:07</t>
  </si>
  <si>
    <t>0:03:35:08</t>
  </si>
  <si>
    <t>0:03:35:09</t>
  </si>
  <si>
    <t>0:03:35:10</t>
  </si>
  <si>
    <t>0:03:35:11</t>
  </si>
  <si>
    <t>0:03:35:12</t>
  </si>
  <si>
    <t>0:03:35:13</t>
  </si>
  <si>
    <t>0:03:35:14</t>
  </si>
  <si>
    <t>0:03:35:15</t>
  </si>
  <si>
    <t>0:03:35:16</t>
  </si>
  <si>
    <t>0:03:35:17</t>
  </si>
  <si>
    <t>0:03:35:18</t>
  </si>
  <si>
    <t>0:03:35:19</t>
  </si>
  <si>
    <t>0:03:35:20</t>
  </si>
  <si>
    <t>0:03:35:21</t>
  </si>
  <si>
    <t>0:03:35:22</t>
  </si>
  <si>
    <t>0:03:35:23</t>
  </si>
  <si>
    <t>0:03:35:24</t>
  </si>
  <si>
    <t>0:03:36:00</t>
  </si>
  <si>
    <t>0:03:36:01</t>
  </si>
  <si>
    <t>0:03:36:02</t>
  </si>
  <si>
    <t>0:03:36:03</t>
  </si>
  <si>
    <t>0:03:36:04</t>
  </si>
  <si>
    <t>0:03:36:05</t>
  </si>
  <si>
    <t>0:03:36:06</t>
  </si>
  <si>
    <t>0:03:36:07</t>
  </si>
  <si>
    <t>0:03:36:08</t>
  </si>
  <si>
    <t>0:03:36:09</t>
  </si>
  <si>
    <t>0:03:36:10</t>
  </si>
  <si>
    <t>0:03:36:11</t>
  </si>
  <si>
    <t>0:03:36:12</t>
  </si>
  <si>
    <t>0:03:36:13</t>
  </si>
  <si>
    <t>0:03:36:14</t>
  </si>
  <si>
    <t>0:03:36:15</t>
  </si>
  <si>
    <t>0:03:36:16</t>
  </si>
  <si>
    <t>0:03:36:17</t>
  </si>
  <si>
    <t>0:03:36:18</t>
  </si>
  <si>
    <t>0:03:36:19</t>
  </si>
  <si>
    <t>0:03:36:20</t>
  </si>
  <si>
    <t>0:03:36:21</t>
  </si>
  <si>
    <t>0:03:36:22</t>
  </si>
  <si>
    <t>0:03:36:23</t>
  </si>
  <si>
    <t>0:03:36:24</t>
  </si>
  <si>
    <t>0:03:37:00</t>
  </si>
  <si>
    <t>0:03:37:01</t>
  </si>
  <si>
    <t>0:03:37:02</t>
  </si>
  <si>
    <t>0:03:37:03</t>
  </si>
  <si>
    <t>0:03:37:04</t>
  </si>
  <si>
    <t>0:03:37:05</t>
  </si>
  <si>
    <t>0:03:37:06</t>
  </si>
  <si>
    <t>0:03:37:07</t>
  </si>
  <si>
    <t>0:03:37:08</t>
  </si>
  <si>
    <t>0:03:37:09</t>
  </si>
  <si>
    <t>0:03:37:10</t>
  </si>
  <si>
    <t>0:03:37:11</t>
  </si>
  <si>
    <t>0:03:37:12</t>
  </si>
  <si>
    <t>0:03:37:13</t>
  </si>
  <si>
    <t>0:03:37:14</t>
  </si>
  <si>
    <t>0:03:37:15</t>
  </si>
  <si>
    <t>0:03:37:16</t>
  </si>
  <si>
    <t>0:03:37:17</t>
  </si>
  <si>
    <t>0:03:37:18</t>
  </si>
  <si>
    <t>0:03:37:19</t>
  </si>
  <si>
    <t>0:03:37:20</t>
  </si>
  <si>
    <t>0:03:37:21</t>
  </si>
  <si>
    <t>0:03:37:22</t>
  </si>
  <si>
    <t>0:03:37:23</t>
  </si>
  <si>
    <t>0:03:37:24</t>
  </si>
  <si>
    <t>0:03:38:00</t>
  </si>
  <si>
    <t>0:03:38:01</t>
  </si>
  <si>
    <t>0:03:38:02</t>
  </si>
  <si>
    <t>0:03:38:03</t>
  </si>
  <si>
    <t>0:03:38:04</t>
  </si>
  <si>
    <t>0:03:38:05</t>
  </si>
  <si>
    <t>0:03:38:06</t>
  </si>
  <si>
    <t>0:03:38:07</t>
  </si>
  <si>
    <t>0:03:38:08</t>
  </si>
  <si>
    <t>0:03:38:09</t>
  </si>
  <si>
    <t>0:03:38:10</t>
  </si>
  <si>
    <t>0:03:38:11</t>
  </si>
  <si>
    <t>0:03:38:12</t>
  </si>
  <si>
    <t>0:03:38:13</t>
  </si>
  <si>
    <t>0:03:38:14</t>
  </si>
  <si>
    <t>0:03:38:15</t>
  </si>
  <si>
    <t>0:03:38:16</t>
  </si>
  <si>
    <t>0:03:38:17</t>
  </si>
  <si>
    <t>0:03:38:18</t>
  </si>
  <si>
    <t>0:03:38:19</t>
  </si>
  <si>
    <t>0:03:38:20</t>
  </si>
  <si>
    <t>0:03:38:21</t>
  </si>
  <si>
    <t>0:03:38:22</t>
  </si>
  <si>
    <t>0:03:38:23</t>
  </si>
  <si>
    <t>0:03:38:24</t>
  </si>
  <si>
    <t>0:03:39:00</t>
  </si>
  <si>
    <t>0:03:39:01</t>
  </si>
  <si>
    <t>0:03:39:02</t>
  </si>
  <si>
    <t>0:03:39:03</t>
  </si>
  <si>
    <t>0:03:39:04</t>
  </si>
  <si>
    <t>0:03:39:05</t>
  </si>
  <si>
    <t>0:03:39:06</t>
  </si>
  <si>
    <t>0:03:39:07</t>
  </si>
  <si>
    <t>0:03:39:08</t>
  </si>
  <si>
    <t>0:03:39:09</t>
  </si>
  <si>
    <t>0:03:39:10</t>
  </si>
  <si>
    <t>0:03:39:11</t>
  </si>
  <si>
    <t>0:03:39:12</t>
  </si>
  <si>
    <t>0:03:39:13</t>
  </si>
  <si>
    <t>0:03:39:14</t>
  </si>
  <si>
    <t>0:03:39:15</t>
  </si>
  <si>
    <t>0:03:39:16</t>
  </si>
  <si>
    <t>0:03:39:17</t>
  </si>
  <si>
    <t>0:03:39:18</t>
  </si>
  <si>
    <t>0:03:39:19</t>
  </si>
  <si>
    <t>0:03:39:20</t>
  </si>
  <si>
    <t>0:03:39:21</t>
  </si>
  <si>
    <t>0:03:39:22</t>
  </si>
  <si>
    <t>0:03:39:23</t>
  </si>
  <si>
    <t>0:03:39:24</t>
  </si>
  <si>
    <t>0:03:40:00</t>
  </si>
  <si>
    <t>0:03:40:01</t>
  </si>
  <si>
    <t>0:03:40:02</t>
  </si>
  <si>
    <t>0:03:40:03</t>
  </si>
  <si>
    <t>0:03:40:04</t>
  </si>
  <si>
    <t>0:03:40:05</t>
  </si>
  <si>
    <t>0:03:40:06</t>
  </si>
  <si>
    <t>0:03:40:07</t>
  </si>
  <si>
    <t>0:03:40:08</t>
  </si>
  <si>
    <t>0:03:40:09</t>
  </si>
  <si>
    <t>0:03:40:10</t>
  </si>
  <si>
    <t>0:03:40:11</t>
  </si>
  <si>
    <t>0:03:40:12</t>
  </si>
  <si>
    <t>0:03:40:13</t>
  </si>
  <si>
    <t>0:03:40:14</t>
  </si>
  <si>
    <t>0:03:40:15</t>
  </si>
  <si>
    <t>0:03:40:16</t>
  </si>
  <si>
    <t>0:03:40:17</t>
  </si>
  <si>
    <t>0:03:40:18</t>
  </si>
  <si>
    <t>0:03:40:19</t>
  </si>
  <si>
    <t>0:03:40:20</t>
  </si>
  <si>
    <t>0:03:40:21</t>
  </si>
  <si>
    <t>0:03:40:22</t>
  </si>
  <si>
    <t>0:03:40:23</t>
  </si>
  <si>
    <t>0:03:40:24</t>
  </si>
  <si>
    <t>0:03:41:00</t>
  </si>
  <si>
    <t>0:03:41:01</t>
  </si>
  <si>
    <t>0:03:41:02</t>
  </si>
  <si>
    <t>0:03:41:03</t>
  </si>
  <si>
    <t>0:03:41:04</t>
  </si>
  <si>
    <t>0:03:41:05</t>
  </si>
  <si>
    <t>0:03:41:06</t>
  </si>
  <si>
    <t>0:03:41:07</t>
  </si>
  <si>
    <t>0:03:41:08</t>
  </si>
  <si>
    <t>0:03:41:09</t>
  </si>
  <si>
    <t>0:03:41:10</t>
  </si>
  <si>
    <t>0:03:41:11</t>
  </si>
  <si>
    <t>0:03:41:12</t>
  </si>
  <si>
    <t>0:03:41:13</t>
  </si>
  <si>
    <t>0:03:41:14</t>
  </si>
  <si>
    <t>0:03:41:15</t>
  </si>
  <si>
    <t>0:03:41:16</t>
  </si>
  <si>
    <t>0:03:41:17</t>
  </si>
  <si>
    <t>0:03:41:18</t>
  </si>
  <si>
    <t>0:03:41:19</t>
  </si>
  <si>
    <t>0:03:41:20</t>
  </si>
  <si>
    <t>0:03:41:21</t>
  </si>
  <si>
    <t>0:03:41:22</t>
  </si>
  <si>
    <t>0:03:41:23</t>
  </si>
  <si>
    <t>0:03:41:24</t>
  </si>
  <si>
    <t>0:03:42:00</t>
  </si>
  <si>
    <t>0:03:42:01</t>
  </si>
  <si>
    <t>0:03:42:02</t>
  </si>
  <si>
    <t>0:03:42:03</t>
  </si>
  <si>
    <t>0:03:42:04</t>
  </si>
  <si>
    <t>0:03:42:05</t>
  </si>
  <si>
    <t>0:03:42:06</t>
  </si>
  <si>
    <t>0:03:42:07</t>
  </si>
  <si>
    <t>0:03:42:08</t>
  </si>
  <si>
    <t>0:03:42:09</t>
  </si>
  <si>
    <t>0:03:42:10</t>
  </si>
  <si>
    <t>0:03:42:11</t>
  </si>
  <si>
    <t>0:03:42:12</t>
  </si>
  <si>
    <t>0:03:42:13</t>
  </si>
  <si>
    <t>0:03:42:14</t>
  </si>
  <si>
    <t>0:03:42:15</t>
  </si>
  <si>
    <t>0:03:42:16</t>
  </si>
  <si>
    <t>0:03:42:17</t>
  </si>
  <si>
    <t>0:03:42:18</t>
  </si>
  <si>
    <t>0:03:42:19</t>
  </si>
  <si>
    <t>0:03:42:20</t>
  </si>
  <si>
    <t>0:03:42:21</t>
  </si>
  <si>
    <t>0:03:42:22</t>
  </si>
  <si>
    <t>0:03:42:23</t>
  </si>
  <si>
    <t>0:03:42:24</t>
  </si>
  <si>
    <t>0:03:43:00</t>
  </si>
  <si>
    <t>0:03:43:01</t>
  </si>
  <si>
    <t>0:03:43:02</t>
  </si>
  <si>
    <t>0:03:43:03</t>
  </si>
  <si>
    <t>0:03:43:04</t>
  </si>
  <si>
    <t>0:03:43:05</t>
  </si>
  <si>
    <t>0:03:43:06</t>
  </si>
  <si>
    <t>0:03:43:07</t>
  </si>
  <si>
    <t>0:03:43:08</t>
  </si>
  <si>
    <t>0:03:43:09</t>
  </si>
  <si>
    <t>0:03:43:10</t>
  </si>
  <si>
    <t>0:03:43:11</t>
  </si>
  <si>
    <t>0:03:43:12</t>
  </si>
  <si>
    <t>0:03:43:13</t>
  </si>
  <si>
    <t>0:03:43:14</t>
  </si>
  <si>
    <t>0:03:43:15</t>
  </si>
  <si>
    <t>0:03:43:16</t>
  </si>
  <si>
    <t>0:03:43:17</t>
  </si>
  <si>
    <t>0:03:43:18</t>
  </si>
  <si>
    <t>0:03:43:19</t>
  </si>
  <si>
    <t>0:03:43:20</t>
  </si>
  <si>
    <t>0:03:43:21</t>
  </si>
  <si>
    <t>0:03:43:22</t>
  </si>
  <si>
    <t>0:03:43:23</t>
  </si>
  <si>
    <t>0:03:43:24</t>
  </si>
  <si>
    <t>0:03:44:00</t>
  </si>
  <si>
    <t>0:03:44:01</t>
  </si>
  <si>
    <t>0:03:44:02</t>
  </si>
  <si>
    <t>0:03:44:03</t>
  </si>
  <si>
    <t>0:03:44:04</t>
  </si>
  <si>
    <t>0:03:44:05</t>
  </si>
  <si>
    <t>0:03:44:06</t>
  </si>
  <si>
    <t>0:03:44:07</t>
  </si>
  <si>
    <t>0:03:44:08</t>
  </si>
  <si>
    <t>0:03:44:09</t>
  </si>
  <si>
    <t>0:03:44:10</t>
  </si>
  <si>
    <t>0:03:44:11</t>
  </si>
  <si>
    <t>0:03:44:12</t>
  </si>
  <si>
    <t>0:03:44:13</t>
  </si>
  <si>
    <t>0:03:44:14</t>
  </si>
  <si>
    <t>0:03:44:15</t>
  </si>
  <si>
    <t>0:03:44:16</t>
  </si>
  <si>
    <t>0:03:44:17</t>
  </si>
  <si>
    <t>0:03:44:18</t>
  </si>
  <si>
    <t>0:03:44:19</t>
  </si>
  <si>
    <t>0:03:44:20</t>
  </si>
  <si>
    <t>0:03:44:21</t>
  </si>
  <si>
    <t>0:03:44:22</t>
  </si>
  <si>
    <t>0:03:44:23</t>
  </si>
  <si>
    <t>0:03:44:24</t>
  </si>
  <si>
    <t>0:03:45:00</t>
  </si>
  <si>
    <t>0:03:45:01</t>
  </si>
  <si>
    <t>0:03:45:02</t>
  </si>
  <si>
    <t>0:03:45:03</t>
  </si>
  <si>
    <t>0:03:45:04</t>
  </si>
  <si>
    <t>0:03:45:05</t>
  </si>
  <si>
    <t>0:03:45:06</t>
  </si>
  <si>
    <t>0:03:45:07</t>
  </si>
  <si>
    <t>0:03:45:08</t>
  </si>
  <si>
    <t>0:03:45:09</t>
  </si>
  <si>
    <t>0:03:45:10</t>
  </si>
  <si>
    <t>0:03:45:11</t>
  </si>
  <si>
    <t>0:03:45:12</t>
  </si>
  <si>
    <t>0:03:45:13</t>
  </si>
  <si>
    <t>0:03:45:14</t>
  </si>
  <si>
    <t>0:03:45:15</t>
  </si>
  <si>
    <t>0:03:45:16</t>
  </si>
  <si>
    <t>0:03:45:17</t>
  </si>
  <si>
    <t>0:03:45:18</t>
  </si>
  <si>
    <t>0:03:45:19</t>
  </si>
  <si>
    <t>0:03:45:20</t>
  </si>
  <si>
    <t>0:03:45:21</t>
  </si>
  <si>
    <t>0:03:45:22</t>
  </si>
  <si>
    <t>0:03:45:23</t>
  </si>
  <si>
    <t>0:03:45:24</t>
  </si>
  <si>
    <t>0:03:46:00</t>
  </si>
  <si>
    <t>0:03:46:01</t>
  </si>
  <si>
    <t>0:03:46:02</t>
  </si>
  <si>
    <t>0:03:46:03</t>
  </si>
  <si>
    <t>0:03:46:04</t>
  </si>
  <si>
    <t>0:03:46:05</t>
  </si>
  <si>
    <t>0:03:46:06</t>
  </si>
  <si>
    <t>0:03:46:07</t>
  </si>
  <si>
    <t>0:03:46:08</t>
  </si>
  <si>
    <t>0:03:46:09</t>
  </si>
  <si>
    <t>0:03:46:10</t>
  </si>
  <si>
    <t>0:03:46:11</t>
  </si>
  <si>
    <t>0:03:46:12</t>
  </si>
  <si>
    <t>0:03:46:13</t>
  </si>
  <si>
    <t>0:03:46:14</t>
  </si>
  <si>
    <t>0:03:46:15</t>
  </si>
  <si>
    <t>0:03:46:16</t>
  </si>
  <si>
    <t>0:03:46:17</t>
  </si>
  <si>
    <t>0:03:46:18</t>
  </si>
  <si>
    <t>0:03:46:19</t>
  </si>
  <si>
    <t>0:03:46:20</t>
  </si>
  <si>
    <t>0:03:46:21</t>
  </si>
  <si>
    <t>0:03:46:22</t>
  </si>
  <si>
    <t>0:03:46:23</t>
  </si>
  <si>
    <t>0:03:46:24</t>
  </si>
  <si>
    <t>0:03:47:00</t>
  </si>
  <si>
    <t>0:03:47:01</t>
  </si>
  <si>
    <t>0:03:47:02</t>
  </si>
  <si>
    <t>0:03:47:03</t>
  </si>
  <si>
    <t>0:03:47:04</t>
  </si>
  <si>
    <t>0:03:47:05</t>
  </si>
  <si>
    <t>0:03:47:06</t>
  </si>
  <si>
    <t>0:03:47:07</t>
  </si>
  <si>
    <t>0:03:47:08</t>
  </si>
  <si>
    <t>0:03:47:09</t>
  </si>
  <si>
    <t>0:03:47:10</t>
  </si>
  <si>
    <t>0:03:47:11</t>
  </si>
  <si>
    <t>0:03:47:12</t>
  </si>
  <si>
    <t>0:03:47:13</t>
  </si>
  <si>
    <t>0:03:47:14</t>
  </si>
  <si>
    <t>0:03:47:15</t>
  </si>
  <si>
    <t>0:03:47:16</t>
  </si>
  <si>
    <t>0:03:47:17</t>
  </si>
  <si>
    <t>0:03:47:18</t>
  </si>
  <si>
    <t>0:03:47:19</t>
  </si>
  <si>
    <t>0:03:47:20</t>
  </si>
  <si>
    <t>0:03:47:21</t>
  </si>
  <si>
    <t>0:03:47:22</t>
  </si>
  <si>
    <t>0:03:47:23</t>
  </si>
  <si>
    <t>0:03:47:24</t>
  </si>
  <si>
    <t>0:03:48:00</t>
  </si>
  <si>
    <t>0:03:48:01</t>
  </si>
  <si>
    <t>0:03:48:02</t>
  </si>
  <si>
    <t>0:03:48:03</t>
  </si>
  <si>
    <t>0:03:48:04</t>
  </si>
  <si>
    <t>0:03:48:05</t>
  </si>
  <si>
    <t>0:03:48:06</t>
  </si>
  <si>
    <t>0:03:48:07</t>
  </si>
  <si>
    <t>0:03:48:08</t>
  </si>
  <si>
    <t>0:03:48:09</t>
  </si>
  <si>
    <t>0:03:48:10</t>
  </si>
  <si>
    <t>0:03:48:11</t>
  </si>
  <si>
    <t>0:03:48:12</t>
  </si>
  <si>
    <t>0:03:48:13</t>
  </si>
  <si>
    <t>0:03:48:14</t>
  </si>
  <si>
    <t>0:03:48:15</t>
  </si>
  <si>
    <t>0:03:48:16</t>
  </si>
  <si>
    <t>0:03:48:17</t>
  </si>
  <si>
    <t>0:03:48:18</t>
  </si>
  <si>
    <t>0:03:48:19</t>
  </si>
  <si>
    <t>0:03:48:20</t>
  </si>
  <si>
    <t>0:03:48:21</t>
  </si>
  <si>
    <t>0:03:48:22</t>
  </si>
  <si>
    <t>0:03:48:23</t>
  </si>
  <si>
    <t>0:03:48:24</t>
  </si>
  <si>
    <t>0:03:49:00</t>
  </si>
  <si>
    <t>0:03:49:01</t>
  </si>
  <si>
    <t>0:03:49:02</t>
  </si>
  <si>
    <t>0:03:49:03</t>
  </si>
  <si>
    <t>0:03:49:04</t>
  </si>
  <si>
    <t>0:03:49:05</t>
  </si>
  <si>
    <t>0:03:49:06</t>
  </si>
  <si>
    <t>0:03:49:07</t>
  </si>
  <si>
    <t>0:03:49:08</t>
  </si>
  <si>
    <t>0:03:49:09</t>
  </si>
  <si>
    <t>0:03:49:10</t>
  </si>
  <si>
    <t>0:03:49:11</t>
  </si>
  <si>
    <t>0:03:49:12</t>
  </si>
  <si>
    <t>0:03:49:13</t>
  </si>
  <si>
    <t>0:03:49:14</t>
  </si>
  <si>
    <t>0:03:49:15</t>
  </si>
  <si>
    <t>0:03:49:16</t>
  </si>
  <si>
    <t>0:03:49:17</t>
  </si>
  <si>
    <t>0:03:49:18</t>
  </si>
  <si>
    <t>0:03:49:19</t>
  </si>
  <si>
    <t>0:03:49:20</t>
  </si>
  <si>
    <t>0:03:49:21</t>
  </si>
  <si>
    <t>0:03:49:22</t>
  </si>
  <si>
    <t>0:03:49:23</t>
  </si>
  <si>
    <t>0:03:49:24</t>
  </si>
  <si>
    <t>0:03:50:00</t>
  </si>
  <si>
    <t>0:03:50:01</t>
  </si>
  <si>
    <t>0:03:50:02</t>
  </si>
  <si>
    <t>0:03:50:03</t>
  </si>
  <si>
    <t>0:03:50:04</t>
  </si>
  <si>
    <t>0:03:50:05</t>
  </si>
  <si>
    <t>0:03:50:06</t>
  </si>
  <si>
    <t>0:03:50:07</t>
  </si>
  <si>
    <t>0:03:50:08</t>
  </si>
  <si>
    <t>0:03:50:09</t>
  </si>
  <si>
    <t>0:03:50:10</t>
  </si>
  <si>
    <t>0:03:50:11</t>
  </si>
  <si>
    <t>0:03:50:12</t>
  </si>
  <si>
    <t>0:03:50:13</t>
  </si>
  <si>
    <t>0:03:50:14</t>
  </si>
  <si>
    <t>0:03:50:15</t>
  </si>
  <si>
    <t>0:03:50:16</t>
  </si>
  <si>
    <t>0:03:50:17</t>
  </si>
  <si>
    <t>0:03:50:18</t>
  </si>
  <si>
    <t>0:03:50:19</t>
  </si>
  <si>
    <t>0:03:50:20</t>
  </si>
  <si>
    <t>0:03:50:21</t>
  </si>
  <si>
    <t>0:03:50:22</t>
  </si>
  <si>
    <t>0:03:50:23</t>
  </si>
  <si>
    <t>0:03:50:24</t>
  </si>
  <si>
    <t>0:03:51:00</t>
  </si>
  <si>
    <t>0:03:51:01</t>
  </si>
  <si>
    <t>0:03:51:02</t>
  </si>
  <si>
    <t>0:03:51:03</t>
  </si>
  <si>
    <t>0:03:51:04</t>
  </si>
  <si>
    <t>0:03:51:05</t>
  </si>
  <si>
    <t>0:03:51:06</t>
  </si>
  <si>
    <t>0:03:51:07</t>
  </si>
  <si>
    <t>0:03:51:08</t>
  </si>
  <si>
    <t>0:03:51:09</t>
  </si>
  <si>
    <t>0:03:51:10</t>
  </si>
  <si>
    <t>0:03:51:11</t>
  </si>
  <si>
    <t>0:03:51:12</t>
  </si>
  <si>
    <t>0:03:51:13</t>
  </si>
  <si>
    <t>0:03:51:14</t>
  </si>
  <si>
    <t>0:03:51:15</t>
  </si>
  <si>
    <t>0:03:51:16</t>
  </si>
  <si>
    <t>0:03:51:17</t>
  </si>
  <si>
    <t>0:03:51:18</t>
  </si>
  <si>
    <t>0:03:51:19</t>
  </si>
  <si>
    <t>0:03:51:20</t>
  </si>
  <si>
    <t>0:03:51:21</t>
  </si>
  <si>
    <t>0:03:51:22</t>
  </si>
  <si>
    <t>0:03:51:23</t>
  </si>
  <si>
    <t>0:03:51:24</t>
  </si>
  <si>
    <t>0:03:52:00</t>
  </si>
  <si>
    <t>0:03:52:01</t>
  </si>
  <si>
    <t>0:03:52:02</t>
  </si>
  <si>
    <t>0:03:52:03</t>
  </si>
  <si>
    <t>0:03:52:04</t>
  </si>
  <si>
    <t>0:03:52:05</t>
  </si>
  <si>
    <t>0:03:52:06</t>
  </si>
  <si>
    <t>0:03:52:07</t>
  </si>
  <si>
    <t>0:03:52:08</t>
  </si>
  <si>
    <t>0:03:52:09</t>
  </si>
  <si>
    <t>0:03:52:10</t>
  </si>
  <si>
    <t>0:03:52:11</t>
  </si>
  <si>
    <t>0:03:52:12</t>
  </si>
  <si>
    <t>0:03:52:13</t>
  </si>
  <si>
    <t>0:03:52:14</t>
  </si>
  <si>
    <t>0:03:52:15</t>
  </si>
  <si>
    <t>0:03:52:16</t>
  </si>
  <si>
    <t>0:03:52:17</t>
  </si>
  <si>
    <t>0:03:52:18</t>
  </si>
  <si>
    <t>0:03:52:19</t>
  </si>
  <si>
    <t>0:03:52:20</t>
  </si>
  <si>
    <t>0:03:52:21</t>
  </si>
  <si>
    <t>0:03:52:22</t>
  </si>
  <si>
    <t>0:03:52:23</t>
  </si>
  <si>
    <t>0:03:52:24</t>
  </si>
  <si>
    <t>0:03:53:00</t>
  </si>
  <si>
    <t>0:03:53:01</t>
  </si>
  <si>
    <t>0:03:53:02</t>
  </si>
  <si>
    <t>0:03:53:03</t>
  </si>
  <si>
    <t>0:03:53:04</t>
  </si>
  <si>
    <t>0:03:53:05</t>
  </si>
  <si>
    <t>0:03:53:06</t>
  </si>
  <si>
    <t>0:03:53:07</t>
  </si>
  <si>
    <t>0:03:53:08</t>
  </si>
  <si>
    <t>0:03:53:09</t>
  </si>
  <si>
    <t>0:03:53:10</t>
  </si>
  <si>
    <t>0:03:53:11</t>
  </si>
  <si>
    <t>0:03:53:12</t>
  </si>
  <si>
    <t>0:03:53:13</t>
  </si>
  <si>
    <t>0:03:53:14</t>
  </si>
  <si>
    <t>0:03:53:15</t>
  </si>
  <si>
    <t>0:03:53:16</t>
  </si>
  <si>
    <t>0:03:53:17</t>
  </si>
  <si>
    <t>0:03:53:18</t>
  </si>
  <si>
    <t>0:03:53:19</t>
  </si>
  <si>
    <t>0:03:53:20</t>
  </si>
  <si>
    <t>0:03:53:21</t>
  </si>
  <si>
    <t>0:03:53:22</t>
  </si>
  <si>
    <t>0:03:53:23</t>
  </si>
  <si>
    <t>0:03:53:24</t>
  </si>
  <si>
    <t>0:03:54:00</t>
  </si>
  <si>
    <t>0:03:54:01</t>
  </si>
  <si>
    <t>0:03:54:02</t>
  </si>
  <si>
    <t>0:03:54:03</t>
  </si>
  <si>
    <t>0:03:54:04</t>
  </si>
  <si>
    <t>0:03:54:05</t>
  </si>
  <si>
    <t>0:03:54:06</t>
  </si>
  <si>
    <t>0:03:54:07</t>
  </si>
  <si>
    <t>0:03:54:08</t>
  </si>
  <si>
    <t>0:03:54:09</t>
  </si>
  <si>
    <t>0:03:54:10</t>
  </si>
  <si>
    <t>0:03:54:11</t>
  </si>
  <si>
    <t>0:03:54:12</t>
  </si>
  <si>
    <t>0:03:54:13</t>
  </si>
  <si>
    <t>0:03:54:14</t>
  </si>
  <si>
    <t>0:03:54:15</t>
  </si>
  <si>
    <t>0:03:54:16</t>
  </si>
  <si>
    <t>0:03:54:17</t>
  </si>
  <si>
    <t>0:03:54:18</t>
  </si>
  <si>
    <t>0:03:54:19</t>
  </si>
  <si>
    <t>0:03:54:20</t>
  </si>
  <si>
    <t>0:03:54:21</t>
  </si>
  <si>
    <t>0:03:54:22</t>
  </si>
  <si>
    <t>0:03:54:23</t>
  </si>
  <si>
    <t>0:03:54:24</t>
  </si>
  <si>
    <t>0:03:55:00</t>
  </si>
  <si>
    <t>0:03:55:01</t>
  </si>
  <si>
    <t>0:03:55:02</t>
  </si>
  <si>
    <t>0:03:55:03</t>
  </si>
  <si>
    <t>0:03:55:04</t>
  </si>
  <si>
    <t>0:03:55:05</t>
  </si>
  <si>
    <t>0:03:55:06</t>
  </si>
  <si>
    <t>0:03:55:07</t>
  </si>
  <si>
    <t>0:03:55:08</t>
  </si>
  <si>
    <t>0:03:55:09</t>
  </si>
  <si>
    <t>0:03:55:10</t>
  </si>
  <si>
    <t>0:03:55:11</t>
  </si>
  <si>
    <t>0:03:55:12</t>
  </si>
  <si>
    <t>0:03:55:13</t>
  </si>
  <si>
    <t>0:03:55:14</t>
  </si>
  <si>
    <t>0:03:55:15</t>
  </si>
  <si>
    <t>0:03:55:16</t>
  </si>
  <si>
    <t>0:03:55:17</t>
  </si>
  <si>
    <t>0:03:55:18</t>
  </si>
  <si>
    <t>0:03:55:19</t>
  </si>
  <si>
    <t>0:03:55:20</t>
  </si>
  <si>
    <t>0:03:55:21</t>
  </si>
  <si>
    <t>0:03:55:22</t>
  </si>
  <si>
    <t>0:03:55:23</t>
  </si>
  <si>
    <t>0:03:55:24</t>
  </si>
  <si>
    <t>0:03:56:00</t>
  </si>
  <si>
    <t>0:03:56:01</t>
  </si>
  <si>
    <t>0:03:56:02</t>
  </si>
  <si>
    <t>0:03:56:03</t>
  </si>
  <si>
    <t>0:03:56:04</t>
  </si>
  <si>
    <t>0:03:56:05</t>
  </si>
  <si>
    <t>0:03:56:06</t>
  </si>
  <si>
    <t>0:03:56:07</t>
  </si>
  <si>
    <t>0:03:56:08</t>
  </si>
  <si>
    <t>0:03:56:09</t>
  </si>
  <si>
    <t>0:03:56:10</t>
  </si>
  <si>
    <t>0:03:56:11</t>
  </si>
  <si>
    <t>0:03:56:12</t>
  </si>
  <si>
    <t>0:03:56:13</t>
  </si>
  <si>
    <t>0:03:56:14</t>
  </si>
  <si>
    <t>0:03:56:15</t>
  </si>
  <si>
    <t>0:03:56:16</t>
  </si>
  <si>
    <t>0:03:56:17</t>
  </si>
  <si>
    <t>0:03:56:18</t>
  </si>
  <si>
    <t>0:03:56:19</t>
  </si>
  <si>
    <t>0:03:56:20</t>
  </si>
  <si>
    <t>0:03:56:21</t>
  </si>
  <si>
    <t>0:03:56:22</t>
  </si>
  <si>
    <t>0:03:56:23</t>
  </si>
  <si>
    <t>0:03:56:24</t>
  </si>
  <si>
    <t>0:03:57:00</t>
  </si>
  <si>
    <t>0:03:57:01</t>
  </si>
  <si>
    <t>0:03:57:02</t>
  </si>
  <si>
    <t>0:03:57:03</t>
  </si>
  <si>
    <t>0:03:57:04</t>
  </si>
  <si>
    <t>0:03:57:05</t>
  </si>
  <si>
    <t>0:03:57:06</t>
  </si>
  <si>
    <t>0:03:57:07</t>
  </si>
  <si>
    <t>0:03:57:08</t>
  </si>
  <si>
    <t>0:03:57:09</t>
  </si>
  <si>
    <t>0:03:57:10</t>
  </si>
  <si>
    <t>0:03:57:11</t>
  </si>
  <si>
    <t>0:03:57:12</t>
  </si>
  <si>
    <t>0:03:57:13</t>
  </si>
  <si>
    <t>0:03:57:14</t>
  </si>
  <si>
    <t>0:03:57:15</t>
  </si>
  <si>
    <t>0:03:57:16</t>
  </si>
  <si>
    <t>0:03:57:17</t>
  </si>
  <si>
    <t>0:03:57:18</t>
  </si>
  <si>
    <t>0:03:57:19</t>
  </si>
  <si>
    <t>0:03:57:20</t>
  </si>
  <si>
    <t>0:03:57:21</t>
  </si>
  <si>
    <t>0:03:57:22</t>
  </si>
  <si>
    <t>0:03:57:23</t>
  </si>
  <si>
    <t>0:03:57:24</t>
  </si>
  <si>
    <t>0:03:58:00</t>
  </si>
  <si>
    <t>0:03:58:01</t>
  </si>
  <si>
    <t>0:03:58:02</t>
  </si>
  <si>
    <t>0:03:58:03</t>
  </si>
  <si>
    <t>0:03:58:04</t>
  </si>
  <si>
    <t>0:03:58:05</t>
  </si>
  <si>
    <t>0:03:58:06</t>
  </si>
  <si>
    <t>0:03:58:07</t>
  </si>
  <si>
    <t>0:03:58:08</t>
  </si>
  <si>
    <t>0:03:58:09</t>
  </si>
  <si>
    <t>0:03:58:10</t>
  </si>
  <si>
    <t>0:03:58:11</t>
  </si>
  <si>
    <t>0:03:58:12</t>
  </si>
  <si>
    <t>0:03:58:13</t>
  </si>
  <si>
    <t>0:03:58:14</t>
  </si>
  <si>
    <t>0:03:58:15</t>
  </si>
  <si>
    <t>0:03:58:16</t>
  </si>
  <si>
    <t>0:03:58:17</t>
  </si>
  <si>
    <t>0:03:58:18</t>
  </si>
  <si>
    <t>0:03:58:19</t>
  </si>
  <si>
    <t>0:03:58:20</t>
  </si>
  <si>
    <t>0:03:58:21</t>
  </si>
  <si>
    <t>0:03:58:22</t>
  </si>
  <si>
    <t>0:03:58:23</t>
  </si>
  <si>
    <t>0:03:58:24</t>
  </si>
  <si>
    <t>0:03:59:00</t>
  </si>
  <si>
    <t>0:03:59:01</t>
  </si>
  <si>
    <t>0:03:59:02</t>
  </si>
  <si>
    <t>0:03:59:03</t>
  </si>
  <si>
    <t>0:03:59:04</t>
  </si>
  <si>
    <t>0:03:59:05</t>
  </si>
  <si>
    <t>0:03:59:06</t>
  </si>
  <si>
    <t>0:03:59:07</t>
  </si>
  <si>
    <t>0:03:59:08</t>
  </si>
  <si>
    <t>0:03:59:09</t>
  </si>
  <si>
    <t>0:03:59:10</t>
  </si>
  <si>
    <t>0:03:59:11</t>
  </si>
  <si>
    <t>0:03:59:12</t>
  </si>
  <si>
    <t>0:03:59:13</t>
  </si>
  <si>
    <t>0:03:59:14</t>
  </si>
  <si>
    <t>0:03:59:15</t>
  </si>
  <si>
    <t>0:03:59:16</t>
  </si>
  <si>
    <t>0:03:59:17</t>
  </si>
  <si>
    <t>0:03:59:18</t>
  </si>
  <si>
    <t>0:03:59:19</t>
  </si>
  <si>
    <t>0:03:59:20</t>
  </si>
  <si>
    <t>0:03:59:21</t>
  </si>
  <si>
    <t>0:03:59:22</t>
  </si>
  <si>
    <t>0:03:59:23</t>
  </si>
  <si>
    <t>0:03:59:24</t>
  </si>
  <si>
    <t>0:04:00:00</t>
  </si>
  <si>
    <t>0:04:00:01</t>
  </si>
  <si>
    <t>0:04:00:02</t>
  </si>
  <si>
    <t>0:04:00:03</t>
  </si>
  <si>
    <t>0:04:00:04</t>
  </si>
  <si>
    <t>0:04:00:05</t>
  </si>
  <si>
    <t>0:04:00:06</t>
  </si>
  <si>
    <t>0:04:00:07</t>
  </si>
  <si>
    <t>0:04:00:08</t>
  </si>
  <si>
    <t>0:04:00:09</t>
  </si>
  <si>
    <t>0:04:00:10</t>
  </si>
  <si>
    <t>0:04:00:11</t>
  </si>
  <si>
    <t>0:04:00:12</t>
  </si>
  <si>
    <t>0:04:00:13</t>
  </si>
  <si>
    <t>0:04:00:14</t>
  </si>
  <si>
    <t>0:04:00:15</t>
  </si>
  <si>
    <t>0:04:00:16</t>
  </si>
  <si>
    <t>0:04:00:17</t>
  </si>
  <si>
    <t>0:04:00:18</t>
  </si>
  <si>
    <t>0:04:00:19</t>
  </si>
  <si>
    <t>0:04:00:20</t>
  </si>
  <si>
    <t>0:04:00:21</t>
  </si>
  <si>
    <t>0:04:00:22</t>
  </si>
  <si>
    <t>0:04:00:23</t>
  </si>
  <si>
    <t>0:04:00:24</t>
  </si>
  <si>
    <t>0:04:01:00</t>
  </si>
  <si>
    <t>0:04:01:01</t>
  </si>
  <si>
    <t>0:04:01:02</t>
  </si>
  <si>
    <t>0:04:01:03</t>
  </si>
  <si>
    <t>0:04:01:04</t>
  </si>
  <si>
    <t>0:04:01:05</t>
  </si>
  <si>
    <t>0:04:01:06</t>
  </si>
  <si>
    <t>0:04:01:07</t>
  </si>
  <si>
    <t>0:04:01:08</t>
  </si>
  <si>
    <t>0:04:01:09</t>
  </si>
  <si>
    <t>0:04:01:10</t>
  </si>
  <si>
    <t>0:04:01:11</t>
  </si>
  <si>
    <t>0:04:01:12</t>
  </si>
  <si>
    <t>0:04:01:13</t>
  </si>
  <si>
    <t>0:04:01:14</t>
  </si>
  <si>
    <t>0:04:01:15</t>
  </si>
  <si>
    <t>0:04:01:16</t>
  </si>
  <si>
    <t>0:04:01:17</t>
  </si>
  <si>
    <t>0:04:01:18</t>
  </si>
  <si>
    <t>0:04:01:19</t>
  </si>
  <si>
    <t>0:04:01:20</t>
  </si>
  <si>
    <t>0:04:01:21</t>
  </si>
  <si>
    <t>0:04:01:22</t>
  </si>
  <si>
    <t>0:04:01:23</t>
  </si>
  <si>
    <t>0:04:01:24</t>
  </si>
  <si>
    <t>0:04:02:00</t>
  </si>
  <si>
    <t>0:04:02:01</t>
  </si>
  <si>
    <t>0:04:02:02</t>
  </si>
  <si>
    <t>0:04:02:03</t>
  </si>
  <si>
    <t>0:04:02:04</t>
  </si>
  <si>
    <t>0:04:02:05</t>
  </si>
  <si>
    <t>0:04:02:06</t>
  </si>
  <si>
    <t>0:04:02:07</t>
  </si>
  <si>
    <t>0:04:02:08</t>
  </si>
  <si>
    <t>0:04:02:09</t>
  </si>
  <si>
    <t>0:04:02:10</t>
  </si>
  <si>
    <t>0:04:02:11</t>
  </si>
  <si>
    <t>0:04:02:12</t>
  </si>
  <si>
    <t>0:04:02:13</t>
  </si>
  <si>
    <t>0:04:02:14</t>
  </si>
  <si>
    <t>0:04:02:15</t>
  </si>
  <si>
    <t>0:04:02:16</t>
  </si>
  <si>
    <t>0:04:02:17</t>
  </si>
  <si>
    <t>0:04:02:18</t>
  </si>
  <si>
    <t>0:04:02:19</t>
  </si>
  <si>
    <t>0:04:02:20</t>
  </si>
  <si>
    <t>0:04:02:21</t>
  </si>
  <si>
    <t>0:04:02:22</t>
  </si>
  <si>
    <t>0:04:02:23</t>
  </si>
  <si>
    <t>0:04:02:24</t>
  </si>
  <si>
    <t>0:04:03:00</t>
  </si>
  <si>
    <t>0:04:03:01</t>
  </si>
  <si>
    <t>0:04:03:02</t>
  </si>
  <si>
    <t>0:04:03:03</t>
  </si>
  <si>
    <t>0:04:03:04</t>
  </si>
  <si>
    <t>0:04:03:05</t>
  </si>
  <si>
    <t>0:04:03:06</t>
  </si>
  <si>
    <t>0:04:03:07</t>
  </si>
  <si>
    <t>0:04:03:08</t>
  </si>
  <si>
    <t>0:04:03:09</t>
  </si>
  <si>
    <t>0:04:03:10</t>
  </si>
  <si>
    <t>0:04:03:11</t>
  </si>
  <si>
    <t>0:04:03:12</t>
  </si>
  <si>
    <t>0:04:03:13</t>
  </si>
  <si>
    <t>0:04:03:14</t>
  </si>
  <si>
    <t>0:04:03:15</t>
  </si>
  <si>
    <t>0:04:03:16</t>
  </si>
  <si>
    <t>0:04:03:17</t>
  </si>
  <si>
    <t>0:04:03:18</t>
  </si>
  <si>
    <t>0:04:03:19</t>
  </si>
  <si>
    <t>0:04:03:20</t>
  </si>
  <si>
    <t>0:04:03:21</t>
  </si>
  <si>
    <t>0:04:03:22</t>
  </si>
  <si>
    <t>0:04:03:23</t>
  </si>
  <si>
    <t>0:04:03:24</t>
  </si>
  <si>
    <t>0:04:04:00</t>
  </si>
  <si>
    <t>0:04:04:01</t>
  </si>
  <si>
    <t>0:04:04:02</t>
  </si>
  <si>
    <t>0:04:04:03</t>
  </si>
  <si>
    <t>0:04:04:04</t>
  </si>
  <si>
    <t>0:04:04:05</t>
  </si>
  <si>
    <t>0:04:04:06</t>
  </si>
  <si>
    <t>0:04:04:07</t>
  </si>
  <si>
    <t>0:04:04:08</t>
  </si>
  <si>
    <t>0:04:04:09</t>
  </si>
  <si>
    <t>0:04:04:10</t>
  </si>
  <si>
    <t>0:04:04:11</t>
  </si>
  <si>
    <t>0:04:04:12</t>
  </si>
  <si>
    <t>0:04:04:13</t>
  </si>
  <si>
    <t>0:04:04:14</t>
  </si>
  <si>
    <t>0:04:04:15</t>
  </si>
  <si>
    <t>0:04:04:16</t>
  </si>
  <si>
    <t>0:04:04:17</t>
  </si>
  <si>
    <t>0:04:04:18</t>
  </si>
  <si>
    <t>0:04:04:19</t>
  </si>
  <si>
    <t>0:04:04:20</t>
  </si>
  <si>
    <t>0:04:04:21</t>
  </si>
  <si>
    <t>0:04:04:22</t>
  </si>
  <si>
    <t>0:04:04:23</t>
  </si>
  <si>
    <t>0:04:04:24</t>
  </si>
  <si>
    <t>0:04:05:00</t>
  </si>
  <si>
    <t>0:04:05:01</t>
  </si>
  <si>
    <t>0:04:05:02</t>
  </si>
  <si>
    <t>0:04:05:03</t>
  </si>
  <si>
    <t>0:04:05:04</t>
  </si>
  <si>
    <t>0:04:05:05</t>
  </si>
  <si>
    <t>0:04:05:06</t>
  </si>
  <si>
    <t>0:04:05:07</t>
  </si>
  <si>
    <t>0:04:05:08</t>
  </si>
  <si>
    <t>0:04:05:09</t>
  </si>
  <si>
    <t>0:04:05:10</t>
  </si>
  <si>
    <t>0:04:05:11</t>
  </si>
  <si>
    <t>0:04:05:12</t>
  </si>
  <si>
    <t>0:04:05:13</t>
  </si>
  <si>
    <t>0:04:05:14</t>
  </si>
  <si>
    <t>0:04:05:15</t>
  </si>
  <si>
    <t>0:04:05:16</t>
  </si>
  <si>
    <t>0:04:05:17</t>
  </si>
  <si>
    <t>0:04:05:18</t>
  </si>
  <si>
    <t>0:04:05:19</t>
  </si>
  <si>
    <t>0:04:05:20</t>
  </si>
  <si>
    <t>0:04:05:21</t>
  </si>
  <si>
    <t>0:04:05:22</t>
  </si>
  <si>
    <t>0:04:05:23</t>
  </si>
  <si>
    <t>0:04:05:24</t>
  </si>
  <si>
    <t>0:04:06:00</t>
  </si>
  <si>
    <t>0:04:06:01</t>
  </si>
  <si>
    <t>0:04:06:02</t>
  </si>
  <si>
    <t>0:04:06:03</t>
  </si>
  <si>
    <t>0:04:06:04</t>
  </si>
  <si>
    <t>0:04:06:05</t>
  </si>
  <si>
    <t>0:04:06:06</t>
  </si>
  <si>
    <t>0:04:06:07</t>
  </si>
  <si>
    <t>0:04:06:08</t>
  </si>
  <si>
    <t>0:04:06:09</t>
  </si>
  <si>
    <t>0:04:06:10</t>
  </si>
  <si>
    <t>0:04:06:11</t>
  </si>
  <si>
    <t>0:04:06:12</t>
  </si>
  <si>
    <t>0:04:06:13</t>
  </si>
  <si>
    <t>0:04:06:14</t>
  </si>
  <si>
    <t>0:04:06:15</t>
  </si>
  <si>
    <t>0:04:06:16</t>
  </si>
  <si>
    <t>0:04:06:17</t>
  </si>
  <si>
    <t>0:04:06:18</t>
  </si>
  <si>
    <t>0:04:06:19</t>
  </si>
  <si>
    <t>0:04:06:20</t>
  </si>
  <si>
    <t>0:04:06:21</t>
  </si>
  <si>
    <t>0:04:06:22</t>
  </si>
  <si>
    <t>0:04:06:23</t>
  </si>
  <si>
    <t>0:04:06:24</t>
  </si>
  <si>
    <t>0:04:07:00</t>
  </si>
  <si>
    <t>0:04:07:01</t>
  </si>
  <si>
    <t>0:04:07:02</t>
  </si>
  <si>
    <t>0:04:07:03</t>
  </si>
  <si>
    <t>0:04:07:04</t>
  </si>
  <si>
    <t>0:04:07:05</t>
  </si>
  <si>
    <t>0:04:07:06</t>
  </si>
  <si>
    <t>0:04:07:07</t>
  </si>
  <si>
    <t>0:04:07:08</t>
  </si>
  <si>
    <t>0:04:07:09</t>
  </si>
  <si>
    <t>0:04:07:10</t>
  </si>
  <si>
    <t>0:04:07:11</t>
  </si>
  <si>
    <t>0:04:07:12</t>
  </si>
  <si>
    <t>0:04:07:13</t>
  </si>
  <si>
    <t>0:04:07:14</t>
  </si>
  <si>
    <t>0:04:07:15</t>
  </si>
  <si>
    <t>0:04:07:16</t>
  </si>
  <si>
    <t>0:04:07:17</t>
  </si>
  <si>
    <t>0:04:07:18</t>
  </si>
  <si>
    <t>0:04:07:19</t>
  </si>
  <si>
    <t>0:04:07:20</t>
  </si>
  <si>
    <t>0:04:07:21</t>
  </si>
  <si>
    <t>0:04:07:22</t>
  </si>
  <si>
    <t>0:04:07:23</t>
  </si>
  <si>
    <t>0:04:07:24</t>
  </si>
  <si>
    <t>0:04:08:00</t>
  </si>
  <si>
    <t>0:04:08:01</t>
  </si>
  <si>
    <t>0:04:08:02</t>
  </si>
  <si>
    <t>0:04:08:03</t>
  </si>
  <si>
    <t>0:04:08:04</t>
  </si>
  <si>
    <t>0:04:08:05</t>
  </si>
  <si>
    <t>0:04:08:06</t>
  </si>
  <si>
    <t>0:04:08:07</t>
  </si>
  <si>
    <t>0:04:08:08</t>
  </si>
  <si>
    <t>0:04:08:09</t>
  </si>
  <si>
    <t>0:04:08:10</t>
  </si>
  <si>
    <t>0:04:08:11</t>
  </si>
  <si>
    <t>0:04:08:12</t>
  </si>
  <si>
    <t>0:04:08:13</t>
  </si>
  <si>
    <t>0:04:08:14</t>
  </si>
  <si>
    <t>0:04:08:15</t>
  </si>
  <si>
    <t>0:04:08:16</t>
  </si>
  <si>
    <t>0:04:08:17</t>
  </si>
  <si>
    <t>0:04:08:18</t>
  </si>
  <si>
    <t>0:04:08:19</t>
  </si>
  <si>
    <t>0:04:08:20</t>
  </si>
  <si>
    <t>0:04:08:21</t>
  </si>
  <si>
    <t>0:04:08:22</t>
  </si>
  <si>
    <t>0:04:08:23</t>
  </si>
  <si>
    <t>0:04:08:24</t>
  </si>
  <si>
    <t>0:04:09:00</t>
  </si>
  <si>
    <t>0:04:09:01</t>
  </si>
  <si>
    <t>0:04:09:02</t>
  </si>
  <si>
    <t>0:04:09:03</t>
  </si>
  <si>
    <t>0:04:09:04</t>
  </si>
  <si>
    <t>0:04:09:05</t>
  </si>
  <si>
    <t>0:04:09:06</t>
  </si>
  <si>
    <t>0:04:09:07</t>
  </si>
  <si>
    <t>0:04:09:08</t>
  </si>
  <si>
    <t>0:04:09:09</t>
  </si>
  <si>
    <t>0:04:09:10</t>
  </si>
  <si>
    <t>0:04:09:11</t>
  </si>
  <si>
    <t>0:04:09:12</t>
  </si>
  <si>
    <t>0:04:09:13</t>
  </si>
  <si>
    <t>0:04:09:14</t>
  </si>
  <si>
    <t>0:04:09:15</t>
  </si>
  <si>
    <t>0:04:09:16</t>
  </si>
  <si>
    <t>0:04:09:17</t>
  </si>
  <si>
    <t>0:04:09:18</t>
  </si>
  <si>
    <t>0:04:09:19</t>
  </si>
  <si>
    <t>0:04:09:20</t>
  </si>
  <si>
    <t>0:04:09:21</t>
  </si>
  <si>
    <t>0:04:09:22</t>
  </si>
  <si>
    <t>0:04:09:23</t>
  </si>
  <si>
    <t>0:04:09:24</t>
  </si>
  <si>
    <t>0:04:10:00</t>
  </si>
  <si>
    <t>0:04:10:01</t>
  </si>
  <si>
    <t>0:04:10:02</t>
  </si>
  <si>
    <t>0:04:10:03</t>
  </si>
  <si>
    <t>0:04:10:04</t>
  </si>
  <si>
    <t>0:04:10:05</t>
  </si>
  <si>
    <t>0:04:10:06</t>
  </si>
  <si>
    <t>0:04:10:07</t>
  </si>
  <si>
    <t>0:04:10:08</t>
  </si>
  <si>
    <t>0:04:10:09</t>
  </si>
  <si>
    <t>0:04:10:10</t>
  </si>
  <si>
    <t>0:04:10:11</t>
  </si>
  <si>
    <t>0:04:10:12</t>
  </si>
  <si>
    <t>0:04:10:13</t>
  </si>
  <si>
    <t>0:04:10:14</t>
  </si>
  <si>
    <t>0:04:10:15</t>
  </si>
  <si>
    <t>0:04:10:16</t>
  </si>
  <si>
    <t>0:04:10:17</t>
  </si>
  <si>
    <t>0:04:10:18</t>
  </si>
  <si>
    <t>0:04:10:19</t>
  </si>
  <si>
    <t>0:04:10:20</t>
  </si>
  <si>
    <t>0:04:10:21</t>
  </si>
  <si>
    <t>0:04:10:22</t>
  </si>
  <si>
    <t>0:04:10:23</t>
  </si>
  <si>
    <t>0:04:10:24</t>
  </si>
  <si>
    <t>0:04:11:00</t>
  </si>
  <si>
    <t>0:04:11:01</t>
  </si>
  <si>
    <t>0:04:11:02</t>
  </si>
  <si>
    <t>0:04:11:03</t>
  </si>
  <si>
    <t>0:04:11:04</t>
  </si>
  <si>
    <t>0:04:11:05</t>
  </si>
  <si>
    <t>0:04:11:06</t>
  </si>
  <si>
    <t>0:04:11:07</t>
  </si>
  <si>
    <t>0:04:11:08</t>
  </si>
  <si>
    <t>0:04:11:09</t>
  </si>
  <si>
    <t>0:04:11:10</t>
  </si>
  <si>
    <t>0:04:11:11</t>
  </si>
  <si>
    <t>0:04:11:12</t>
  </si>
  <si>
    <t>0:04:11:13</t>
  </si>
  <si>
    <t>0:04:11:14</t>
  </si>
  <si>
    <t>0:04:11:15</t>
  </si>
  <si>
    <t>0:04:11:16</t>
  </si>
  <si>
    <t>0:04:11:17</t>
  </si>
  <si>
    <t>0:04:11:18</t>
  </si>
  <si>
    <t>0:04:11:19</t>
  </si>
  <si>
    <t>0:04:11:20</t>
  </si>
  <si>
    <t>0:04:11:21</t>
  </si>
  <si>
    <t>0:04:11:22</t>
  </si>
  <si>
    <t>0:04:11:23</t>
  </si>
  <si>
    <t>0:04:11:24</t>
  </si>
  <si>
    <t>0:04:12:00</t>
  </si>
  <si>
    <t>0:04:12:01</t>
  </si>
  <si>
    <t>0:04:12:02</t>
  </si>
  <si>
    <t>0:04:12:03</t>
  </si>
  <si>
    <t>0:04:12:04</t>
  </si>
  <si>
    <t>0:04:12:05</t>
  </si>
  <si>
    <t>0:04:12:06</t>
  </si>
  <si>
    <t>0:04:12:07</t>
  </si>
  <si>
    <t>0:04:12:08</t>
  </si>
  <si>
    <t>0:04:12:09</t>
  </si>
  <si>
    <t>0:04:12:10</t>
  </si>
  <si>
    <t>0:04:12:11</t>
  </si>
  <si>
    <t>0:04:12:12</t>
  </si>
  <si>
    <t>0:04:12:13</t>
  </si>
  <si>
    <t>0:04:12:14</t>
  </si>
  <si>
    <t>0:04:12:15</t>
  </si>
  <si>
    <t>0:04:12:16</t>
  </si>
  <si>
    <t>0:04:12:17</t>
  </si>
  <si>
    <t>0:04:12:18</t>
  </si>
  <si>
    <t>0:04:12:19</t>
  </si>
  <si>
    <t>0:04:12:20</t>
  </si>
  <si>
    <t>0:04:12:21</t>
  </si>
  <si>
    <t>0:04:12:22</t>
  </si>
  <si>
    <t>0:04:12:23</t>
  </si>
  <si>
    <t>0:04:12:24</t>
  </si>
  <si>
    <t>0:04:13:00</t>
  </si>
  <si>
    <t>0:04:13:01</t>
  </si>
  <si>
    <t>0:04:13:02</t>
  </si>
  <si>
    <t>0:04:13:03</t>
  </si>
  <si>
    <t>0:04:13:04</t>
  </si>
  <si>
    <t>0:04:13:05</t>
  </si>
  <si>
    <t>0:04:13:06</t>
  </si>
  <si>
    <t>0:04:13:07</t>
  </si>
  <si>
    <t>0:04:13:08</t>
  </si>
  <si>
    <t>0:04:13:09</t>
  </si>
  <si>
    <t>0:04:13:10</t>
  </si>
  <si>
    <t>0:04:13:11</t>
  </si>
  <si>
    <t>0:04:13:12</t>
  </si>
  <si>
    <t>0:04:13:13</t>
  </si>
  <si>
    <t>0:04:13:14</t>
  </si>
  <si>
    <t>0:04:13:15</t>
  </si>
  <si>
    <t>0:04:13:16</t>
  </si>
  <si>
    <t>0:04:13:17</t>
  </si>
  <si>
    <t>0:04:13:18</t>
  </si>
  <si>
    <t>0:04:13:19</t>
  </si>
  <si>
    <t>0:04:13:20</t>
  </si>
  <si>
    <t>0:04:13:21</t>
  </si>
  <si>
    <t>0:04:13:22</t>
  </si>
  <si>
    <t>0:04:13:23</t>
  </si>
  <si>
    <t>0:04:13:24</t>
  </si>
  <si>
    <t>0:04:14:00</t>
  </si>
  <si>
    <t>0:04:14:01</t>
  </si>
  <si>
    <t>0:04:14:02</t>
  </si>
  <si>
    <t>0:04:14:03</t>
  </si>
  <si>
    <t>0:04:14:04</t>
  </si>
  <si>
    <t>0:04:14:05</t>
  </si>
  <si>
    <t>0:04:14:06</t>
  </si>
  <si>
    <t>0:04:14:07</t>
  </si>
  <si>
    <t>0:04:14:08</t>
  </si>
  <si>
    <t>0:04:14:09</t>
  </si>
  <si>
    <t>0:04:14:10</t>
  </si>
  <si>
    <t>0:04:14:11</t>
  </si>
  <si>
    <t>0:04:14:12</t>
  </si>
  <si>
    <t>0:04:14:13</t>
  </si>
  <si>
    <t>0:04:14:14</t>
  </si>
  <si>
    <t>0:04:14:15</t>
  </si>
  <si>
    <t>0:04:14:16</t>
  </si>
  <si>
    <t>0:04:14:17</t>
  </si>
  <si>
    <t>0:04:14:18</t>
  </si>
  <si>
    <t>0:04:14:19</t>
  </si>
  <si>
    <t>0:04:14:20</t>
  </si>
  <si>
    <t>0:04:14:21</t>
  </si>
  <si>
    <t>0:04:14:22</t>
  </si>
  <si>
    <t>0:04:14:23</t>
  </si>
  <si>
    <t>0:04:14:24</t>
  </si>
  <si>
    <t>0:04:15:00</t>
  </si>
  <si>
    <t>0:04:15:01</t>
  </si>
  <si>
    <t>0:04:15:02</t>
  </si>
  <si>
    <t>0:04:15:03</t>
  </si>
  <si>
    <t>0:04:15:04</t>
  </si>
  <si>
    <t>0:04:15:05</t>
  </si>
  <si>
    <t>0:04:15:06</t>
  </si>
  <si>
    <t>0:04:15:07</t>
  </si>
  <si>
    <t>0:04:15:08</t>
  </si>
  <si>
    <t>0:04:15:09</t>
  </si>
  <si>
    <t>0:04:15:10</t>
  </si>
  <si>
    <t>0:04:15:11</t>
  </si>
  <si>
    <t>0:04:15:12</t>
  </si>
  <si>
    <t>0:04:15:13</t>
  </si>
  <si>
    <t>0:04:15:14</t>
  </si>
  <si>
    <t>0:04:15:15</t>
  </si>
  <si>
    <t>0:04:15:16</t>
  </si>
  <si>
    <t>0:04:15:17</t>
  </si>
  <si>
    <t>0:04:15:18</t>
  </si>
  <si>
    <t>0:04:15:19</t>
  </si>
  <si>
    <t>0:04:15:20</t>
  </si>
  <si>
    <t>0:04:15:21</t>
  </si>
  <si>
    <t>0:04:15:22</t>
  </si>
  <si>
    <t>0:04:15:23</t>
  </si>
  <si>
    <t>0:04:15:24</t>
  </si>
  <si>
    <t>0:04:16:00</t>
  </si>
  <si>
    <t>0:04:16:01</t>
  </si>
  <si>
    <t>0:04:16:02</t>
  </si>
  <si>
    <t>0:04:16:03</t>
  </si>
  <si>
    <t>0:04:16:04</t>
  </si>
  <si>
    <t>0:04:16:05</t>
  </si>
  <si>
    <t>0:04:16:06</t>
  </si>
  <si>
    <t>0:04:16:07</t>
  </si>
  <si>
    <t>0:04:16:08</t>
  </si>
  <si>
    <t>0:04:16:09</t>
  </si>
  <si>
    <t>0:04:16:10</t>
  </si>
  <si>
    <t>0:04:16:11</t>
  </si>
  <si>
    <t>0:04:16:12</t>
  </si>
  <si>
    <t>0:04:16:13</t>
  </si>
  <si>
    <t>0:04:16:14</t>
  </si>
  <si>
    <t>0:04:16:15</t>
  </si>
  <si>
    <t>0:04:16:16</t>
  </si>
  <si>
    <t>0:04:16:17</t>
  </si>
  <si>
    <t>0:04:16:18</t>
  </si>
  <si>
    <t>0:04:16:19</t>
  </si>
  <si>
    <t>0:04:16:20</t>
  </si>
  <si>
    <t>0:04:16:21</t>
  </si>
  <si>
    <t>0:04:16:22</t>
  </si>
  <si>
    <t>0:04:16:23</t>
  </si>
  <si>
    <t>0:04:16:24</t>
  </si>
  <si>
    <t>0:04:17:00</t>
  </si>
  <si>
    <t>0:04:17:01</t>
  </si>
  <si>
    <t>0:04:17:02</t>
  </si>
  <si>
    <t>0:04:17:03</t>
  </si>
  <si>
    <t>0:04:17:04</t>
  </si>
  <si>
    <t>0:04:17:05</t>
  </si>
  <si>
    <t>0:04:17:06</t>
  </si>
  <si>
    <t>0:04:17:07</t>
  </si>
  <si>
    <t>0:04:17:08</t>
  </si>
  <si>
    <t>0:04:17:09</t>
  </si>
  <si>
    <t>0:04:17:10</t>
  </si>
  <si>
    <t>0:04:17:11</t>
  </si>
  <si>
    <t>0:04:17:12</t>
  </si>
  <si>
    <t>0:04:17:13</t>
  </si>
  <si>
    <t>0:04:17:14</t>
  </si>
  <si>
    <t>0:04:17:15</t>
  </si>
  <si>
    <t>0:04:17:16</t>
  </si>
  <si>
    <t>0:04:17:17</t>
  </si>
  <si>
    <t>0:04:17:18</t>
  </si>
  <si>
    <t>0:04:17:19</t>
  </si>
  <si>
    <t>0:04:17:20</t>
  </si>
  <si>
    <t>0:04:17:21</t>
  </si>
  <si>
    <t>0:04:17:22</t>
  </si>
  <si>
    <t>0:04:17:23</t>
  </si>
  <si>
    <t>0:04:17:24</t>
  </si>
  <si>
    <t>0:04:18:00</t>
  </si>
  <si>
    <t>0:04:18:01</t>
  </si>
  <si>
    <t>0:04:18:02</t>
  </si>
  <si>
    <t>0:04:18:03</t>
  </si>
  <si>
    <t>0:04:18:04</t>
  </si>
  <si>
    <t>0:04:18:05</t>
  </si>
  <si>
    <t>0:04:18:06</t>
  </si>
  <si>
    <t>0:04:18:07</t>
  </si>
  <si>
    <t>0:04:18:08</t>
  </si>
  <si>
    <t>0:04:18:09</t>
  </si>
  <si>
    <t>0:04:18:10</t>
  </si>
  <si>
    <t>0:04:18:11</t>
  </si>
  <si>
    <t>0:04:18:12</t>
  </si>
  <si>
    <t>0:04:18:13</t>
  </si>
  <si>
    <t>0:04:18:14</t>
  </si>
  <si>
    <t>0:04:18:15</t>
  </si>
  <si>
    <t>0:04:18:16</t>
  </si>
  <si>
    <t>0:04:18:17</t>
  </si>
  <si>
    <t>0:04:18:18</t>
  </si>
  <si>
    <t>0:04:18:19</t>
  </si>
  <si>
    <t>0:04:18:20</t>
  </si>
  <si>
    <t>0:04:18:21</t>
  </si>
  <si>
    <t>0:04:18:22</t>
  </si>
  <si>
    <t>0:04:18:23</t>
  </si>
  <si>
    <t>0:04:18:24</t>
  </si>
  <si>
    <t>0:04:19:00</t>
  </si>
  <si>
    <t>0:04:19:01</t>
  </si>
  <si>
    <t>0:04:19:02</t>
  </si>
  <si>
    <t>0:04:19:03</t>
  </si>
  <si>
    <t>0:04:19:04</t>
  </si>
  <si>
    <t>0:04:19:05</t>
  </si>
  <si>
    <t>0:04:19:06</t>
  </si>
  <si>
    <t>0:04:19:07</t>
  </si>
  <si>
    <t>0:04:19:08</t>
  </si>
  <si>
    <t>0:04:19:09</t>
  </si>
  <si>
    <t>0:04:19:10</t>
  </si>
  <si>
    <t>0:04:19:11</t>
  </si>
  <si>
    <t>0:04:19:12</t>
  </si>
  <si>
    <t>0:04:19:13</t>
  </si>
  <si>
    <t>0:04:19:14</t>
  </si>
  <si>
    <t>0:04:19:15</t>
  </si>
  <si>
    <t>0:04:19:16</t>
  </si>
  <si>
    <t>0:04:19:17</t>
  </si>
  <si>
    <t>0:04:19:18</t>
  </si>
  <si>
    <t>0:04:19:19</t>
  </si>
  <si>
    <t>0:04:19:20</t>
  </si>
  <si>
    <t>0:04:19:21</t>
  </si>
  <si>
    <t>0:04:19:22</t>
  </si>
  <si>
    <t>0:04:19:23</t>
  </si>
  <si>
    <t>0:04:19:24</t>
  </si>
  <si>
    <t>0:04:20:00</t>
  </si>
  <si>
    <t>0:04:20:01</t>
  </si>
  <si>
    <t>0:04:20:02</t>
  </si>
  <si>
    <t>0:04:20:03</t>
  </si>
  <si>
    <t>0:04:20:04</t>
  </si>
  <si>
    <t>0:04:20:05</t>
  </si>
  <si>
    <t>0:04:20:06</t>
  </si>
  <si>
    <t>0:04:20:07</t>
  </si>
  <si>
    <t>0:04:20:08</t>
  </si>
  <si>
    <t>0:04:20:09</t>
  </si>
  <si>
    <t>0:04:20:10</t>
  </si>
  <si>
    <t>0:04:20:11</t>
  </si>
  <si>
    <t>0:04:20:12</t>
  </si>
  <si>
    <t>0:04:20:13</t>
  </si>
  <si>
    <t>0:04:20:14</t>
  </si>
  <si>
    <t>0:04:20:15</t>
  </si>
  <si>
    <t>0:04:20:16</t>
  </si>
  <si>
    <t>0:04:20:17</t>
  </si>
  <si>
    <t>0:04:20:18</t>
  </si>
  <si>
    <t>0:04:20:19</t>
  </si>
  <si>
    <t>0:04:20:20</t>
  </si>
  <si>
    <t>0:04:20:21</t>
  </si>
  <si>
    <t>0:04:20:22</t>
  </si>
  <si>
    <t>0:04:20:23</t>
  </si>
  <si>
    <t>0:04:20:24</t>
  </si>
  <si>
    <t>0:04:21:00</t>
  </si>
  <si>
    <t>0:04:21:01</t>
  </si>
  <si>
    <t>0:04:21:02</t>
  </si>
  <si>
    <t>0:04:21:03</t>
  </si>
  <si>
    <t>0:04:21:04</t>
  </si>
  <si>
    <t>0:04:21:05</t>
  </si>
  <si>
    <t>0:04:21:06</t>
  </si>
  <si>
    <t>0:04:21:07</t>
  </si>
  <si>
    <t>0:04:21:08</t>
  </si>
  <si>
    <t>0:04:21:09</t>
  </si>
  <si>
    <t>0:04:21:10</t>
  </si>
  <si>
    <t>0:04:21:11</t>
  </si>
  <si>
    <t>0:04:21:12</t>
  </si>
  <si>
    <t>0:04:21:13</t>
  </si>
  <si>
    <t>0:04:21:14</t>
  </si>
  <si>
    <t>0:04:21:15</t>
  </si>
  <si>
    <t>0:04:21:16</t>
  </si>
  <si>
    <t>0:04:21:17</t>
  </si>
  <si>
    <t>0:04:21:18</t>
  </si>
  <si>
    <t>0:04:21:19</t>
  </si>
  <si>
    <t>0:04:21:20</t>
  </si>
  <si>
    <t>0:04:21:21</t>
  </si>
  <si>
    <t>0:04:21:22</t>
  </si>
  <si>
    <t>0:04:21:23</t>
  </si>
  <si>
    <t>0:04:21:24</t>
  </si>
  <si>
    <t>0:04:22:00</t>
  </si>
  <si>
    <t>0:04:22:01</t>
  </si>
  <si>
    <t>0:04:22:02</t>
  </si>
  <si>
    <t>0:04:22:03</t>
  </si>
  <si>
    <t>0:04:22:04</t>
  </si>
  <si>
    <t>0:04:22:05</t>
  </si>
  <si>
    <t>0:04:22:06</t>
  </si>
  <si>
    <t>0:04:22:07</t>
  </si>
  <si>
    <t>0:04:22:08</t>
  </si>
  <si>
    <t>0:04:22:09</t>
  </si>
  <si>
    <t>0:04:22:10</t>
  </si>
  <si>
    <t>0:04:22:11</t>
  </si>
  <si>
    <t>0:04:22:12</t>
  </si>
  <si>
    <t>0:04:22:13</t>
  </si>
  <si>
    <t>0:04:22:14</t>
  </si>
  <si>
    <t>0:04:22:15</t>
  </si>
  <si>
    <t>0:04:22:16</t>
  </si>
  <si>
    <t>0:04:22:17</t>
  </si>
  <si>
    <t>0:04:22:18</t>
  </si>
  <si>
    <t>0:04:22:19</t>
  </si>
  <si>
    <t>0:04:22:20</t>
  </si>
  <si>
    <t>0:04:22:21</t>
  </si>
  <si>
    <t>0:04:22:22</t>
  </si>
  <si>
    <t>0:04:22:23</t>
  </si>
  <si>
    <t>0:04:22:24</t>
  </si>
  <si>
    <t>0:04:23:00</t>
  </si>
  <si>
    <t>0:04:23:01</t>
  </si>
  <si>
    <t>0:04:23:02</t>
  </si>
  <si>
    <t>0:04:23:03</t>
  </si>
  <si>
    <t>0:04:23:04</t>
  </si>
  <si>
    <t>0:04:23:05</t>
  </si>
  <si>
    <t>0:04:23:06</t>
  </si>
  <si>
    <t>0:04:23:07</t>
  </si>
  <si>
    <t>0:04:23:08</t>
  </si>
  <si>
    <t>0:04:23:09</t>
  </si>
  <si>
    <t>0:04:23:10</t>
  </si>
  <si>
    <t>0:04:23:11</t>
  </si>
  <si>
    <t>0:04:23:12</t>
  </si>
  <si>
    <t>0:04:23:13</t>
  </si>
  <si>
    <t>0:04:23:14</t>
  </si>
  <si>
    <t>0:04:23:15</t>
  </si>
  <si>
    <t>0:04:23:16</t>
  </si>
  <si>
    <t>0:04:23:17</t>
  </si>
  <si>
    <t>0:04:23:18</t>
  </si>
  <si>
    <t>0:04:23:19</t>
  </si>
  <si>
    <t>0:04:23:20</t>
  </si>
  <si>
    <t>0:04:23:21</t>
  </si>
  <si>
    <t>0:04:23:22</t>
  </si>
  <si>
    <t>0:04:23:23</t>
  </si>
  <si>
    <t>0:04:23:24</t>
  </si>
  <si>
    <t>0:04:24:00</t>
  </si>
  <si>
    <t>0:04:24:01</t>
  </si>
  <si>
    <t>0:04:24:02</t>
  </si>
  <si>
    <t>0:04:24:03</t>
  </si>
  <si>
    <t>0:04:24:04</t>
  </si>
  <si>
    <t>0:04:24:05</t>
  </si>
  <si>
    <t>0:04:24:06</t>
  </si>
  <si>
    <t>0:04:24:07</t>
  </si>
  <si>
    <t>0:04:24:08</t>
  </si>
  <si>
    <t>0:04:24:09</t>
  </si>
  <si>
    <t>0:04:24:10</t>
  </si>
  <si>
    <t>0:04:24:11</t>
  </si>
  <si>
    <t>0:04:24:12</t>
  </si>
  <si>
    <t>0:04:24:13</t>
  </si>
  <si>
    <t>0:04:24:14</t>
  </si>
  <si>
    <t>0:04:24:15</t>
  </si>
  <si>
    <t>0:04:24:16</t>
  </si>
  <si>
    <t>0:04:24:17</t>
  </si>
  <si>
    <t>0:04:24:18</t>
  </si>
  <si>
    <t>0:04:24:19</t>
  </si>
  <si>
    <t>0:04:24:20</t>
  </si>
  <si>
    <t>0:04:24:21</t>
  </si>
  <si>
    <t>0:04:24:22</t>
  </si>
  <si>
    <t>0:04:24:23</t>
  </si>
  <si>
    <t>0:04:24:24</t>
  </si>
  <si>
    <t>0:04:25:00</t>
  </si>
  <si>
    <t>0:04:25:01</t>
  </si>
  <si>
    <t>0:04:25:02</t>
  </si>
  <si>
    <t>0:04:25:03</t>
  </si>
  <si>
    <t>0:04:25:04</t>
  </si>
  <si>
    <t>0:04:25:05</t>
  </si>
  <si>
    <t>0:04:25:06</t>
  </si>
  <si>
    <t>0:04:25:07</t>
  </si>
  <si>
    <t>0:04:25:08</t>
  </si>
  <si>
    <t>0:04:25:09</t>
  </si>
  <si>
    <t>0:04:25:10</t>
  </si>
  <si>
    <t>0:04:25:11</t>
  </si>
  <si>
    <t>0:04:25:12</t>
  </si>
  <si>
    <t>0:04:25:13</t>
  </si>
  <si>
    <t>0:04:25:14</t>
  </si>
  <si>
    <t>0:04:25:15</t>
  </si>
  <si>
    <t>0:04:25:16</t>
  </si>
  <si>
    <t>0:04:25:17</t>
  </si>
  <si>
    <t>0:04:25:18</t>
  </si>
  <si>
    <t>0:04:25:19</t>
  </si>
  <si>
    <t>0:04:25:20</t>
  </si>
  <si>
    <t>0:04:25:21</t>
  </si>
  <si>
    <t>0:04:25:22</t>
  </si>
  <si>
    <t>0:04:25:23</t>
  </si>
  <si>
    <t>0:04:25:24</t>
  </si>
  <si>
    <t>0:04:26:00</t>
  </si>
  <si>
    <t>0:04:26:01</t>
  </si>
  <si>
    <t>0:04:26:02</t>
  </si>
  <si>
    <t>0:04:26:03</t>
  </si>
  <si>
    <t>0:04:26:04</t>
  </si>
  <si>
    <t>0:04:26:05</t>
  </si>
  <si>
    <t>0:04:26:06</t>
  </si>
  <si>
    <t>0:04:26:07</t>
  </si>
  <si>
    <t>0:04:26:08</t>
  </si>
  <si>
    <t>0:04:26:09</t>
  </si>
  <si>
    <t>0:04:26:10</t>
  </si>
  <si>
    <t>0:04:26:11</t>
  </si>
  <si>
    <t>0:04:26:12</t>
  </si>
  <si>
    <t>0:04:26:13</t>
  </si>
  <si>
    <t>0:04:26:14</t>
  </si>
  <si>
    <t>0:04:26:15</t>
  </si>
  <si>
    <t>0:04:26:16</t>
  </si>
  <si>
    <t>0:04:26:17</t>
  </si>
  <si>
    <t>0:04:26:18</t>
  </si>
  <si>
    <t>0:04:26:19</t>
  </si>
  <si>
    <t>0:04:26:20</t>
  </si>
  <si>
    <t>0:04:26:21</t>
  </si>
  <si>
    <t>0:04:26:22</t>
  </si>
  <si>
    <t>0:04:26:23</t>
  </si>
  <si>
    <t>0:04:26:24</t>
  </si>
  <si>
    <t>0:04:27:00</t>
  </si>
  <si>
    <t>0:04:27:01</t>
  </si>
  <si>
    <t>0:04:27:02</t>
  </si>
  <si>
    <t>0:04:27:03</t>
  </si>
  <si>
    <t>0:04:27:04</t>
  </si>
  <si>
    <t>0:04:27:05</t>
  </si>
  <si>
    <t>0:04:27:06</t>
  </si>
  <si>
    <t>0:04:27:07</t>
  </si>
  <si>
    <t>0:04:27:08</t>
  </si>
  <si>
    <t>0:04:27:09</t>
  </si>
  <si>
    <t>0:04:27:10</t>
  </si>
  <si>
    <t>0:04:27:11</t>
  </si>
  <si>
    <t>0:04:27:12</t>
  </si>
  <si>
    <t>0:04:27:13</t>
  </si>
  <si>
    <t>0:04:27:14</t>
  </si>
  <si>
    <t>0:04:27:15</t>
  </si>
  <si>
    <t>0:04:27:16</t>
  </si>
  <si>
    <t>0:04:27:17</t>
  </si>
  <si>
    <t>0:04:27:18</t>
  </si>
  <si>
    <t>0:04:27:19</t>
  </si>
  <si>
    <t>0:04:27:20</t>
  </si>
  <si>
    <t>0:04:27:21</t>
  </si>
  <si>
    <t>0:04:27:22</t>
  </si>
  <si>
    <t>0:04:27:23</t>
  </si>
  <si>
    <t>0:04:27:24</t>
  </si>
  <si>
    <t>0:04:28:00</t>
  </si>
  <si>
    <t>0:04:28:01</t>
  </si>
  <si>
    <t>0:04:28:02</t>
  </si>
  <si>
    <t>0:04:28:03</t>
  </si>
  <si>
    <t>0:04:28:04</t>
  </si>
  <si>
    <t>0:04:28:05</t>
  </si>
  <si>
    <t>0:04:28:06</t>
  </si>
  <si>
    <t>0:04:28:07</t>
  </si>
  <si>
    <t>0:04:28:08</t>
  </si>
  <si>
    <t>0:04:28:09</t>
  </si>
  <si>
    <t>0:04:28:10</t>
  </si>
  <si>
    <t>0:04:28:11</t>
  </si>
  <si>
    <t>0:04:28:12</t>
  </si>
  <si>
    <t>0:04:28:13</t>
  </si>
  <si>
    <t>0:04:28:14</t>
  </si>
  <si>
    <t>0:04:28:15</t>
  </si>
  <si>
    <t>0:04:28:16</t>
  </si>
  <si>
    <t>0:04:28:17</t>
  </si>
  <si>
    <t>0:04:28:18</t>
  </si>
  <si>
    <t>0:04:28:19</t>
  </si>
  <si>
    <t>0:04:28:20</t>
  </si>
  <si>
    <t>0:04:28:21</t>
  </si>
  <si>
    <t>0:04:28:22</t>
  </si>
  <si>
    <t>0:04:28:23</t>
  </si>
  <si>
    <t>0:04:28:24</t>
  </si>
  <si>
    <t>0:04:29:00</t>
  </si>
  <si>
    <t>0:04:29:01</t>
  </si>
  <si>
    <t>0:04:29:02</t>
  </si>
  <si>
    <t>0:04:29:03</t>
  </si>
  <si>
    <t>0:04:29:04</t>
  </si>
  <si>
    <t>0:04:29:05</t>
  </si>
  <si>
    <t>0:04:29:06</t>
  </si>
  <si>
    <t>0:04:29:07</t>
  </si>
  <si>
    <t>0:04:29:08</t>
  </si>
  <si>
    <t>0:04:29:09</t>
  </si>
  <si>
    <t>0:04:29:10</t>
  </si>
  <si>
    <t>0:04:29:11</t>
  </si>
  <si>
    <t>0:04:29:12</t>
  </si>
  <si>
    <t>0:04:29:13</t>
  </si>
  <si>
    <t>0:04:29:14</t>
  </si>
  <si>
    <t>0:04:29:15</t>
  </si>
  <si>
    <t>0:04:29:16</t>
  </si>
  <si>
    <t>0:04:29:17</t>
  </si>
  <si>
    <t>0:04:29:18</t>
  </si>
  <si>
    <t>0:04:29:19</t>
  </si>
  <si>
    <t>0:04:29:20</t>
  </si>
  <si>
    <t>0:04:29:21</t>
  </si>
  <si>
    <t>0:04:29:22</t>
  </si>
  <si>
    <t>0:04:29:23</t>
  </si>
  <si>
    <t>0:04:29:24</t>
  </si>
  <si>
    <t>0:04:30:00</t>
  </si>
  <si>
    <t>0:04:30:01</t>
  </si>
  <si>
    <t>0:04:30:02</t>
  </si>
  <si>
    <t>0:04:30:03</t>
  </si>
  <si>
    <t>0:04:30:04</t>
  </si>
  <si>
    <t>0:04:30:05</t>
  </si>
  <si>
    <t>0:04:30:06</t>
  </si>
  <si>
    <t>0:04:30:07</t>
  </si>
  <si>
    <t>0:04:30:08</t>
  </si>
  <si>
    <t>0:04:30:09</t>
  </si>
  <si>
    <t>0:04:30:10</t>
  </si>
  <si>
    <t>0:04:30:11</t>
  </si>
  <si>
    <t>0:04:30:12</t>
  </si>
  <si>
    <t>0:04:30:13</t>
  </si>
  <si>
    <t>0:04:30:14</t>
  </si>
  <si>
    <t>0:04:30:15</t>
  </si>
  <si>
    <t>0:04:30:16</t>
  </si>
  <si>
    <t>0:04:30:17</t>
  </si>
  <si>
    <t>0:04:30:18</t>
  </si>
  <si>
    <t>0:04:30:19</t>
  </si>
  <si>
    <t>0:04:30:20</t>
  </si>
  <si>
    <t>0:04:30:21</t>
  </si>
  <si>
    <t>0:04:30:22</t>
  </si>
  <si>
    <t>0:04:30:23</t>
  </si>
  <si>
    <t>0:04:30:24</t>
  </si>
  <si>
    <t>0:04:31:00</t>
  </si>
  <si>
    <t>0:04:31:01</t>
  </si>
  <si>
    <t>0:04:31:02</t>
  </si>
  <si>
    <t>0:04:31:03</t>
  </si>
  <si>
    <t>0:04:31:04</t>
  </si>
  <si>
    <t>0:04:31:05</t>
  </si>
  <si>
    <t>0:04:31:06</t>
  </si>
  <si>
    <t>0:04:31:07</t>
  </si>
  <si>
    <t>0:04:31:08</t>
  </si>
  <si>
    <t>0:04:31:09</t>
  </si>
  <si>
    <t>0:04:31:10</t>
  </si>
  <si>
    <t>0:04:31:11</t>
  </si>
  <si>
    <t>0:04:31:12</t>
  </si>
  <si>
    <t>0:04:31:13</t>
  </si>
  <si>
    <t>0:04:31:14</t>
  </si>
  <si>
    <t>0:04:31:15</t>
  </si>
  <si>
    <t>0:04:31:16</t>
  </si>
  <si>
    <t>0:04:31:17</t>
  </si>
  <si>
    <t>0:04:31:18</t>
  </si>
  <si>
    <t>0:04:31:19</t>
  </si>
  <si>
    <t>0:04:31:20</t>
  </si>
  <si>
    <t>0:04:31:21</t>
  </si>
  <si>
    <t>0:04:31:22</t>
  </si>
  <si>
    <t>0:04:31:23</t>
  </si>
  <si>
    <t>0:04:31:24</t>
  </si>
  <si>
    <t>0:04:32:00</t>
  </si>
  <si>
    <t>0:04:32:01</t>
  </si>
  <si>
    <t>0:04:32:02</t>
  </si>
  <si>
    <t>0:04:32:03</t>
  </si>
  <si>
    <t>0:04:32:04</t>
  </si>
  <si>
    <t>0:04:32:05</t>
  </si>
  <si>
    <t>0:04:32:06</t>
  </si>
  <si>
    <t>0:04:32:07</t>
  </si>
  <si>
    <t>0:04:32:08</t>
  </si>
  <si>
    <t>0:04:32:09</t>
  </si>
  <si>
    <t>0:04:32:10</t>
  </si>
  <si>
    <t>0:04:32:11</t>
  </si>
  <si>
    <t>0:04:32:12</t>
  </si>
  <si>
    <t>0:04:32:13</t>
  </si>
  <si>
    <t>0:04:32:14</t>
  </si>
  <si>
    <t>0:04:32:15</t>
  </si>
  <si>
    <t>0:04:32:16</t>
  </si>
  <si>
    <t>0:04:32:17</t>
  </si>
  <si>
    <t>0:04:32:18</t>
  </si>
  <si>
    <t>0:04:32:19</t>
  </si>
  <si>
    <t>0:04:32:20</t>
  </si>
  <si>
    <t>0:04:32:21</t>
  </si>
  <si>
    <t>0:04:32:22</t>
  </si>
  <si>
    <t>0:04:32:23</t>
  </si>
  <si>
    <t>0:04:32:24</t>
  </si>
  <si>
    <t>0:04:33:00</t>
  </si>
  <si>
    <t>0:04:33:01</t>
  </si>
  <si>
    <t>0:04:33:02</t>
  </si>
  <si>
    <t>0:04:33:03</t>
  </si>
  <si>
    <t>0:04:33:04</t>
  </si>
  <si>
    <t>0:04:33:05</t>
  </si>
  <si>
    <t>0:04:33:06</t>
  </si>
  <si>
    <t>0:04:33:07</t>
  </si>
  <si>
    <t>0:04:33:08</t>
  </si>
  <si>
    <t>0:04:33:09</t>
  </si>
  <si>
    <t>0:04:33:10</t>
  </si>
  <si>
    <t>0:04:33:11</t>
  </si>
  <si>
    <t>0:04:33:12</t>
  </si>
  <si>
    <t>0:04:33:13</t>
  </si>
  <si>
    <t>0:04:33:14</t>
  </si>
  <si>
    <t>0:04:33:15</t>
  </si>
  <si>
    <t>0:04:33:16</t>
  </si>
  <si>
    <t>0:04:33:17</t>
  </si>
  <si>
    <t>0:04:33:18</t>
  </si>
  <si>
    <t>0:04:33:19</t>
  </si>
  <si>
    <t>0:04:33:20</t>
  </si>
  <si>
    <t>0:04:33:21</t>
  </si>
  <si>
    <t>0:04:33:22</t>
  </si>
  <si>
    <t>0:04:33:23</t>
  </si>
  <si>
    <t>0:04:33:24</t>
  </si>
  <si>
    <t>0:04:34:00</t>
  </si>
  <si>
    <t>0:04:34:01</t>
  </si>
  <si>
    <t>0:04:34:02</t>
  </si>
  <si>
    <t>0:04:34:03</t>
  </si>
  <si>
    <t>0:04:34:04</t>
  </si>
  <si>
    <t>0:04:34:05</t>
  </si>
  <si>
    <t>0:04:34:06</t>
  </si>
  <si>
    <t>0:04:34:07</t>
  </si>
  <si>
    <t>0:04:34:08</t>
  </si>
  <si>
    <t>0:04:34:09</t>
  </si>
  <si>
    <t>0:04:34:10</t>
  </si>
  <si>
    <t>0:04:34:11</t>
  </si>
  <si>
    <t>0:04:34:12</t>
  </si>
  <si>
    <t>0:04:34:13</t>
  </si>
  <si>
    <t>0:04:34:14</t>
  </si>
  <si>
    <t>0:04:34:15</t>
  </si>
  <si>
    <t>0:04:34:16</t>
  </si>
  <si>
    <t>0:04:34:17</t>
  </si>
  <si>
    <t>0:04:34:18</t>
  </si>
  <si>
    <t>0:04:34:19</t>
  </si>
  <si>
    <t>0:04:34:20</t>
  </si>
  <si>
    <t>0:04:34:21</t>
  </si>
  <si>
    <t>0:04:34:22</t>
  </si>
  <si>
    <t>0:04:34:23</t>
  </si>
  <si>
    <t>0:04:34:24</t>
  </si>
  <si>
    <t>0:04:35:00</t>
  </si>
  <si>
    <t>0:04:35:01</t>
  </si>
  <si>
    <t>0:04:35:02</t>
  </si>
  <si>
    <t>0:04:35:03</t>
  </si>
  <si>
    <t>0:04:35:04</t>
  </si>
  <si>
    <t>0:04:35:05</t>
  </si>
  <si>
    <t>0:04:35:06</t>
  </si>
  <si>
    <t>0:04:35:07</t>
  </si>
  <si>
    <t>0:04:35:08</t>
  </si>
  <si>
    <t>0:04:35:09</t>
  </si>
  <si>
    <t>0:04:35:10</t>
  </si>
  <si>
    <t>0:04:35:11</t>
  </si>
  <si>
    <t>0:04:35:12</t>
  </si>
  <si>
    <t>0:04:35:13</t>
  </si>
  <si>
    <t>0:04:35:14</t>
  </si>
  <si>
    <t>0:04:35:15</t>
  </si>
  <si>
    <t>0:04:35:16</t>
  </si>
  <si>
    <t>0:04:35:17</t>
  </si>
  <si>
    <t>0:04:35:18</t>
  </si>
  <si>
    <t>0:04:35:19</t>
  </si>
  <si>
    <t>0:04:35:20</t>
  </si>
  <si>
    <t>0:04:35:21</t>
  </si>
  <si>
    <t>0:04:35:22</t>
  </si>
  <si>
    <t>0:04:35:23</t>
  </si>
  <si>
    <t>0:04:35:24</t>
  </si>
  <si>
    <t>0:04:36:00</t>
  </si>
  <si>
    <t>0:04:36:01</t>
  </si>
  <si>
    <t>0:04:36:02</t>
  </si>
  <si>
    <t>0:04:36:03</t>
  </si>
  <si>
    <t>0:04:36:04</t>
  </si>
  <si>
    <t>0:04:36:05</t>
  </si>
  <si>
    <t>0:04:36:06</t>
  </si>
  <si>
    <t>0:04:36:07</t>
  </si>
  <si>
    <t>0:04:36:08</t>
  </si>
  <si>
    <t>0:04:36:09</t>
  </si>
  <si>
    <t>0:04:36:10</t>
  </si>
  <si>
    <t>0:04:36:11</t>
  </si>
  <si>
    <t>0:04:36:12</t>
  </si>
  <si>
    <t>0:04:36:13</t>
  </si>
  <si>
    <t>0:04:36:14</t>
  </si>
  <si>
    <t>0:04:36:15</t>
  </si>
  <si>
    <t>0:04:36:16</t>
  </si>
  <si>
    <t>0:04:36:17</t>
  </si>
  <si>
    <t>0:04:36:18</t>
  </si>
  <si>
    <t>0:04:36:19</t>
  </si>
  <si>
    <t>0:04:36:20</t>
  </si>
  <si>
    <t>0:04:36:21</t>
  </si>
  <si>
    <t>0:04:36:22</t>
  </si>
  <si>
    <t>0:04:36:23</t>
  </si>
  <si>
    <t>0:04:36:24</t>
  </si>
  <si>
    <t>0:04:37:00</t>
  </si>
  <si>
    <t>0:04:37:01</t>
  </si>
  <si>
    <t>0:04:37:02</t>
  </si>
  <si>
    <t>0:04:37:03</t>
  </si>
  <si>
    <t>0:04:37:04</t>
  </si>
  <si>
    <t>0:04:37:05</t>
  </si>
  <si>
    <t>0:04:37:06</t>
  </si>
  <si>
    <t>0:04:37:07</t>
  </si>
  <si>
    <t>0:04:37:08</t>
  </si>
  <si>
    <t>0:04:37:09</t>
  </si>
  <si>
    <t>0:04:37:10</t>
  </si>
  <si>
    <t>0:04:37:11</t>
  </si>
  <si>
    <t>0:04:37:12</t>
  </si>
  <si>
    <t>0:04:37:13</t>
  </si>
  <si>
    <t>0:04:37:14</t>
  </si>
  <si>
    <t>0:04:37:15</t>
  </si>
  <si>
    <t>0:04:37:16</t>
  </si>
  <si>
    <t>0:04:37:17</t>
  </si>
  <si>
    <t>0:04:37:18</t>
  </si>
  <si>
    <t>0:04:37:19</t>
  </si>
  <si>
    <t>0:04:37:20</t>
  </si>
  <si>
    <t>0:04:37:21</t>
  </si>
  <si>
    <t>0:04:37:22</t>
  </si>
  <si>
    <t>0:04:37:23</t>
  </si>
  <si>
    <t>0:04:37:24</t>
  </si>
  <si>
    <t>0:04:38:00</t>
  </si>
  <si>
    <t>0:04:38:01</t>
  </si>
  <si>
    <t>0:04:38:02</t>
  </si>
  <si>
    <t>0:04:38:03</t>
  </si>
  <si>
    <t>0:04:38:04</t>
  </si>
  <si>
    <t>0:04:38:05</t>
  </si>
  <si>
    <t>0:04:38:06</t>
  </si>
  <si>
    <t>0:04:38:07</t>
  </si>
  <si>
    <t>0:04:38:08</t>
  </si>
  <si>
    <t>0:04:38:09</t>
  </si>
  <si>
    <t>0:04:38:10</t>
  </si>
  <si>
    <t>0:04:38:11</t>
  </si>
  <si>
    <t>0:04:38:12</t>
  </si>
  <si>
    <t>0:04:38:13</t>
  </si>
  <si>
    <t>0:04:38:14</t>
  </si>
  <si>
    <t>0:04:38:15</t>
  </si>
  <si>
    <t>0:04:38:16</t>
  </si>
  <si>
    <t>0:04:38:17</t>
  </si>
  <si>
    <t>0:04:38:18</t>
  </si>
  <si>
    <t>0:04:38:19</t>
  </si>
  <si>
    <t>0:04:38:20</t>
  </si>
  <si>
    <t>0:04:38:21</t>
  </si>
  <si>
    <t>0:04:38:22</t>
  </si>
  <si>
    <t>0:04:38:23</t>
  </si>
  <si>
    <t>0:04:38:24</t>
  </si>
  <si>
    <t>0:04:39:00</t>
  </si>
  <si>
    <t>0:04:39:01</t>
  </si>
  <si>
    <t>0:04:39:02</t>
  </si>
  <si>
    <t>0:04:39:03</t>
  </si>
  <si>
    <t>0:04:39:04</t>
  </si>
  <si>
    <t>0:04:39:05</t>
  </si>
  <si>
    <t>0:04:39:06</t>
  </si>
  <si>
    <t>0:04:39:07</t>
  </si>
  <si>
    <t>0:04:39:08</t>
  </si>
  <si>
    <t>0:04:39:09</t>
  </si>
  <si>
    <t>0:04:39:10</t>
  </si>
  <si>
    <t>0:04:39:11</t>
  </si>
  <si>
    <t>0:04:39:12</t>
  </si>
  <si>
    <t>0:04:39:13</t>
  </si>
  <si>
    <t>0:04:39:14</t>
  </si>
  <si>
    <t>0:04:39:15</t>
  </si>
  <si>
    <t>0:04:39:16</t>
  </si>
  <si>
    <t>0:04:39:17</t>
  </si>
  <si>
    <t>0:04:39:18</t>
  </si>
  <si>
    <t>0:04:39:19</t>
  </si>
  <si>
    <t>0:04:39:20</t>
  </si>
  <si>
    <t>0:04:39:21</t>
  </si>
  <si>
    <t>0:04:39:22</t>
  </si>
  <si>
    <t>0:04:39:23</t>
  </si>
  <si>
    <t>0:04:39:24</t>
  </si>
  <si>
    <t>0:04:40:00</t>
  </si>
  <si>
    <t>0:04:40:01</t>
  </si>
  <si>
    <t>0:04:40:02</t>
  </si>
  <si>
    <t>0:04:40:03</t>
  </si>
  <si>
    <t>0:04:40:04</t>
  </si>
  <si>
    <t>0:04:40:05</t>
  </si>
  <si>
    <t>0:04:40:06</t>
  </si>
  <si>
    <t>0:04:40:07</t>
  </si>
  <si>
    <t>0:04:40:08</t>
  </si>
  <si>
    <t>0:04:40:09</t>
  </si>
  <si>
    <t>0:04:40:10</t>
  </si>
  <si>
    <t>0:04:40:11</t>
  </si>
  <si>
    <t>0:04:40:12</t>
  </si>
  <si>
    <t>0:04:40:13</t>
  </si>
  <si>
    <t>0:04:40:14</t>
  </si>
  <si>
    <t>0:04:40:15</t>
  </si>
  <si>
    <t>0:04:40:16</t>
  </si>
  <si>
    <t>0:04:40:17</t>
  </si>
  <si>
    <t>0:04:40:18</t>
  </si>
  <si>
    <t>0:04:40:19</t>
  </si>
  <si>
    <t>0:04:40:20</t>
  </si>
  <si>
    <t>0:04:40:21</t>
  </si>
  <si>
    <t>0:04:40:22</t>
  </si>
  <si>
    <t>0:04:40:23</t>
  </si>
  <si>
    <t>0:04:40:24</t>
  </si>
  <si>
    <t>0:04:41:00</t>
  </si>
  <si>
    <t>0:04:41:01</t>
  </si>
  <si>
    <t>0:04:41:02</t>
  </si>
  <si>
    <t>0:04:41:03</t>
  </si>
  <si>
    <t>0:04:41:04</t>
  </si>
  <si>
    <t>0:04:41:05</t>
  </si>
  <si>
    <t>0:04:41:06</t>
  </si>
  <si>
    <t>0:04:41:07</t>
  </si>
  <si>
    <t>0:04:41:08</t>
  </si>
  <si>
    <t>0:04:41:09</t>
  </si>
  <si>
    <t>0:04:41:10</t>
  </si>
  <si>
    <t>0:04:41:11</t>
  </si>
  <si>
    <t>0:04:41:12</t>
  </si>
  <si>
    <t>0:04:41:13</t>
  </si>
  <si>
    <t>0:04:41:14</t>
  </si>
  <si>
    <t>0:04:41:15</t>
  </si>
  <si>
    <t>0:04:41:16</t>
  </si>
  <si>
    <t>0:04:41:17</t>
  </si>
  <si>
    <t>0:04:41:18</t>
  </si>
  <si>
    <t>0:04:41:19</t>
  </si>
  <si>
    <t>0:04:41:20</t>
  </si>
  <si>
    <t>0:04:41:21</t>
  </si>
  <si>
    <t>0:04:41:22</t>
  </si>
  <si>
    <t>0:04:41:23</t>
  </si>
  <si>
    <t>0:04:41:24</t>
  </si>
  <si>
    <t>0:04:42:00</t>
  </si>
  <si>
    <t>0:04:42:01</t>
  </si>
  <si>
    <t>0:04:42:02</t>
  </si>
  <si>
    <t>0:04:42:03</t>
  </si>
  <si>
    <t>0:04:42:04</t>
  </si>
  <si>
    <t>0:04:42:05</t>
  </si>
  <si>
    <t>0:04:42:06</t>
  </si>
  <si>
    <t>0:04:42:07</t>
  </si>
  <si>
    <t>0:04:42:08</t>
  </si>
  <si>
    <t>0:04:42:09</t>
  </si>
  <si>
    <t>0:04:42:10</t>
  </si>
  <si>
    <t>0:04:42:11</t>
  </si>
  <si>
    <t>0:04:42:12</t>
  </si>
  <si>
    <t>0:04:42:13</t>
  </si>
  <si>
    <t>0:04:42:14</t>
  </si>
  <si>
    <t>0:04:42:15</t>
  </si>
  <si>
    <t>0:04:42:16</t>
  </si>
  <si>
    <t>0:04:42:17</t>
  </si>
  <si>
    <t>0:04:42:18</t>
  </si>
  <si>
    <t>0:04:42:19</t>
  </si>
  <si>
    <t>0:04:42:20</t>
  </si>
  <si>
    <t>0:04:42:21</t>
  </si>
  <si>
    <t>0:04:42:22</t>
  </si>
  <si>
    <t>0:04:42:23</t>
  </si>
  <si>
    <t>0:04:42:24</t>
  </si>
  <si>
    <t>0:04:43:00</t>
  </si>
  <si>
    <t>0:04:43:01</t>
  </si>
  <si>
    <t>0:04:43:02</t>
  </si>
  <si>
    <t>0:04:43:03</t>
  </si>
  <si>
    <t>0:04:43:04</t>
  </si>
  <si>
    <t>0:04:43:05</t>
  </si>
  <si>
    <t>0:04:43:06</t>
  </si>
  <si>
    <t>0:04:43:07</t>
  </si>
  <si>
    <t>0:04:43:08</t>
  </si>
  <si>
    <t>0:04:43:09</t>
  </si>
  <si>
    <t>0:04:43:10</t>
  </si>
  <si>
    <t>0:04:43:11</t>
  </si>
  <si>
    <t>0:04:43:12</t>
  </si>
  <si>
    <t>0:04:43:13</t>
  </si>
  <si>
    <t>0:04:43:14</t>
  </si>
  <si>
    <t>0:04:43:15</t>
  </si>
  <si>
    <t>0:04:43:16</t>
  </si>
  <si>
    <t>0:04:43:17</t>
  </si>
  <si>
    <t>0:04:43:18</t>
  </si>
  <si>
    <t>0:04:43:19</t>
  </si>
  <si>
    <t>0:04:43:20</t>
  </si>
  <si>
    <t>0:04:43:21</t>
  </si>
  <si>
    <t>0:04:43:22</t>
  </si>
  <si>
    <t>0:04:43:23</t>
  </si>
  <si>
    <t>0:04:43:24</t>
  </si>
  <si>
    <t>0:04:44:00</t>
  </si>
  <si>
    <t>0:04:44:01</t>
  </si>
  <si>
    <t>0:04:44:02</t>
  </si>
  <si>
    <t>0:04:44:03</t>
  </si>
  <si>
    <t>0:04:44:04</t>
  </si>
  <si>
    <t>0:04:44:05</t>
  </si>
  <si>
    <t>0:04:44:06</t>
  </si>
  <si>
    <t>0:04:44:07</t>
  </si>
  <si>
    <t>0:04:44:08</t>
  </si>
  <si>
    <t>0:04:44:09</t>
  </si>
  <si>
    <t>0:04:44:10</t>
  </si>
  <si>
    <t>0:04:44:11</t>
  </si>
  <si>
    <t>0:04:44:12</t>
  </si>
  <si>
    <t>0:04:44:13</t>
  </si>
  <si>
    <t>0:04:44:14</t>
  </si>
  <si>
    <t>0:04:44:15</t>
  </si>
  <si>
    <t>0:04:44:16</t>
  </si>
  <si>
    <t>0:04:44:17</t>
  </si>
  <si>
    <t>0:04:44:18</t>
  </si>
  <si>
    <t>0:04:44:19</t>
  </si>
  <si>
    <t>0:04:44:20</t>
  </si>
  <si>
    <t>0:04:44:21</t>
  </si>
  <si>
    <t>0:04:44:22</t>
  </si>
  <si>
    <t>0:04:44:23</t>
  </si>
  <si>
    <t>0:04:44:24</t>
  </si>
  <si>
    <t>0:04:45:00</t>
  </si>
  <si>
    <t>0:04:45:01</t>
  </si>
  <si>
    <t>0:04:45:02</t>
  </si>
  <si>
    <t>0:04:45:03</t>
  </si>
  <si>
    <t>0:04:45:04</t>
  </si>
  <si>
    <t>0:04:45:05</t>
  </si>
  <si>
    <t>0:04:45:06</t>
  </si>
  <si>
    <t>0:04:45:07</t>
  </si>
  <si>
    <t>0:04:45:08</t>
  </si>
  <si>
    <t>0:04:45:09</t>
  </si>
  <si>
    <t>0:04:45:10</t>
  </si>
  <si>
    <t>0:04:45:11</t>
  </si>
  <si>
    <t>0:04:45:12</t>
  </si>
  <si>
    <t>0:04:45:13</t>
  </si>
  <si>
    <t>0:04:45:14</t>
  </si>
  <si>
    <t>0:04:45:15</t>
  </si>
  <si>
    <t>0:04:45:16</t>
  </si>
  <si>
    <t>0:04:45:17</t>
  </si>
  <si>
    <t>0:04:45:18</t>
  </si>
  <si>
    <t>0:04:45:19</t>
  </si>
  <si>
    <t>0:04:45:20</t>
  </si>
  <si>
    <t>0:04:45:21</t>
  </si>
  <si>
    <t>0:04:45:22</t>
  </si>
  <si>
    <t>0:04:45:23</t>
  </si>
  <si>
    <t>0:04:45:24</t>
  </si>
  <si>
    <t>0:04:46:00</t>
  </si>
  <si>
    <t>0:04:46:01</t>
  </si>
  <si>
    <t>0:04:46:02</t>
  </si>
  <si>
    <t>0:04:46:03</t>
  </si>
  <si>
    <t>0:04:46:04</t>
  </si>
  <si>
    <t>0:04:46:05</t>
  </si>
  <si>
    <t>0:04:46:06</t>
  </si>
  <si>
    <t>0:04:46:07</t>
  </si>
  <si>
    <t>0:04:46:08</t>
  </si>
  <si>
    <t>0:04:46:09</t>
  </si>
  <si>
    <t>0:04:46:10</t>
  </si>
  <si>
    <t>0:04:46:11</t>
  </si>
  <si>
    <t>0:04:46:12</t>
  </si>
  <si>
    <t>0:04:46:13</t>
  </si>
  <si>
    <t>0:04:46:14</t>
  </si>
  <si>
    <t>0:04:46:15</t>
  </si>
  <si>
    <t>0:04:46:16</t>
  </si>
  <si>
    <t>0:04:46:17</t>
  </si>
  <si>
    <t>0:04:46:18</t>
  </si>
  <si>
    <t>0:04:46:19</t>
  </si>
  <si>
    <t>0:04:46:20</t>
  </si>
  <si>
    <t>0:04:46:21</t>
  </si>
  <si>
    <t>0:04:46:22</t>
  </si>
  <si>
    <t>0:04:46:23</t>
  </si>
  <si>
    <t>0:04:46:24</t>
  </si>
  <si>
    <t>0:04:47:00</t>
  </si>
  <si>
    <t>0:04:47:01</t>
  </si>
  <si>
    <t>0:04:47:02</t>
  </si>
  <si>
    <t>0:04:47:03</t>
  </si>
  <si>
    <t>0:04:47:04</t>
  </si>
  <si>
    <t>0:04:47:05</t>
  </si>
  <si>
    <t>0:04:47:06</t>
  </si>
  <si>
    <t>0:04:47:07</t>
  </si>
  <si>
    <t>0:04:47:08</t>
  </si>
  <si>
    <t>0:04:47:09</t>
  </si>
  <si>
    <t>0:04:47:10</t>
  </si>
  <si>
    <t>0:04:47:11</t>
  </si>
  <si>
    <t>0:04:47:12</t>
  </si>
  <si>
    <t>0:04:47:13</t>
  </si>
  <si>
    <t>0:04:47:14</t>
  </si>
  <si>
    <t>0:04:47:15</t>
  </si>
  <si>
    <t>0:04:47:16</t>
  </si>
  <si>
    <t>0:04:47:17</t>
  </si>
  <si>
    <t>0:04:47:18</t>
  </si>
  <si>
    <t>0:04:47:19</t>
  </si>
  <si>
    <t>0:04:47:20</t>
  </si>
  <si>
    <t>0:04:47:21</t>
  </si>
  <si>
    <t>0:04:47:22</t>
  </si>
  <si>
    <t>0:04:47:23</t>
  </si>
  <si>
    <t>0:04:47:24</t>
  </si>
  <si>
    <t>0:04:48:00</t>
  </si>
  <si>
    <t>0:04:48:01</t>
  </si>
  <si>
    <t>0:04:48:02</t>
  </si>
  <si>
    <t>0:04:48:03</t>
  </si>
  <si>
    <t>0:04:48:04</t>
  </si>
  <si>
    <t>0:04:48:05</t>
  </si>
  <si>
    <t>0:04:48:06</t>
  </si>
  <si>
    <t>0:04:48:07</t>
  </si>
  <si>
    <t>0:04:48:08</t>
  </si>
  <si>
    <t>0:04:48:09</t>
  </si>
  <si>
    <t>0:04:48:10</t>
  </si>
  <si>
    <t>0:04:48:11</t>
  </si>
  <si>
    <t>0:04:48:12</t>
  </si>
  <si>
    <t>0:04:48:13</t>
  </si>
  <si>
    <t>0:04:48:14</t>
  </si>
  <si>
    <t>0:04:48:15</t>
  </si>
  <si>
    <t>0:04:48:16</t>
  </si>
  <si>
    <t>0:04:48:17</t>
  </si>
  <si>
    <t>0:04:48:18</t>
  </si>
  <si>
    <t>0:04:48:19</t>
  </si>
  <si>
    <t>0:04:48:20</t>
  </si>
  <si>
    <t>0:04:48:21</t>
  </si>
  <si>
    <t>0:04:48:22</t>
  </si>
  <si>
    <t>0:04:48:23</t>
  </si>
  <si>
    <t>0:04:48:24</t>
  </si>
  <si>
    <t>0:04:49:00</t>
  </si>
  <si>
    <t>0:04:49:01</t>
  </si>
  <si>
    <t>0:04:49:02</t>
  </si>
  <si>
    <t>0:04:49:03</t>
  </si>
  <si>
    <t>0:04:49:04</t>
  </si>
  <si>
    <t>0:04:49:05</t>
  </si>
  <si>
    <t>0:04:49:06</t>
  </si>
  <si>
    <t>0:04:49:07</t>
  </si>
  <si>
    <t>0:04:49:08</t>
  </si>
  <si>
    <t>0:04:49:09</t>
  </si>
  <si>
    <t>0:04:49:10</t>
  </si>
  <si>
    <t>0:04:49:11</t>
  </si>
  <si>
    <t>0:04:49:12</t>
  </si>
  <si>
    <t>0:04:49:13</t>
  </si>
  <si>
    <t>0:04:49:14</t>
  </si>
  <si>
    <t>0:04:49:15</t>
  </si>
  <si>
    <t>0:04:49:16</t>
  </si>
  <si>
    <t>0:04:49:17</t>
  </si>
  <si>
    <t>0:04:49:18</t>
  </si>
  <si>
    <t>0:04:49:19</t>
  </si>
  <si>
    <t>0:04:49:20</t>
  </si>
  <si>
    <t>0:04:49:21</t>
  </si>
  <si>
    <t>0:04:49:22</t>
  </si>
  <si>
    <t>0:04:49:23</t>
  </si>
  <si>
    <t>0:04:49:24</t>
  </si>
  <si>
    <t>0:04:50:00</t>
  </si>
  <si>
    <t>0:04:50:01</t>
  </si>
  <si>
    <t>0:04:50:02</t>
  </si>
  <si>
    <t>0:04:50:03</t>
  </si>
  <si>
    <t>0:04:50:04</t>
  </si>
  <si>
    <t>0:04:50:05</t>
  </si>
  <si>
    <t>0:04:50:06</t>
  </si>
  <si>
    <t>0:04:50:07</t>
  </si>
  <si>
    <t>0:04:50:08</t>
  </si>
  <si>
    <t>0:04:50:09</t>
  </si>
  <si>
    <t>0:04:50:10</t>
  </si>
  <si>
    <t>0:04:50:11</t>
  </si>
  <si>
    <t>0:04:50:12</t>
  </si>
  <si>
    <t>0:04:50:13</t>
  </si>
  <si>
    <t>0:04:50:14</t>
  </si>
  <si>
    <t>0:04:50:15</t>
  </si>
  <si>
    <t>0:04:50:16</t>
  </si>
  <si>
    <t>0:04:50:17</t>
  </si>
  <si>
    <t>0:04:50:18</t>
  </si>
  <si>
    <t>0:04:50:19</t>
  </si>
  <si>
    <t>0:04:50:20</t>
  </si>
  <si>
    <t>0:04:50:21</t>
  </si>
  <si>
    <t>0:04:50:22</t>
  </si>
  <si>
    <t>0:04:50:23</t>
  </si>
  <si>
    <t>0:04:50:24</t>
  </si>
  <si>
    <t>0:04:51:00</t>
  </si>
  <si>
    <t>0:04:51:01</t>
  </si>
  <si>
    <t>0:04:51:02</t>
  </si>
  <si>
    <t>0:04:51:03</t>
  </si>
  <si>
    <t>0:04:51:04</t>
  </si>
  <si>
    <t>0:04:51:05</t>
  </si>
  <si>
    <t>0:04:51:06</t>
  </si>
  <si>
    <t>0:04:51:07</t>
  </si>
  <si>
    <t>0:04:51:08</t>
  </si>
  <si>
    <t>0:04:51:09</t>
  </si>
  <si>
    <t>0:04:51:10</t>
  </si>
  <si>
    <t>0:04:51:11</t>
  </si>
  <si>
    <t>0:04:51:12</t>
  </si>
  <si>
    <t>0:04:51:13</t>
  </si>
  <si>
    <t>0:04:51:14</t>
  </si>
  <si>
    <t>0:04:51:15</t>
  </si>
  <si>
    <t>0:04:51:16</t>
  </si>
  <si>
    <t>0:04:51:17</t>
  </si>
  <si>
    <t>0:04:51:18</t>
  </si>
  <si>
    <t>0:04:51:19</t>
  </si>
  <si>
    <t>0:04:51:20</t>
  </si>
  <si>
    <t>0:04:51:21</t>
  </si>
  <si>
    <t>0:04:51:22</t>
  </si>
  <si>
    <t>0:04:51:23</t>
  </si>
  <si>
    <t>0:04:51:24</t>
  </si>
  <si>
    <t>0:04:52:00</t>
  </si>
  <si>
    <t>0:04:52:01</t>
  </si>
  <si>
    <t>0:04:52:02</t>
  </si>
  <si>
    <t>0:04:52:03</t>
  </si>
  <si>
    <t>0:04:52:04</t>
  </si>
  <si>
    <t>0:04:52:05</t>
  </si>
  <si>
    <t>0:04:52:06</t>
  </si>
  <si>
    <t>0:04:52:07</t>
  </si>
  <si>
    <t>0:04:52:08</t>
  </si>
  <si>
    <t>0:04:52:09</t>
  </si>
  <si>
    <t>0:04:52:10</t>
  </si>
  <si>
    <t>0:04:52:11</t>
  </si>
  <si>
    <t>0:04:52:12</t>
  </si>
  <si>
    <t>0:04:52:13</t>
  </si>
  <si>
    <t>0:04:52:14</t>
  </si>
  <si>
    <t>0:04:52:15</t>
  </si>
  <si>
    <t>0:04:52:16</t>
  </si>
  <si>
    <t>0:04:52:17</t>
  </si>
  <si>
    <t>0:04:52:18</t>
  </si>
  <si>
    <t>0:04:52:19</t>
  </si>
  <si>
    <t>0:04:52:20</t>
  </si>
  <si>
    <t>0:04:52:21</t>
  </si>
  <si>
    <t>0:04:52:22</t>
  </si>
  <si>
    <t>0:04:52:23</t>
  </si>
  <si>
    <t>0:04:52:24</t>
  </si>
  <si>
    <t>0:04:53:00</t>
  </si>
  <si>
    <t>0:04:53:01</t>
  </si>
  <si>
    <t>0:04:53:02</t>
  </si>
  <si>
    <t>0:04:53:03</t>
  </si>
  <si>
    <t>0:04:53:04</t>
  </si>
  <si>
    <t>0:04:53:05</t>
  </si>
  <si>
    <t>0:04:53:06</t>
  </si>
  <si>
    <t>0:04:53:07</t>
  </si>
  <si>
    <t>0:04:53:08</t>
  </si>
  <si>
    <t>0:04:53:09</t>
  </si>
  <si>
    <t>0:04:53:10</t>
  </si>
  <si>
    <t>0:04:53:11</t>
  </si>
  <si>
    <t>0:04:53:12</t>
  </si>
  <si>
    <t>0:04:53:13</t>
  </si>
  <si>
    <t>0:04:53:14</t>
  </si>
  <si>
    <t>0:04:53:15</t>
  </si>
  <si>
    <t>0:04:53:16</t>
  </si>
  <si>
    <t>0:04:53:17</t>
  </si>
  <si>
    <t>0:04:53:18</t>
  </si>
  <si>
    <t>0:04:53:19</t>
  </si>
  <si>
    <t>0:04:53:20</t>
  </si>
  <si>
    <t>0:04:53:21</t>
  </si>
  <si>
    <t>0:04:53:22</t>
  </si>
  <si>
    <t>0:04:53:23</t>
  </si>
  <si>
    <t>0:04:53:24</t>
  </si>
  <si>
    <t>0:04:54:00</t>
  </si>
  <si>
    <t>0:04:54:01</t>
  </si>
  <si>
    <t>0:04:54:02</t>
  </si>
  <si>
    <t>0:04:54:03</t>
  </si>
  <si>
    <t>0:04:54:04</t>
  </si>
  <si>
    <t>0:04:54:05</t>
  </si>
  <si>
    <t>0:04:54:06</t>
  </si>
  <si>
    <t>0:04:54:07</t>
  </si>
  <si>
    <t>0:04:54:08</t>
  </si>
  <si>
    <t>0:04:54:09</t>
  </si>
  <si>
    <t>0:04:54:10</t>
  </si>
  <si>
    <t>0:04:54:11</t>
  </si>
  <si>
    <t>0:04:54:12</t>
  </si>
  <si>
    <t>0:04:54:13</t>
  </si>
  <si>
    <t>0:04:54:14</t>
  </si>
  <si>
    <t>0:04:54:15</t>
  </si>
  <si>
    <t>0:04:54:16</t>
  </si>
  <si>
    <t>0:04:54:17</t>
  </si>
  <si>
    <t>0:04:54:18</t>
  </si>
  <si>
    <t>0:04:54:19</t>
  </si>
  <si>
    <t>0:04:54:20</t>
  </si>
  <si>
    <t>0:04:54:21</t>
  </si>
  <si>
    <t>0:04:54:22</t>
  </si>
  <si>
    <t>0:04:54:23</t>
  </si>
  <si>
    <t>0:04:54:24</t>
  </si>
  <si>
    <t>0:04:55:00</t>
  </si>
  <si>
    <t>0:04:55:01</t>
  </si>
  <si>
    <t>0:04:55:02</t>
  </si>
  <si>
    <t>0:04:55:03</t>
  </si>
  <si>
    <t>0:04:55:04</t>
  </si>
  <si>
    <t>0:04:55:05</t>
  </si>
  <si>
    <t>0:04:55:06</t>
  </si>
  <si>
    <t>0:04:55:07</t>
  </si>
  <si>
    <t>0:04:55:08</t>
  </si>
  <si>
    <t>0:04:55:09</t>
  </si>
  <si>
    <t>0:04:55:10</t>
  </si>
  <si>
    <t>0:04:55:11</t>
  </si>
  <si>
    <t>0:04:55:12</t>
  </si>
  <si>
    <t>0:04:55:13</t>
  </si>
  <si>
    <t>0:04:55:14</t>
  </si>
  <si>
    <t>0:04:55:15</t>
  </si>
  <si>
    <t>0:04:55:16</t>
  </si>
  <si>
    <t>0:04:55:17</t>
  </si>
  <si>
    <t>0:04:55:18</t>
  </si>
  <si>
    <t>0:04:55:19</t>
  </si>
  <si>
    <t>0:04:55:20</t>
  </si>
  <si>
    <t>0:04:55:21</t>
  </si>
  <si>
    <t>0:04:55:22</t>
  </si>
  <si>
    <t>0:04:55:23</t>
  </si>
  <si>
    <t>0:04:55:24</t>
  </si>
  <si>
    <t>0:04:56:00</t>
  </si>
  <si>
    <t>0:04:56:01</t>
  </si>
  <si>
    <t>0:04:56:02</t>
  </si>
  <si>
    <t>0:04:56:03</t>
  </si>
  <si>
    <t>0:04:56:04</t>
  </si>
  <si>
    <t>0:04:56:05</t>
  </si>
  <si>
    <t>0:04:56:06</t>
  </si>
  <si>
    <t>0:04:56:07</t>
  </si>
  <si>
    <t>0:04:56:08</t>
  </si>
  <si>
    <t>0:04:56:09</t>
  </si>
  <si>
    <t>0:04:56:10</t>
  </si>
  <si>
    <t>0:04:56:11</t>
  </si>
  <si>
    <t>0:04:56:12</t>
  </si>
  <si>
    <t>0:04:56:13</t>
  </si>
  <si>
    <t>0:04:56:14</t>
  </si>
  <si>
    <t>0:04:56:15</t>
  </si>
  <si>
    <t>0:04:56:16</t>
  </si>
  <si>
    <t>0:04:56:17</t>
  </si>
  <si>
    <t>0:04:56:18</t>
  </si>
  <si>
    <t>0:04:56:19</t>
  </si>
  <si>
    <t>0:04:56:20</t>
  </si>
  <si>
    <t>0:04:56:21</t>
  </si>
  <si>
    <t>0:04:56:22</t>
  </si>
  <si>
    <t>0:04:56:23</t>
  </si>
  <si>
    <t>0:04:56:24</t>
  </si>
  <si>
    <t>0:04:57:00</t>
  </si>
  <si>
    <t>0:04:57:01</t>
  </si>
  <si>
    <t>0:04:57:02</t>
  </si>
  <si>
    <t>0:04:57:03</t>
  </si>
  <si>
    <t>0:04:57:04</t>
  </si>
  <si>
    <t>0:04:57:05</t>
  </si>
  <si>
    <t>0:04:57:06</t>
  </si>
  <si>
    <t>0:04:57:07</t>
  </si>
  <si>
    <t>0:04:57:08</t>
  </si>
  <si>
    <t>0:04:57:09</t>
  </si>
  <si>
    <t>0:04:57:10</t>
  </si>
  <si>
    <t>0:04:57:11</t>
  </si>
  <si>
    <t>0:04:57:12</t>
  </si>
  <si>
    <t>0:04:57:13</t>
  </si>
  <si>
    <t>0:04:57:14</t>
  </si>
  <si>
    <t>0:04:57:15</t>
  </si>
  <si>
    <t>0:04:57:16</t>
  </si>
  <si>
    <t>0:04:57:17</t>
  </si>
  <si>
    <t>0:04:57:18</t>
  </si>
  <si>
    <t>0:04:57:19</t>
  </si>
  <si>
    <t>0:04:57:20</t>
  </si>
  <si>
    <t>0:04:57:21</t>
  </si>
  <si>
    <t>0:04:57:22</t>
  </si>
  <si>
    <t>0:04:57:23</t>
  </si>
  <si>
    <t>0:04:57:24</t>
  </si>
  <si>
    <t>0:04:58:00</t>
  </si>
  <si>
    <t>0:04:58:01</t>
  </si>
  <si>
    <t>0:04:58:02</t>
  </si>
  <si>
    <t>0:04:58:03</t>
  </si>
  <si>
    <t>0:04:58:04</t>
  </si>
  <si>
    <t>0:04:58:05</t>
  </si>
  <si>
    <t>0:04:58:06</t>
  </si>
  <si>
    <t>0:04:58:07</t>
  </si>
  <si>
    <t>0:04:58:08</t>
  </si>
  <si>
    <t>0:04:58:09</t>
  </si>
  <si>
    <t>0:04:58:10</t>
  </si>
  <si>
    <t>0:04:58:11</t>
  </si>
  <si>
    <t>0:04:58:12</t>
  </si>
  <si>
    <t>0:04:58:13</t>
  </si>
  <si>
    <t>0:04:58:14</t>
  </si>
  <si>
    <t>0:04:58:15</t>
  </si>
  <si>
    <t>0:04:58:16</t>
  </si>
  <si>
    <t>0:04:58:17</t>
  </si>
  <si>
    <t>0:04:58:18</t>
  </si>
  <si>
    <t>0:04:58:19</t>
  </si>
  <si>
    <t>0:04:58:20</t>
  </si>
  <si>
    <t>0:04:58:21</t>
  </si>
  <si>
    <t>0:04:58:22</t>
  </si>
  <si>
    <t>0:04:58:23</t>
  </si>
  <si>
    <t>0:04:58:24</t>
  </si>
  <si>
    <t>0:04:59:00</t>
  </si>
  <si>
    <t>0:04:59:01</t>
  </si>
  <si>
    <t>0:04:59:02</t>
  </si>
  <si>
    <t>0:04:59:03</t>
  </si>
  <si>
    <t>0:04:59:04</t>
  </si>
  <si>
    <t>0:04:59:05</t>
  </si>
  <si>
    <t>0:04:59:06</t>
  </si>
  <si>
    <t>0:04:59:07</t>
  </si>
  <si>
    <t>0:04:59:08</t>
  </si>
  <si>
    <t>0:04:59:09</t>
  </si>
  <si>
    <t>0:04:59:10</t>
  </si>
  <si>
    <t>0:04:59:11</t>
  </si>
  <si>
    <t>0:04:59:12</t>
  </si>
  <si>
    <t>0:04:59:13</t>
  </si>
  <si>
    <t>0:04:59:14</t>
  </si>
  <si>
    <t>0:04:59:15</t>
  </si>
  <si>
    <t>0:04:59:16</t>
  </si>
  <si>
    <t>0:04:59:17</t>
  </si>
  <si>
    <t>0:04:59:18</t>
  </si>
  <si>
    <t>0:04:59:19</t>
  </si>
  <si>
    <t>0:04:59:20</t>
  </si>
  <si>
    <t>0:04:59:21</t>
  </si>
  <si>
    <t>0:04:59:22</t>
  </si>
  <si>
    <t>0:04:59:23</t>
  </si>
  <si>
    <t>0:04:59:24</t>
  </si>
  <si>
    <t>0:05:00:00</t>
  </si>
  <si>
    <t>0:05:00:01</t>
  </si>
  <si>
    <t>0:05:00:02</t>
  </si>
  <si>
    <t>0:05:00:03</t>
  </si>
  <si>
    <t>0:05:00:04</t>
  </si>
  <si>
    <t>0:05:00:05</t>
  </si>
  <si>
    <t>0:05:00:06</t>
  </si>
  <si>
    <t>0:05:00:07</t>
  </si>
  <si>
    <t>0:05:00:08</t>
  </si>
  <si>
    <t>0:05:00:09</t>
  </si>
  <si>
    <t>0:05:00:10</t>
  </si>
  <si>
    <t>0:05:00:11</t>
  </si>
  <si>
    <t>0:05:00:12</t>
  </si>
  <si>
    <t>0:05:00:13</t>
  </si>
  <si>
    <t>0:05:00:14</t>
  </si>
  <si>
    <t>0:05:00:15</t>
  </si>
  <si>
    <t>0:05:00:16</t>
  </si>
  <si>
    <t>0:05:00:17</t>
  </si>
  <si>
    <t>0:05:00:18</t>
  </si>
  <si>
    <t>0:05:00:19</t>
  </si>
  <si>
    <t>0:05:00:20</t>
  </si>
  <si>
    <t>0:05:00:21</t>
  </si>
  <si>
    <t>0:05:00:22</t>
  </si>
  <si>
    <t>0:05:00:23</t>
  </si>
  <si>
    <t>0:05:00:24</t>
  </si>
  <si>
    <t>0:05:01:00</t>
  </si>
  <si>
    <t>0:05:01:01</t>
  </si>
  <si>
    <t>0:05:01:02</t>
  </si>
  <si>
    <t>0:05:01:03</t>
  </si>
  <si>
    <t>0:05:01:04</t>
  </si>
  <si>
    <t>0:05:01:05</t>
  </si>
  <si>
    <t>0:05:01:06</t>
  </si>
  <si>
    <t>0:05:01:07</t>
  </si>
  <si>
    <t>0:05:01:08</t>
  </si>
  <si>
    <t>0:05:01:09</t>
  </si>
  <si>
    <t>0:05:01:10</t>
  </si>
  <si>
    <t>0:05:01:11</t>
  </si>
  <si>
    <t>0:05:01:12</t>
  </si>
  <si>
    <t>0:05:01:13</t>
  </si>
  <si>
    <t>0:05:01:14</t>
  </si>
  <si>
    <t>0:05:01:15</t>
  </si>
  <si>
    <t>0:05:01:16</t>
  </si>
  <si>
    <t>0:05:01:17</t>
  </si>
  <si>
    <t>0:05:01:18</t>
  </si>
  <si>
    <t>0:05:01:19</t>
  </si>
  <si>
    <t>0:05:01:20</t>
  </si>
  <si>
    <t>0:05:01:21</t>
  </si>
  <si>
    <t>0:05:01:22</t>
  </si>
  <si>
    <t>0:05:01:23</t>
  </si>
  <si>
    <t>0:05:01:24</t>
  </si>
  <si>
    <t>0:05:02:00</t>
  </si>
  <si>
    <t>0:05:02:01</t>
  </si>
  <si>
    <t>0:05:02:02</t>
  </si>
  <si>
    <t>0:05:02:03</t>
  </si>
  <si>
    <t>0:05:02:04</t>
  </si>
  <si>
    <t>0:05:02:05</t>
  </si>
  <si>
    <t>0:05:02:06</t>
  </si>
  <si>
    <t>0:05:02:07</t>
  </si>
  <si>
    <t>0:05:02:08</t>
  </si>
  <si>
    <t>0:05:02:09</t>
  </si>
  <si>
    <t>0:05:02:10</t>
  </si>
  <si>
    <t>0:05:02:11</t>
  </si>
  <si>
    <t>0:05:02:12</t>
  </si>
  <si>
    <t>0:05:02:13</t>
  </si>
  <si>
    <t>0:05:02:14</t>
  </si>
  <si>
    <t>0:05:02:15</t>
  </si>
  <si>
    <t>0:05:02:16</t>
  </si>
  <si>
    <t>0:05:02:17</t>
  </si>
  <si>
    <t>0:05:02:18</t>
  </si>
  <si>
    <t>0:05:02:19</t>
  </si>
  <si>
    <t>0:05:02:20</t>
  </si>
  <si>
    <t>0:05:02:21</t>
  </si>
  <si>
    <t>0:05:02:22</t>
  </si>
  <si>
    <t>0:05:02:23</t>
  </si>
  <si>
    <t>0:05:02:24</t>
  </si>
  <si>
    <t>0:05:03:00</t>
  </si>
  <si>
    <t>0:05:03:01</t>
  </si>
  <si>
    <t>0:05:03:02</t>
  </si>
  <si>
    <t>0:05:03:03</t>
  </si>
  <si>
    <t>0:05:03:04</t>
  </si>
  <si>
    <t>0:05:03:05</t>
  </si>
  <si>
    <t>0:05:03:06</t>
  </si>
  <si>
    <t>0:05:03:07</t>
  </si>
  <si>
    <t>0:05:03:08</t>
  </si>
  <si>
    <t>0:05:03:09</t>
  </si>
  <si>
    <t>0:05:03:10</t>
  </si>
  <si>
    <t>0:05:03:11</t>
  </si>
  <si>
    <t>0:05:03:12</t>
  </si>
  <si>
    <t>0:05:03:13</t>
  </si>
  <si>
    <t>0:05:03:14</t>
  </si>
  <si>
    <t>0:05:03:15</t>
  </si>
  <si>
    <t>0:05:03:16</t>
  </si>
  <si>
    <t>0:05:03:17</t>
  </si>
  <si>
    <t>0:05:03:18</t>
  </si>
  <si>
    <t>0:05:03:19</t>
  </si>
  <si>
    <t>0:05:03:20</t>
  </si>
  <si>
    <t>0:05:03:21</t>
  </si>
  <si>
    <t>0:05:03:22</t>
  </si>
  <si>
    <t>0:05:03:23</t>
  </si>
  <si>
    <t>0:05:03:24</t>
  </si>
  <si>
    <t>0:05:04:00</t>
  </si>
  <si>
    <t>0:05:04:01</t>
  </si>
  <si>
    <t>0:05:04:02</t>
  </si>
  <si>
    <t>0:05:04:03</t>
  </si>
  <si>
    <t>0:05:04:04</t>
  </si>
  <si>
    <t>0:05:04:05</t>
  </si>
  <si>
    <t>0:05:04:06</t>
  </si>
  <si>
    <t>0:05:04:07</t>
  </si>
  <si>
    <t>0:05:04:08</t>
  </si>
  <si>
    <t>0:05:04:09</t>
  </si>
  <si>
    <t>0:05:04:10</t>
  </si>
  <si>
    <t>0:05:04:11</t>
  </si>
  <si>
    <t>0:05:04:12</t>
  </si>
  <si>
    <t>0:05:04:13</t>
  </si>
  <si>
    <t>0:05:04:14</t>
  </si>
  <si>
    <t>0:05:04:15</t>
  </si>
  <si>
    <t>0:05:04:16</t>
  </si>
  <si>
    <t>0:05:04:17</t>
  </si>
  <si>
    <t>0:05:04:18</t>
  </si>
  <si>
    <t>0:05:04:19</t>
  </si>
  <si>
    <t>0:05:04:20</t>
  </si>
  <si>
    <t>0:05:04:21</t>
  </si>
  <si>
    <t>0:05:04:22</t>
  </si>
  <si>
    <t>0:05:04:23</t>
  </si>
  <si>
    <t>0:05:04:24</t>
  </si>
  <si>
    <t>0:05:05:00</t>
  </si>
  <si>
    <t>0:05:05:01</t>
  </si>
  <si>
    <t>0:05:05:02</t>
  </si>
  <si>
    <t>0:05:05:03</t>
  </si>
  <si>
    <t>0:05:05:04</t>
  </si>
  <si>
    <t>0:05:05:05</t>
  </si>
  <si>
    <t>0:05:05:06</t>
  </si>
  <si>
    <t>0:05:05:07</t>
  </si>
  <si>
    <t>0:05:05:08</t>
  </si>
  <si>
    <t>0:05:05:09</t>
  </si>
  <si>
    <t>0:05:05:10</t>
  </si>
  <si>
    <t>0:05:05:11</t>
  </si>
  <si>
    <t>0:05:05:12</t>
  </si>
  <si>
    <t>0:05:05:13</t>
  </si>
  <si>
    <t>0:05:05:14</t>
  </si>
  <si>
    <t>0:05:05:15</t>
  </si>
  <si>
    <t>0:05:05:16</t>
  </si>
  <si>
    <t>0:05:05:17</t>
  </si>
  <si>
    <t>0:05:05:18</t>
  </si>
  <si>
    <t>0:05:05:19</t>
  </si>
  <si>
    <t>0:05:05:20</t>
  </si>
  <si>
    <t>0:05:05:21</t>
  </si>
  <si>
    <t>0:05:05:22</t>
  </si>
  <si>
    <t>0:05:05:23</t>
  </si>
  <si>
    <t>0:05:05:24</t>
  </si>
  <si>
    <t>0:05:06:00</t>
  </si>
  <si>
    <t>0:05:06:01</t>
  </si>
  <si>
    <t>0:05:06:02</t>
  </si>
  <si>
    <t>0:05:06:03</t>
  </si>
  <si>
    <t>0:05:06:04</t>
  </si>
  <si>
    <t>0:05:06:05</t>
  </si>
  <si>
    <t>0:05:06:06</t>
  </si>
  <si>
    <t>0:05:06:07</t>
  </si>
  <si>
    <t>0:05:06:08</t>
  </si>
  <si>
    <t>0:05:06:09</t>
  </si>
  <si>
    <t>0:05:06:10</t>
  </si>
  <si>
    <t>0:05:06:11</t>
  </si>
  <si>
    <t>0:05:06:12</t>
  </si>
  <si>
    <t>0:05:06:13</t>
  </si>
  <si>
    <t>0:05:06:14</t>
  </si>
  <si>
    <t>0:05:06:15</t>
  </si>
  <si>
    <t>0:05:06:16</t>
  </si>
  <si>
    <t>0:05:06:17</t>
  </si>
  <si>
    <t>0:05:06:18</t>
  </si>
  <si>
    <t>0:05:06:19</t>
  </si>
  <si>
    <t>0:05:06:20</t>
  </si>
  <si>
    <t>0:05:06:21</t>
  </si>
  <si>
    <t>0:05:06:22</t>
  </si>
  <si>
    <t>0:05:06:23</t>
  </si>
  <si>
    <t>0:05:06:24</t>
  </si>
  <si>
    <t>0:05:07:00</t>
  </si>
  <si>
    <t>0:05:07:01</t>
  </si>
  <si>
    <t>0:05:07:02</t>
  </si>
  <si>
    <t>0:05:07:03</t>
  </si>
  <si>
    <t>0:05:07:04</t>
  </si>
  <si>
    <t>0:05:07:05</t>
  </si>
  <si>
    <t>0:05:07:06</t>
  </si>
  <si>
    <t>0:05:07:07</t>
  </si>
  <si>
    <t>0:05:07:08</t>
  </si>
  <si>
    <t>0:05:07:09</t>
  </si>
  <si>
    <t>0:05:07:10</t>
  </si>
  <si>
    <t>0:05:07:11</t>
  </si>
  <si>
    <t>0:05:07:12</t>
  </si>
  <si>
    <t>0:05:07:13</t>
  </si>
  <si>
    <t>0:05:07:14</t>
  </si>
  <si>
    <t>0:05:07:15</t>
  </si>
  <si>
    <t>0:05:07:16</t>
  </si>
  <si>
    <t>0:05:07:17</t>
  </si>
  <si>
    <t>0:05:07:18</t>
  </si>
  <si>
    <t>0:05:07:19</t>
  </si>
  <si>
    <t>0:05:07:20</t>
  </si>
  <si>
    <t>0:05:07:21</t>
  </si>
  <si>
    <t>0:05:07:22</t>
  </si>
  <si>
    <t>0:05:07:23</t>
  </si>
  <si>
    <t>0:05:07:24</t>
  </si>
  <si>
    <t>0:05:08:00</t>
  </si>
  <si>
    <t>0:05:08:01</t>
  </si>
  <si>
    <t>0:05:08:02</t>
  </si>
  <si>
    <t>0:05:08:03</t>
  </si>
  <si>
    <t>0:05:08:04</t>
  </si>
  <si>
    <t>0:05:08:05</t>
  </si>
  <si>
    <t>0:05:08:06</t>
  </si>
  <si>
    <t>0:05:08:07</t>
  </si>
  <si>
    <t>0:05:08:08</t>
  </si>
  <si>
    <t>0:05:08:09</t>
  </si>
  <si>
    <t>0:05:08:10</t>
  </si>
  <si>
    <t>0:05:08:11</t>
  </si>
  <si>
    <t>0:05:08:12</t>
  </si>
  <si>
    <t>0:05:08:13</t>
  </si>
  <si>
    <t>0:05:08:14</t>
  </si>
  <si>
    <t>0:05:08:15</t>
  </si>
  <si>
    <t>0:05:08:16</t>
  </si>
  <si>
    <t>0:05:08:17</t>
  </si>
  <si>
    <t>0:05:08:18</t>
  </si>
  <si>
    <t>0:05:08:19</t>
  </si>
  <si>
    <t>0:05:08:20</t>
  </si>
  <si>
    <t>0:05:08:21</t>
  </si>
  <si>
    <t>0:05:08:22</t>
  </si>
  <si>
    <t>0:05:08:23</t>
  </si>
  <si>
    <t>0:05:08:24</t>
  </si>
  <si>
    <t>0:05:09:00</t>
  </si>
  <si>
    <t>0:05:09:01</t>
  </si>
  <si>
    <t>0:05:09:02</t>
  </si>
  <si>
    <t>0:05:09:03</t>
  </si>
  <si>
    <t>0:05:09:04</t>
  </si>
  <si>
    <t>0:05:09:05</t>
  </si>
  <si>
    <t>0:05:09:06</t>
  </si>
  <si>
    <t>0:05:09:07</t>
  </si>
  <si>
    <t>0:05:09:08</t>
  </si>
  <si>
    <t>0:05:09:09</t>
  </si>
  <si>
    <t>0:05:09:10</t>
  </si>
  <si>
    <t>0:05:09:11</t>
  </si>
  <si>
    <t>0:05:09:12</t>
  </si>
  <si>
    <t>0:05:09:13</t>
  </si>
  <si>
    <t>0:05:09:14</t>
  </si>
  <si>
    <t>0:05:09:15</t>
  </si>
  <si>
    <t>0:05:09:16</t>
  </si>
  <si>
    <t>0:05:09:17</t>
  </si>
  <si>
    <t>0:05:09:18</t>
  </si>
  <si>
    <t>0:05:09:19</t>
  </si>
  <si>
    <t>0:05:09:20</t>
  </si>
  <si>
    <t>0:05:09:21</t>
  </si>
  <si>
    <t>0:05:09:22</t>
  </si>
  <si>
    <t>0:05:09:23</t>
  </si>
  <si>
    <t>0:05:09:24</t>
  </si>
  <si>
    <t>0:05:10:00</t>
  </si>
  <si>
    <t>0:05:10:01</t>
  </si>
  <si>
    <t>0:05:10:02</t>
  </si>
  <si>
    <t>0:05:10:03</t>
  </si>
  <si>
    <t>0:05:10:04</t>
  </si>
  <si>
    <t>0:05:10:05</t>
  </si>
  <si>
    <t>0:05:10:06</t>
  </si>
  <si>
    <t>0:05:10:07</t>
  </si>
  <si>
    <t>0:05:10:08</t>
  </si>
  <si>
    <t>0:05:10:09</t>
  </si>
  <si>
    <t>0:05:10:10</t>
  </si>
  <si>
    <t>0:05:10:11</t>
  </si>
  <si>
    <t>0:05:10:12</t>
  </si>
  <si>
    <t>0:05:10:13</t>
  </si>
  <si>
    <t>0:05:10:14</t>
  </si>
  <si>
    <t>0:05:10:15</t>
  </si>
  <si>
    <t>0:05:10:16</t>
  </si>
  <si>
    <t>0:05:10:17</t>
  </si>
  <si>
    <t>0:05:10:18</t>
  </si>
  <si>
    <t>0:05:10:19</t>
  </si>
  <si>
    <t>0:05:10:20</t>
  </si>
  <si>
    <t>0:05:10:21</t>
  </si>
  <si>
    <t>0:05:10:22</t>
  </si>
  <si>
    <t>0:05:10:23</t>
  </si>
  <si>
    <t>0:05:10:24</t>
  </si>
  <si>
    <t>0:05:11:00</t>
  </si>
  <si>
    <t>0:05:11:01</t>
  </si>
  <si>
    <t>0:05:11:02</t>
  </si>
  <si>
    <t>0:05:11:03</t>
  </si>
  <si>
    <t>0:05:11:04</t>
  </si>
  <si>
    <t>0:05:11:05</t>
  </si>
  <si>
    <t>0:05:11:06</t>
  </si>
  <si>
    <t>0:05:11:07</t>
  </si>
  <si>
    <t>0:05:11:08</t>
  </si>
  <si>
    <t>0:05:11:09</t>
  </si>
  <si>
    <t>0:05:11:10</t>
  </si>
  <si>
    <t>0:05:11:11</t>
  </si>
  <si>
    <t>0:05:11:12</t>
  </si>
  <si>
    <t>0:05:11:13</t>
  </si>
  <si>
    <t>0:05:11:14</t>
  </si>
  <si>
    <t>0:05:11:15</t>
  </si>
  <si>
    <t>0:05:11:16</t>
  </si>
  <si>
    <t>0:05:11:17</t>
  </si>
  <si>
    <t>0:05:11:18</t>
  </si>
  <si>
    <t>0:05:11:19</t>
  </si>
  <si>
    <t>0:05:11:20</t>
  </si>
  <si>
    <t>0:05:11:21</t>
  </si>
  <si>
    <t>0:05:11:22</t>
  </si>
  <si>
    <t>0:05:11:23</t>
  </si>
  <si>
    <t>0:05:11:24</t>
  </si>
  <si>
    <t>0:05:12:00</t>
  </si>
  <si>
    <t>0:05:12:01</t>
  </si>
  <si>
    <t>0:05:12:02</t>
  </si>
  <si>
    <t>0:05:12:03</t>
  </si>
  <si>
    <t>0:05:12:04</t>
  </si>
  <si>
    <t>0:05:12:05</t>
  </si>
  <si>
    <t>0:05:12:06</t>
  </si>
  <si>
    <t>0:05:12:07</t>
  </si>
  <si>
    <t>0:05:12:08</t>
  </si>
  <si>
    <t>0:05:12:09</t>
  </si>
  <si>
    <t>0:05:12:10</t>
  </si>
  <si>
    <t>0:05:12:11</t>
  </si>
  <si>
    <t>0:05:12:12</t>
  </si>
  <si>
    <t>0:05:12:13</t>
  </si>
  <si>
    <t>0:05:12:14</t>
  </si>
  <si>
    <t>0:05:12:15</t>
  </si>
  <si>
    <t>0:05:12:16</t>
  </si>
  <si>
    <t>0:05:12:17</t>
  </si>
  <si>
    <t>0:05:12:18</t>
  </si>
  <si>
    <t>0:05:12:19</t>
  </si>
  <si>
    <t>0:05:12:20</t>
  </si>
  <si>
    <t>0:05:12:21</t>
  </si>
  <si>
    <t>0:05:12:22</t>
  </si>
  <si>
    <t>0:05:12:23</t>
  </si>
  <si>
    <t>0:05:12:24</t>
  </si>
  <si>
    <t>0:05:13:00</t>
  </si>
  <si>
    <t>0:05:13:01</t>
  </si>
  <si>
    <t>0:05:13:02</t>
  </si>
  <si>
    <t>0:05:13:03</t>
  </si>
  <si>
    <t>0:05:13:04</t>
  </si>
  <si>
    <t>0:05:13:05</t>
  </si>
  <si>
    <t>0:05:13:06</t>
  </si>
  <si>
    <t>0:05:13:07</t>
  </si>
  <si>
    <t>0:05:13:08</t>
  </si>
  <si>
    <t>0:05:13:09</t>
  </si>
  <si>
    <t>0:05:13:10</t>
  </si>
  <si>
    <t>0:05:13:11</t>
  </si>
  <si>
    <t>0:05:13:12</t>
  </si>
  <si>
    <t>0:05:13:13</t>
  </si>
  <si>
    <t>0:05:13:14</t>
  </si>
  <si>
    <t>0:05:13:15</t>
  </si>
  <si>
    <t>0:05:13:16</t>
  </si>
  <si>
    <t>0:05:13:17</t>
  </si>
  <si>
    <t>0:05:13:18</t>
  </si>
  <si>
    <t>0:05:13:19</t>
  </si>
  <si>
    <t>0:05:13:20</t>
  </si>
  <si>
    <t>0:05:13:21</t>
  </si>
  <si>
    <t>0:05:13:22</t>
  </si>
  <si>
    <t>0:05:13:23</t>
  </si>
  <si>
    <t>0:05:13:24</t>
  </si>
  <si>
    <t>0:05:14:00</t>
  </si>
  <si>
    <t>0:05:14:01</t>
  </si>
  <si>
    <t>0:05:14:02</t>
  </si>
  <si>
    <t>0:05:14:03</t>
  </si>
  <si>
    <t>0:05:14:04</t>
  </si>
  <si>
    <t>0:05:14:05</t>
  </si>
  <si>
    <t>0:05:14:06</t>
  </si>
  <si>
    <t>0:05:14:07</t>
  </si>
  <si>
    <t>0:05:14:08</t>
  </si>
  <si>
    <t>0:05:14:09</t>
  </si>
  <si>
    <t>0:05:14:10</t>
  </si>
  <si>
    <t>0:05:14:11</t>
  </si>
  <si>
    <t>0:05:14:12</t>
  </si>
  <si>
    <t>0:05:14:13</t>
  </si>
  <si>
    <t>0:05:14:14</t>
  </si>
  <si>
    <t>0:05:14:15</t>
  </si>
  <si>
    <t>0:05:14:16</t>
  </si>
  <si>
    <t>0:05:14:17</t>
  </si>
  <si>
    <t>0:05:14:18</t>
  </si>
  <si>
    <t>0:05:14:19</t>
  </si>
  <si>
    <t>0:05:14:20</t>
  </si>
  <si>
    <t>0:05:14:21</t>
  </si>
  <si>
    <t>0:05:14:22</t>
  </si>
  <si>
    <t>0:05:14:23</t>
  </si>
  <si>
    <t>0:05:14:24</t>
  </si>
  <si>
    <t>0:05:15:00</t>
  </si>
  <si>
    <t>0:05:15:01</t>
  </si>
  <si>
    <t>0:05:15:02</t>
  </si>
  <si>
    <t>0:05:15:03</t>
  </si>
  <si>
    <t>0:05:15:04</t>
  </si>
  <si>
    <t>0:05:15:05</t>
  </si>
  <si>
    <t>0:05:15:06</t>
  </si>
  <si>
    <t>0:05:15:07</t>
  </si>
  <si>
    <t>0:05:15:08</t>
  </si>
  <si>
    <t>0:05:15:09</t>
  </si>
  <si>
    <t>0:05:15:10</t>
  </si>
  <si>
    <t>0:05:15:11</t>
  </si>
  <si>
    <t>0:05:15:12</t>
  </si>
  <si>
    <t>0:05:15:13</t>
  </si>
  <si>
    <t>0:05:15:14</t>
  </si>
  <si>
    <t>0:05:15:15</t>
  </si>
  <si>
    <t>0:05:15:16</t>
  </si>
  <si>
    <t>0:05:15:17</t>
  </si>
  <si>
    <t>0:05:15:18</t>
  </si>
  <si>
    <t>0:05:15:19</t>
  </si>
  <si>
    <t>0:05:15:20</t>
  </si>
  <si>
    <t>0:05:15:21</t>
  </si>
  <si>
    <t>0:05:15:22</t>
  </si>
  <si>
    <t>0:05:15:23</t>
  </si>
  <si>
    <t>0:05:15:24</t>
  </si>
  <si>
    <t>0:05:16:00</t>
  </si>
  <si>
    <t>0:05:16:01</t>
  </si>
  <si>
    <t>0:05:16:02</t>
  </si>
  <si>
    <t>0:05:16:03</t>
  </si>
  <si>
    <t>0:05:16:04</t>
  </si>
  <si>
    <t>0:05:16:05</t>
  </si>
  <si>
    <t>0:05:16:06</t>
  </si>
  <si>
    <t>0:05:16:07</t>
  </si>
  <si>
    <t>0:05:16:08</t>
  </si>
  <si>
    <t>0:05:16:09</t>
  </si>
  <si>
    <t>0:05:16:10</t>
  </si>
  <si>
    <t>0:05:16:11</t>
  </si>
  <si>
    <t>0:05:16:12</t>
  </si>
  <si>
    <t>0:05:16:13</t>
  </si>
  <si>
    <t>0:05:16:14</t>
  </si>
  <si>
    <t>0:05:16:15</t>
  </si>
  <si>
    <t>0:05:16:16</t>
  </si>
  <si>
    <t>0:05:16:17</t>
  </si>
  <si>
    <t>0:05:16:18</t>
  </si>
  <si>
    <t>0:05:16:19</t>
  </si>
  <si>
    <t>0:05:16:20</t>
  </si>
  <si>
    <t>0:05:16:21</t>
  </si>
  <si>
    <t>0:05:16:22</t>
  </si>
  <si>
    <t>0:05:16:23</t>
  </si>
  <si>
    <t>0:05:16:24</t>
  </si>
  <si>
    <t>0:05:17:00</t>
  </si>
  <si>
    <t>0:05:17:01</t>
  </si>
  <si>
    <t>0:05:17:02</t>
  </si>
  <si>
    <t>0:05:17:03</t>
  </si>
  <si>
    <t>0:05:17:04</t>
  </si>
  <si>
    <t>0:05:17:05</t>
  </si>
  <si>
    <t>0:05:17:06</t>
  </si>
  <si>
    <t>0:05:17:07</t>
  </si>
  <si>
    <t>0:05:17:08</t>
  </si>
  <si>
    <t>0:05:17:09</t>
  </si>
  <si>
    <t>0:05:17:10</t>
  </si>
  <si>
    <t>0:05:17:11</t>
  </si>
  <si>
    <t>0:05:17:12</t>
  </si>
  <si>
    <t>0:05:17:13</t>
  </si>
  <si>
    <t>0:05:17:14</t>
  </si>
  <si>
    <t>0:05:17:15</t>
  </si>
  <si>
    <t>0:05:17:16</t>
  </si>
  <si>
    <t>0:05:17:17</t>
  </si>
  <si>
    <t>0:05:17:18</t>
  </si>
  <si>
    <t>0:05:17:19</t>
  </si>
  <si>
    <t>0:05:17:20</t>
  </si>
  <si>
    <t>0:05:17:21</t>
  </si>
  <si>
    <t>0:05:17:22</t>
  </si>
  <si>
    <t>0:05:17:23</t>
  </si>
  <si>
    <t>0:05:17:24</t>
  </si>
  <si>
    <t>0:05:18:00</t>
  </si>
  <si>
    <t>0:05:18:01</t>
  </si>
  <si>
    <t>0:05:18:02</t>
  </si>
  <si>
    <t>0:05:18:03</t>
  </si>
  <si>
    <t>0:05:18:04</t>
  </si>
  <si>
    <t>0:05:18:05</t>
  </si>
  <si>
    <t>0:05:18:06</t>
  </si>
  <si>
    <t>0:05:18:07</t>
  </si>
  <si>
    <t>0:05:18:08</t>
  </si>
  <si>
    <t>0:05:18:09</t>
  </si>
  <si>
    <t>0:05:18:10</t>
  </si>
  <si>
    <t>0:05:18:11</t>
  </si>
  <si>
    <t>0:05:18:12</t>
  </si>
  <si>
    <t>0:05:18:13</t>
  </si>
  <si>
    <t>0:05:18:14</t>
  </si>
  <si>
    <t>0:05:18:15</t>
  </si>
  <si>
    <t>0:05:18:16</t>
  </si>
  <si>
    <t>0:05:18:17</t>
  </si>
  <si>
    <t>0:05:18:18</t>
  </si>
  <si>
    <t>0:05:18:19</t>
  </si>
  <si>
    <t>0:05:18:20</t>
  </si>
  <si>
    <t>0:05:18:21</t>
  </si>
  <si>
    <t>0:05:18:22</t>
  </si>
  <si>
    <t>0:05:18:23</t>
  </si>
  <si>
    <t>0:05:18:24</t>
  </si>
  <si>
    <t>0:05:19:00</t>
  </si>
  <si>
    <t>0:05:19:01</t>
  </si>
  <si>
    <t>0:05:19:02</t>
  </si>
  <si>
    <t>0:05:19:03</t>
  </si>
  <si>
    <t>0:05:19:04</t>
  </si>
  <si>
    <t>0:05:19:05</t>
  </si>
  <si>
    <t>0:05:19:06</t>
  </si>
  <si>
    <t>0:05:19:07</t>
  </si>
  <si>
    <t>0:05:19:08</t>
  </si>
  <si>
    <t>0:05:19:09</t>
  </si>
  <si>
    <t>0:05:19:10</t>
  </si>
  <si>
    <t>0:05:19:11</t>
  </si>
  <si>
    <t>0:05:19:12</t>
  </si>
  <si>
    <t>0:05:19:13</t>
  </si>
  <si>
    <t>0:05:19:14</t>
  </si>
  <si>
    <t>0:05:19:15</t>
  </si>
  <si>
    <t>0:05:19:16</t>
  </si>
  <si>
    <t>0:05:19:17</t>
  </si>
  <si>
    <t>0:05:19:18</t>
  </si>
  <si>
    <t>0:05:19:19</t>
  </si>
  <si>
    <t>0:05:19:20</t>
  </si>
  <si>
    <t>0:05:19:21</t>
  </si>
  <si>
    <t>0:05:19:22</t>
  </si>
  <si>
    <t>0:05:19:23</t>
  </si>
  <si>
    <t>0:05:19:24</t>
  </si>
  <si>
    <t>0:05:20:00</t>
  </si>
  <si>
    <t>0:05:20:01</t>
  </si>
  <si>
    <t>0:05:20:02</t>
  </si>
  <si>
    <t>0:05:20:03</t>
  </si>
  <si>
    <t>0:05:20:04</t>
  </si>
  <si>
    <t>0:05:20:05</t>
  </si>
  <si>
    <t>0:05:20:06</t>
  </si>
  <si>
    <t>0:05:20:07</t>
  </si>
  <si>
    <t>0:05:20:08</t>
  </si>
  <si>
    <t>0:05:20:09</t>
  </si>
  <si>
    <t>0:05:20:10</t>
  </si>
  <si>
    <t>0:05:20:11</t>
  </si>
  <si>
    <t>0:05:20:12</t>
  </si>
  <si>
    <t>0:05:20:13</t>
  </si>
  <si>
    <t>0:05:20:14</t>
  </si>
  <si>
    <t>0:05:20:15</t>
  </si>
  <si>
    <t>0:05:20:16</t>
  </si>
  <si>
    <t>0:05:20:17</t>
  </si>
  <si>
    <t>0:05:20:18</t>
  </si>
  <si>
    <t>0:05:20:19</t>
  </si>
  <si>
    <t>0:05:20:20</t>
  </si>
  <si>
    <t>0:05:20:21</t>
  </si>
  <si>
    <t>0:05:20:22</t>
  </si>
  <si>
    <t>0:05:20:23</t>
  </si>
  <si>
    <t>0:05:20:24</t>
  </si>
  <si>
    <t>0:05:21:00</t>
  </si>
  <si>
    <t>0:05:21:01</t>
  </si>
  <si>
    <t>0:05:21:02</t>
  </si>
  <si>
    <t>0:05:21:03</t>
  </si>
  <si>
    <t>0:05:21:04</t>
  </si>
  <si>
    <t>0:05:21:05</t>
  </si>
  <si>
    <t>0:05:21:06</t>
  </si>
  <si>
    <t>0:05:21:07</t>
  </si>
  <si>
    <t>0:05:21:08</t>
  </si>
  <si>
    <t>0:05:21:09</t>
  </si>
  <si>
    <t>0:05:21:10</t>
  </si>
  <si>
    <t>0:05:21:11</t>
  </si>
  <si>
    <t>0:05:21:12</t>
  </si>
  <si>
    <t>0:05:21:13</t>
  </si>
  <si>
    <t>0:05:21:14</t>
  </si>
  <si>
    <t>0:05:21:15</t>
  </si>
  <si>
    <t>0:05:21:16</t>
  </si>
  <si>
    <t>0:05:21:17</t>
  </si>
  <si>
    <t>0:05:21:18</t>
  </si>
  <si>
    <t>0:05:21:19</t>
  </si>
  <si>
    <t>0:05:21:20</t>
  </si>
  <si>
    <t>0:05:21:21</t>
  </si>
  <si>
    <t>0:05:21:22</t>
  </si>
  <si>
    <t>0:05:21:23</t>
  </si>
  <si>
    <t>0:05:21:24</t>
  </si>
  <si>
    <t>0:05:22:00</t>
  </si>
  <si>
    <t>0:05:22:01</t>
  </si>
  <si>
    <t>0:05:22:02</t>
  </si>
  <si>
    <t>0:05:22:03</t>
  </si>
  <si>
    <t>0:05:22:04</t>
  </si>
  <si>
    <t>0:05:22:05</t>
  </si>
  <si>
    <t>0:05:22:06</t>
  </si>
  <si>
    <t>0:05:22:07</t>
  </si>
  <si>
    <t>0:05:22:08</t>
  </si>
  <si>
    <t>0:05:22:09</t>
  </si>
  <si>
    <t>0:05:22:10</t>
  </si>
  <si>
    <t>0:05:22:11</t>
  </si>
  <si>
    <t>0:05:22:12</t>
  </si>
  <si>
    <t>0:05:22:13</t>
  </si>
  <si>
    <t>0:05:22:14</t>
  </si>
  <si>
    <t>0:05:22:15</t>
  </si>
  <si>
    <t>0:05:22:16</t>
  </si>
  <si>
    <t>0:05:22:17</t>
  </si>
  <si>
    <t>0:05:22:18</t>
  </si>
  <si>
    <t>0:05:22:19</t>
  </si>
  <si>
    <t>0:05:22:20</t>
  </si>
  <si>
    <t>0:05:22:21</t>
  </si>
  <si>
    <t>0:05:22:22</t>
  </si>
  <si>
    <t>0:05:22:23</t>
  </si>
  <si>
    <t>0:05:22:24</t>
  </si>
  <si>
    <t>0:05:23:00</t>
  </si>
  <si>
    <t>0:05:23:01</t>
  </si>
  <si>
    <t>0:05:23:02</t>
  </si>
  <si>
    <t>0:05:23:03</t>
  </si>
  <si>
    <t>0:05:23:04</t>
  </si>
  <si>
    <t>0:05:23:05</t>
  </si>
  <si>
    <t>0:05:23:06</t>
  </si>
  <si>
    <t>0:05:23:07</t>
  </si>
  <si>
    <t>0:05:23:08</t>
  </si>
  <si>
    <t>0:05:23:09</t>
  </si>
  <si>
    <t>0:05:23:10</t>
  </si>
  <si>
    <t>0:05:23:11</t>
  </si>
  <si>
    <t>0:05:23:12</t>
  </si>
  <si>
    <t>0:05:23:13</t>
  </si>
  <si>
    <t>0:05:23:14</t>
  </si>
  <si>
    <t>0:05:23:15</t>
  </si>
  <si>
    <t>0:05:23:16</t>
  </si>
  <si>
    <t>0:05:23:17</t>
  </si>
  <si>
    <t>0:05:23:18</t>
  </si>
  <si>
    <t>0:05:23:19</t>
  </si>
  <si>
    <t>0:05:23:20</t>
  </si>
  <si>
    <t>0:05:23:21</t>
  </si>
  <si>
    <t>0:05:23:22</t>
  </si>
  <si>
    <t>0:05:23:23</t>
  </si>
  <si>
    <t>0:05:23:24</t>
  </si>
  <si>
    <t>0:05:24:00</t>
  </si>
  <si>
    <t>0:05:24:01</t>
  </si>
  <si>
    <t>0:05:24:02</t>
  </si>
  <si>
    <t>0:05:24:03</t>
  </si>
  <si>
    <t>0:05:24:04</t>
  </si>
  <si>
    <t>0:05:24:05</t>
  </si>
  <si>
    <t>0:05:24:06</t>
  </si>
  <si>
    <t>0:05:24:07</t>
  </si>
  <si>
    <t>0:05:24:08</t>
  </si>
  <si>
    <t>0:05:24:09</t>
  </si>
  <si>
    <t>0:05:24:10</t>
  </si>
  <si>
    <t>0:05:24:11</t>
  </si>
  <si>
    <t>0:05:24:12</t>
  </si>
  <si>
    <t>0:05:24:13</t>
  </si>
  <si>
    <t>0:05:24:14</t>
  </si>
  <si>
    <t>0:05:24:15</t>
  </si>
  <si>
    <t>0:05:24:16</t>
  </si>
  <si>
    <t>0:05:24:17</t>
  </si>
  <si>
    <t>0:05:24:18</t>
  </si>
  <si>
    <t>0:05:24:19</t>
  </si>
  <si>
    <t>0:05:24:20</t>
  </si>
  <si>
    <t>0:05:24:21</t>
  </si>
  <si>
    <t>0:05:24:22</t>
  </si>
  <si>
    <t>0:05:24:23</t>
  </si>
  <si>
    <t>0:05:24:24</t>
  </si>
  <si>
    <t>0:05:25:00</t>
  </si>
  <si>
    <t>0:05:25:01</t>
  </si>
  <si>
    <t>0:05:25:02</t>
  </si>
  <si>
    <t>0:05:25:03</t>
  </si>
  <si>
    <t>0:05:25:04</t>
  </si>
  <si>
    <t>0:05:25:05</t>
  </si>
  <si>
    <t>0:05:25:06</t>
  </si>
  <si>
    <t>0:05:25:07</t>
  </si>
  <si>
    <t>0:05:25:08</t>
  </si>
  <si>
    <t>0:05:25:09</t>
  </si>
  <si>
    <t>0:05:25:10</t>
  </si>
  <si>
    <t>0:05:25:11</t>
  </si>
  <si>
    <t>0:05:25:12</t>
  </si>
  <si>
    <t>0:05:25:13</t>
  </si>
  <si>
    <t>0:05:25:14</t>
  </si>
  <si>
    <t>0:05:25:15</t>
  </si>
  <si>
    <t>0:05:25:16</t>
  </si>
  <si>
    <t>0:05:25:17</t>
  </si>
  <si>
    <t>0:05:25:18</t>
  </si>
  <si>
    <t>0:05:25:19</t>
  </si>
  <si>
    <t>0:05:25:20</t>
  </si>
  <si>
    <t>0:05:25:21</t>
  </si>
  <si>
    <t>0:05:25:22</t>
  </si>
  <si>
    <t>0:05:25:23</t>
  </si>
  <si>
    <t>0:05:25:24</t>
  </si>
  <si>
    <t>0:05:26:00</t>
  </si>
  <si>
    <t>0:05:26:01</t>
  </si>
  <si>
    <t>0:05:26:02</t>
  </si>
  <si>
    <t>0:05:26:03</t>
  </si>
  <si>
    <t>0:05:26:04</t>
  </si>
  <si>
    <t>0:05:26:05</t>
  </si>
  <si>
    <t>0:05:26:06</t>
  </si>
  <si>
    <t>0:05:26:07</t>
  </si>
  <si>
    <t>0:05:26:08</t>
  </si>
  <si>
    <t>0:05:26:09</t>
  </si>
  <si>
    <t>0:05:26:10</t>
  </si>
  <si>
    <t>0:05:26:11</t>
  </si>
  <si>
    <t>0:05:26:12</t>
  </si>
  <si>
    <t>0:05:26:13</t>
  </si>
  <si>
    <t>0:05:26:14</t>
  </si>
  <si>
    <t>0:05:26:15</t>
  </si>
  <si>
    <t>0:05:26:16</t>
  </si>
  <si>
    <t>0:05:26:17</t>
  </si>
  <si>
    <t>0:05:26:18</t>
  </si>
  <si>
    <t>0:05:26:19</t>
  </si>
  <si>
    <t>0:05:26:20</t>
  </si>
  <si>
    <t>0:05:26:21</t>
  </si>
  <si>
    <t>0:05:26:22</t>
  </si>
  <si>
    <t>0:05:26:23</t>
  </si>
  <si>
    <t>0:05:26:24</t>
  </si>
  <si>
    <t>0:05:27:00</t>
  </si>
  <si>
    <t>0:05:27:01</t>
  </si>
  <si>
    <t>0:05:27:02</t>
  </si>
  <si>
    <t>0:05:27:03</t>
  </si>
  <si>
    <t>0:05:27:04</t>
  </si>
  <si>
    <t>0:05:27:05</t>
  </si>
  <si>
    <t>0:05:27:06</t>
  </si>
  <si>
    <t>0:05:27:07</t>
  </si>
  <si>
    <t>0:05:27:08</t>
  </si>
  <si>
    <t>0:05:27:09</t>
  </si>
  <si>
    <t>0:05:27:10</t>
  </si>
  <si>
    <t>0:05:27:11</t>
  </si>
  <si>
    <t>0:05:27:12</t>
  </si>
  <si>
    <t>0:05:27:13</t>
  </si>
  <si>
    <t>0:05:27:14</t>
  </si>
  <si>
    <t>0:05:27:15</t>
  </si>
  <si>
    <t>0:05:27:16</t>
  </si>
  <si>
    <t>0:05:27:17</t>
  </si>
  <si>
    <t>0:05:27:18</t>
  </si>
  <si>
    <t>0:05:27:19</t>
  </si>
  <si>
    <t>0:05:27:20</t>
  </si>
  <si>
    <t>0:05:27:21</t>
  </si>
  <si>
    <t>0:05:27:22</t>
  </si>
  <si>
    <t>0:05:27:23</t>
  </si>
  <si>
    <t>0:05:27:24</t>
  </si>
  <si>
    <t>0:05:28:00</t>
  </si>
  <si>
    <t>0:05:28:01</t>
  </si>
  <si>
    <t>0:05:28:02</t>
  </si>
  <si>
    <t>0:05:28:03</t>
  </si>
  <si>
    <t>0:05:28:04</t>
  </si>
  <si>
    <t>0:05:28:05</t>
  </si>
  <si>
    <t>0:05:28:06</t>
  </si>
  <si>
    <t>0:05:28:07</t>
  </si>
  <si>
    <t>0:05:28:08</t>
  </si>
  <si>
    <t>0:05:28:09</t>
  </si>
  <si>
    <t>0:05:28:10</t>
  </si>
  <si>
    <t>0:05:28:11</t>
  </si>
  <si>
    <t>0:05:28:12</t>
  </si>
  <si>
    <t>0:05:28:13</t>
  </si>
  <si>
    <t>0:05:28:14</t>
  </si>
  <si>
    <t>0:05:28:15</t>
  </si>
  <si>
    <t>0:05:28:16</t>
  </si>
  <si>
    <t>0:05:28:17</t>
  </si>
  <si>
    <t>0:05:28:18</t>
  </si>
  <si>
    <t>0:05:28:19</t>
  </si>
  <si>
    <t>0:05:28:20</t>
  </si>
  <si>
    <t>0:05:28:21</t>
  </si>
  <si>
    <t>0:05:28:22</t>
  </si>
  <si>
    <t>0:05:28:23</t>
  </si>
  <si>
    <t>0:05:28:24</t>
  </si>
  <si>
    <t>0:05:29:00</t>
  </si>
  <si>
    <t>0:05:29:01</t>
  </si>
  <si>
    <t>0:05:29:02</t>
  </si>
  <si>
    <t>0:05:29:03</t>
  </si>
  <si>
    <t>0:05:29:04</t>
  </si>
  <si>
    <t>0:05:29:05</t>
  </si>
  <si>
    <t>0:05:29:06</t>
  </si>
  <si>
    <t>0:05:29:07</t>
  </si>
  <si>
    <t>0:05:29:08</t>
  </si>
  <si>
    <t>0:05:29:09</t>
  </si>
  <si>
    <t>0:05:29:10</t>
  </si>
  <si>
    <t>0:05:29:11</t>
  </si>
  <si>
    <t>0:05:29:12</t>
  </si>
  <si>
    <t>0:05:29:13</t>
  </si>
  <si>
    <t>0:05:29:14</t>
  </si>
  <si>
    <t>0:05:29:15</t>
  </si>
  <si>
    <t>0:05:29:16</t>
  </si>
  <si>
    <t>0:05:29:17</t>
  </si>
  <si>
    <t>0:05:29:18</t>
  </si>
  <si>
    <t>0:05:29:19</t>
  </si>
  <si>
    <t>0:05:29:20</t>
  </si>
  <si>
    <t>0:05:29:21</t>
  </si>
  <si>
    <t>0:05:29:22</t>
  </si>
  <si>
    <t>0:05:29:23</t>
  </si>
  <si>
    <t>0:05:29:24</t>
  </si>
  <si>
    <t>0:05:30:00</t>
  </si>
  <si>
    <t>0:05:30:01</t>
  </si>
  <si>
    <t>0:05:30:02</t>
  </si>
  <si>
    <t>0:05:30:03</t>
  </si>
  <si>
    <t>0:05:30:04</t>
  </si>
  <si>
    <t>0:05:30:05</t>
  </si>
  <si>
    <t>0:05:30:06</t>
  </si>
  <si>
    <t>0:05:30:07</t>
  </si>
  <si>
    <t>0:05:30:08</t>
  </si>
  <si>
    <t>0:05:30:09</t>
  </si>
  <si>
    <t>0:05:30:10</t>
  </si>
  <si>
    <t>0:05:30:11</t>
  </si>
  <si>
    <t>0:05:30:12</t>
  </si>
  <si>
    <t>0:05:30:13</t>
  </si>
  <si>
    <t>0:05:30:14</t>
  </si>
  <si>
    <t>0:05:30:15</t>
  </si>
  <si>
    <t>0:05:30:16</t>
  </si>
  <si>
    <t>0:05:30:17</t>
  </si>
  <si>
    <t>0:05:30:18</t>
  </si>
  <si>
    <t>0:05:30:19</t>
  </si>
  <si>
    <t>0:05:30:20</t>
  </si>
  <si>
    <t>0:05:30:21</t>
  </si>
  <si>
    <t>0:05:30:22</t>
  </si>
  <si>
    <t>0:05:30:23</t>
  </si>
  <si>
    <t>0:05:30:24</t>
  </si>
  <si>
    <t>0:05:31:00</t>
  </si>
  <si>
    <t>0:05:31:01</t>
  </si>
  <si>
    <t>0:05:31:02</t>
  </si>
  <si>
    <t>0:05:31:03</t>
  </si>
  <si>
    <t>0:05:31:04</t>
  </si>
  <si>
    <t>0:05:31:05</t>
  </si>
  <si>
    <t>0:05:31:06</t>
  </si>
  <si>
    <t>0:05:31:07</t>
  </si>
  <si>
    <t>0:05:31:08</t>
  </si>
  <si>
    <t>0:05:31:09</t>
  </si>
  <si>
    <t>0:05:31:10</t>
  </si>
  <si>
    <t>0:05:31:11</t>
  </si>
  <si>
    <t>0:05:31:12</t>
  </si>
  <si>
    <t>0:05:31:13</t>
  </si>
  <si>
    <t>0:05:31:14</t>
  </si>
  <si>
    <t>0:05:31:15</t>
  </si>
  <si>
    <t>0:05:31:16</t>
  </si>
  <si>
    <t>0:05:31:17</t>
  </si>
  <si>
    <t>0:05:31:18</t>
  </si>
  <si>
    <t>0:05:31:19</t>
  </si>
  <si>
    <t>0:05:31:20</t>
  </si>
  <si>
    <t>0:05:31:21</t>
  </si>
  <si>
    <t>0:05:31:22</t>
  </si>
  <si>
    <t>0:05:31:23</t>
  </si>
  <si>
    <t>0:05:31:24</t>
  </si>
  <si>
    <t>0:05:32:00</t>
  </si>
  <si>
    <t>0:05:32:01</t>
  </si>
  <si>
    <t>0:05:32:02</t>
  </si>
  <si>
    <t>0:05:32:03</t>
  </si>
  <si>
    <t>0:05:32:04</t>
  </si>
  <si>
    <t>0:05:32:05</t>
  </si>
  <si>
    <t>0:05:32:06</t>
  </si>
  <si>
    <t>0:05:32:07</t>
  </si>
  <si>
    <t>0:05:32:08</t>
  </si>
  <si>
    <t>0:05:32:09</t>
  </si>
  <si>
    <t>0:05:32:10</t>
  </si>
  <si>
    <t>0:05:32:11</t>
  </si>
  <si>
    <t>0:05:32:12</t>
  </si>
  <si>
    <t>0:05:32:13</t>
  </si>
  <si>
    <t>0:05:32:14</t>
  </si>
  <si>
    <t>0:05:32:15</t>
  </si>
  <si>
    <t>0:05:32:16</t>
  </si>
  <si>
    <t>0:05:32:17</t>
  </si>
  <si>
    <t>0:05:32:18</t>
  </si>
  <si>
    <t>0:05:32:19</t>
  </si>
  <si>
    <t>0:05:32:20</t>
  </si>
  <si>
    <t>0:05:32:21</t>
  </si>
  <si>
    <t>0:05:32:22</t>
  </si>
  <si>
    <t>0:05:32:23</t>
  </si>
  <si>
    <t>0:05:32:24</t>
  </si>
  <si>
    <t>0:05:33:00</t>
  </si>
  <si>
    <t>0:05:33:01</t>
  </si>
  <si>
    <t>0:05:33:02</t>
  </si>
  <si>
    <t>0:05:33:03</t>
  </si>
  <si>
    <t>0:05:33:04</t>
  </si>
  <si>
    <t>0:05:33:05</t>
  </si>
  <si>
    <t>0:05:33:06</t>
  </si>
  <si>
    <t>0:05:33:07</t>
  </si>
  <si>
    <t>0:05:33:08</t>
  </si>
  <si>
    <t>0:05:33:09</t>
  </si>
  <si>
    <t>0:05:33:10</t>
  </si>
  <si>
    <t>0:05:33:11</t>
  </si>
  <si>
    <t>0:05:33:12</t>
  </si>
  <si>
    <t>0:05:33:13</t>
  </si>
  <si>
    <t>0:05:33:14</t>
  </si>
  <si>
    <t>0:05:33:15</t>
  </si>
  <si>
    <t>0:05:33:16</t>
  </si>
  <si>
    <t>0:05:33:17</t>
  </si>
  <si>
    <t>0:05:33:18</t>
  </si>
  <si>
    <t>0:05:33:19</t>
  </si>
  <si>
    <t>0:05:33:20</t>
  </si>
  <si>
    <t>0:05:33:21</t>
  </si>
  <si>
    <t>0:05:33:22</t>
  </si>
  <si>
    <t>0:05:33:23</t>
  </si>
  <si>
    <t>0:05:33:24</t>
  </si>
  <si>
    <t>0:05:34:00</t>
  </si>
  <si>
    <t>0:05:34:01</t>
  </si>
  <si>
    <t>0:05:34:02</t>
  </si>
  <si>
    <t>0:05:34:03</t>
  </si>
  <si>
    <t>0:05:34:04</t>
  </si>
  <si>
    <t>0:05:34:05</t>
  </si>
  <si>
    <t>0:05:34:06</t>
  </si>
  <si>
    <t>0:05:34:07</t>
  </si>
  <si>
    <t>0:05:34:08</t>
  </si>
  <si>
    <t>0:05:34:09</t>
  </si>
  <si>
    <t>0:05:34:10</t>
  </si>
  <si>
    <t>0:05:34:11</t>
  </si>
  <si>
    <t>0:05:34:12</t>
  </si>
  <si>
    <t>0:05:34:13</t>
  </si>
  <si>
    <t>0:05:34:14</t>
  </si>
  <si>
    <t>0:05:34:15</t>
  </si>
  <si>
    <t>0:05:34:16</t>
  </si>
  <si>
    <t>0:05:34:17</t>
  </si>
  <si>
    <t>0:05:34:18</t>
  </si>
  <si>
    <t>0:05:34:19</t>
  </si>
  <si>
    <t>0:05:34:20</t>
  </si>
  <si>
    <t>0:05:34:21</t>
  </si>
  <si>
    <t>0:05:34:22</t>
  </si>
  <si>
    <t>0:05:34:23</t>
  </si>
  <si>
    <t>0:05:34:24</t>
  </si>
  <si>
    <t>0:05:35:00</t>
  </si>
  <si>
    <t>0:05:35:01</t>
  </si>
  <si>
    <t>0:05:35:02</t>
  </si>
  <si>
    <t>0:05:35:03</t>
  </si>
  <si>
    <t>0:05:35:04</t>
  </si>
  <si>
    <t>0:05:35:05</t>
  </si>
  <si>
    <t>0:05:35:06</t>
  </si>
  <si>
    <t>0:05:35:07</t>
  </si>
  <si>
    <t>0:05:35:08</t>
  </si>
  <si>
    <t>0:05:35:09</t>
  </si>
  <si>
    <t>0:05:35:10</t>
  </si>
  <si>
    <t>SZUM</t>
  </si>
  <si>
    <t>Sum_S</t>
  </si>
  <si>
    <t>Location</t>
  </si>
  <si>
    <t>Activity</t>
  </si>
  <si>
    <t>0:05:35:11</t>
  </si>
  <si>
    <t>0:05:35:12</t>
  </si>
  <si>
    <t>0:05:35:13</t>
  </si>
  <si>
    <t>0:05:35:14</t>
  </si>
  <si>
    <t>0:05:35:15</t>
  </si>
  <si>
    <t>0:05:35:16</t>
  </si>
  <si>
    <t>0:05:35:17</t>
  </si>
  <si>
    <t>0:05:35:18</t>
  </si>
  <si>
    <t>0:05:35:19</t>
  </si>
  <si>
    <t>0:05:35:20</t>
  </si>
  <si>
    <t>0:05:35:21</t>
  </si>
  <si>
    <t>0:05:35:22</t>
  </si>
  <si>
    <t>0:05:35:23</t>
  </si>
  <si>
    <t>0:05:35:24</t>
  </si>
  <si>
    <t>0:05:36:00</t>
  </si>
  <si>
    <t>0:05:36:01</t>
  </si>
  <si>
    <t>0:05:36:02</t>
  </si>
  <si>
    <t>0:05:36:03</t>
  </si>
  <si>
    <t>0:05:36:04</t>
  </si>
  <si>
    <t>0:05:36:05</t>
  </si>
  <si>
    <t>0:05:36:06</t>
  </si>
  <si>
    <t>0:05:36:07</t>
  </si>
  <si>
    <t>location</t>
  </si>
  <si>
    <t>ÁLL_rövden</t>
  </si>
  <si>
    <t>Akt</t>
  </si>
  <si>
    <t>LOCO</t>
  </si>
  <si>
    <t>Time</t>
  </si>
  <si>
    <t>ÁLL_röviden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</si>
</sst>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2" borderId="0" xfId="0" applyNumberFormat="1" applyFill="1" applyAlignment="1">
      <alignment wrapText="1"/>
    </xf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1_76_LE_MALE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transpose!$K$1</c:f>
              <c:strCache>
                <c:ptCount val="1"/>
                <c:pt idx="0">
                  <c:v>KI_ÁGASK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transpose!$K$2:$K$7627</c:f>
              <c:numCache>
                <c:formatCode>General</c:formatCode>
                <c:ptCount val="7626"/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556">
                  <c:v>4</c:v>
                </c:pt>
                <c:pt idx="1557">
                  <c:v>4</c:v>
                </c:pt>
                <c:pt idx="1558">
                  <c:v>4</c:v>
                </c:pt>
                <c:pt idx="1559">
                  <c:v>4</c:v>
                </c:pt>
                <c:pt idx="1560">
                  <c:v>4</c:v>
                </c:pt>
                <c:pt idx="1561">
                  <c:v>4</c:v>
                </c:pt>
                <c:pt idx="1562">
                  <c:v>4</c:v>
                </c:pt>
                <c:pt idx="1563">
                  <c:v>4</c:v>
                </c:pt>
                <c:pt idx="1564">
                  <c:v>4</c:v>
                </c:pt>
                <c:pt idx="1565">
                  <c:v>4</c:v>
                </c:pt>
                <c:pt idx="1566">
                  <c:v>4</c:v>
                </c:pt>
                <c:pt idx="1567">
                  <c:v>4</c:v>
                </c:pt>
                <c:pt idx="1568">
                  <c:v>4</c:v>
                </c:pt>
                <c:pt idx="1569">
                  <c:v>4</c:v>
                </c:pt>
                <c:pt idx="1570">
                  <c:v>4</c:v>
                </c:pt>
                <c:pt idx="1571">
                  <c:v>4</c:v>
                </c:pt>
                <c:pt idx="1572">
                  <c:v>4</c:v>
                </c:pt>
                <c:pt idx="1573">
                  <c:v>4</c:v>
                </c:pt>
                <c:pt idx="1574">
                  <c:v>4</c:v>
                </c:pt>
                <c:pt idx="1575">
                  <c:v>4</c:v>
                </c:pt>
                <c:pt idx="1576">
                  <c:v>4</c:v>
                </c:pt>
                <c:pt idx="1577">
                  <c:v>4</c:v>
                </c:pt>
                <c:pt idx="1578">
                  <c:v>4</c:v>
                </c:pt>
                <c:pt idx="1579">
                  <c:v>4</c:v>
                </c:pt>
                <c:pt idx="1580">
                  <c:v>4</c:v>
                </c:pt>
                <c:pt idx="1581">
                  <c:v>4</c:v>
                </c:pt>
                <c:pt idx="1582">
                  <c:v>4</c:v>
                </c:pt>
                <c:pt idx="1583">
                  <c:v>4</c:v>
                </c:pt>
                <c:pt idx="1584">
                  <c:v>4</c:v>
                </c:pt>
                <c:pt idx="1585">
                  <c:v>4</c:v>
                </c:pt>
                <c:pt idx="1586">
                  <c:v>4</c:v>
                </c:pt>
                <c:pt idx="1587">
                  <c:v>4</c:v>
                </c:pt>
                <c:pt idx="1588">
                  <c:v>4</c:v>
                </c:pt>
                <c:pt idx="1589">
                  <c:v>4</c:v>
                </c:pt>
                <c:pt idx="1590">
                  <c:v>4</c:v>
                </c:pt>
                <c:pt idx="1591">
                  <c:v>4</c:v>
                </c:pt>
                <c:pt idx="1592">
                  <c:v>4</c:v>
                </c:pt>
                <c:pt idx="1593">
                  <c:v>4</c:v>
                </c:pt>
                <c:pt idx="1594">
                  <c:v>4</c:v>
                </c:pt>
                <c:pt idx="1595">
                  <c:v>4</c:v>
                </c:pt>
                <c:pt idx="1596">
                  <c:v>4</c:v>
                </c:pt>
                <c:pt idx="1597">
                  <c:v>4</c:v>
                </c:pt>
                <c:pt idx="1598">
                  <c:v>4</c:v>
                </c:pt>
                <c:pt idx="1599">
                  <c:v>4</c:v>
                </c:pt>
                <c:pt idx="1600">
                  <c:v>4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4</c:v>
                </c:pt>
                <c:pt idx="1609">
                  <c:v>4</c:v>
                </c:pt>
                <c:pt idx="1610">
                  <c:v>4</c:v>
                </c:pt>
                <c:pt idx="1611">
                  <c:v>4</c:v>
                </c:pt>
                <c:pt idx="1612">
                  <c:v>4</c:v>
                </c:pt>
                <c:pt idx="1613">
                  <c:v>4</c:v>
                </c:pt>
                <c:pt idx="1614">
                  <c:v>4</c:v>
                </c:pt>
                <c:pt idx="1615">
                  <c:v>4</c:v>
                </c:pt>
                <c:pt idx="1616">
                  <c:v>4</c:v>
                </c:pt>
                <c:pt idx="1617">
                  <c:v>4</c:v>
                </c:pt>
                <c:pt idx="1618">
                  <c:v>4</c:v>
                </c:pt>
                <c:pt idx="1619">
                  <c:v>4</c:v>
                </c:pt>
                <c:pt idx="1620">
                  <c:v>4</c:v>
                </c:pt>
                <c:pt idx="1621">
                  <c:v>4</c:v>
                </c:pt>
                <c:pt idx="1622">
                  <c:v>4</c:v>
                </c:pt>
                <c:pt idx="1623">
                  <c:v>4</c:v>
                </c:pt>
                <c:pt idx="1624">
                  <c:v>4</c:v>
                </c:pt>
                <c:pt idx="1625">
                  <c:v>4</c:v>
                </c:pt>
                <c:pt idx="1626">
                  <c:v>4</c:v>
                </c:pt>
                <c:pt idx="1627">
                  <c:v>4</c:v>
                </c:pt>
                <c:pt idx="1628">
                  <c:v>4</c:v>
                </c:pt>
                <c:pt idx="1629">
                  <c:v>4</c:v>
                </c:pt>
                <c:pt idx="1630">
                  <c:v>4</c:v>
                </c:pt>
                <c:pt idx="1631">
                  <c:v>4</c:v>
                </c:pt>
                <c:pt idx="1632">
                  <c:v>4</c:v>
                </c:pt>
                <c:pt idx="1633">
                  <c:v>4</c:v>
                </c:pt>
                <c:pt idx="1634">
                  <c:v>4</c:v>
                </c:pt>
                <c:pt idx="1635">
                  <c:v>4</c:v>
                </c:pt>
                <c:pt idx="1636">
                  <c:v>4</c:v>
                </c:pt>
                <c:pt idx="1637">
                  <c:v>4</c:v>
                </c:pt>
                <c:pt idx="1638">
                  <c:v>4</c:v>
                </c:pt>
                <c:pt idx="1639">
                  <c:v>4</c:v>
                </c:pt>
                <c:pt idx="1640">
                  <c:v>4</c:v>
                </c:pt>
                <c:pt idx="1641">
                  <c:v>4</c:v>
                </c:pt>
                <c:pt idx="1642">
                  <c:v>4</c:v>
                </c:pt>
                <c:pt idx="1643">
                  <c:v>4</c:v>
                </c:pt>
                <c:pt idx="1644">
                  <c:v>4</c:v>
                </c:pt>
                <c:pt idx="2691">
                  <c:v>5</c:v>
                </c:pt>
                <c:pt idx="2692">
                  <c:v>5</c:v>
                </c:pt>
                <c:pt idx="2693">
                  <c:v>5</c:v>
                </c:pt>
                <c:pt idx="2694">
                  <c:v>5</c:v>
                </c:pt>
                <c:pt idx="2695">
                  <c:v>5</c:v>
                </c:pt>
                <c:pt idx="2696">
                  <c:v>5</c:v>
                </c:pt>
                <c:pt idx="2697">
                  <c:v>5</c:v>
                </c:pt>
                <c:pt idx="2698">
                  <c:v>5</c:v>
                </c:pt>
                <c:pt idx="2699">
                  <c:v>5</c:v>
                </c:pt>
                <c:pt idx="2700">
                  <c:v>5</c:v>
                </c:pt>
                <c:pt idx="2701">
                  <c:v>5</c:v>
                </c:pt>
                <c:pt idx="2702">
                  <c:v>5</c:v>
                </c:pt>
                <c:pt idx="2703">
                  <c:v>5</c:v>
                </c:pt>
                <c:pt idx="2704">
                  <c:v>5</c:v>
                </c:pt>
                <c:pt idx="2705">
                  <c:v>5</c:v>
                </c:pt>
                <c:pt idx="2706">
                  <c:v>5</c:v>
                </c:pt>
                <c:pt idx="2707">
                  <c:v>5</c:v>
                </c:pt>
                <c:pt idx="2708">
                  <c:v>5</c:v>
                </c:pt>
                <c:pt idx="2709">
                  <c:v>5</c:v>
                </c:pt>
                <c:pt idx="2710">
                  <c:v>5</c:v>
                </c:pt>
                <c:pt idx="2711">
                  <c:v>5</c:v>
                </c:pt>
                <c:pt idx="2712">
                  <c:v>5</c:v>
                </c:pt>
                <c:pt idx="2713">
                  <c:v>5</c:v>
                </c:pt>
                <c:pt idx="2714">
                  <c:v>5</c:v>
                </c:pt>
                <c:pt idx="2715">
                  <c:v>5</c:v>
                </c:pt>
                <c:pt idx="2716">
                  <c:v>5</c:v>
                </c:pt>
                <c:pt idx="2717">
                  <c:v>5</c:v>
                </c:pt>
                <c:pt idx="2718">
                  <c:v>5</c:v>
                </c:pt>
                <c:pt idx="2719">
                  <c:v>5</c:v>
                </c:pt>
                <c:pt idx="2720">
                  <c:v>5</c:v>
                </c:pt>
                <c:pt idx="2721">
                  <c:v>5</c:v>
                </c:pt>
                <c:pt idx="2722">
                  <c:v>5</c:v>
                </c:pt>
                <c:pt idx="2723">
                  <c:v>5</c:v>
                </c:pt>
                <c:pt idx="2724">
                  <c:v>5</c:v>
                </c:pt>
                <c:pt idx="2725">
                  <c:v>5</c:v>
                </c:pt>
                <c:pt idx="2726">
                  <c:v>5</c:v>
                </c:pt>
                <c:pt idx="2727">
                  <c:v>5</c:v>
                </c:pt>
                <c:pt idx="2728">
                  <c:v>5</c:v>
                </c:pt>
                <c:pt idx="2729">
                  <c:v>5</c:v>
                </c:pt>
                <c:pt idx="2730">
                  <c:v>5</c:v>
                </c:pt>
                <c:pt idx="2731">
                  <c:v>5</c:v>
                </c:pt>
                <c:pt idx="2732">
                  <c:v>5</c:v>
                </c:pt>
                <c:pt idx="2733">
                  <c:v>5</c:v>
                </c:pt>
                <c:pt idx="2734">
                  <c:v>5</c:v>
                </c:pt>
                <c:pt idx="2735">
                  <c:v>5</c:v>
                </c:pt>
                <c:pt idx="2736">
                  <c:v>5</c:v>
                </c:pt>
                <c:pt idx="2737">
                  <c:v>5</c:v>
                </c:pt>
                <c:pt idx="2738">
                  <c:v>5</c:v>
                </c:pt>
                <c:pt idx="2895">
                  <c:v>6</c:v>
                </c:pt>
                <c:pt idx="2896">
                  <c:v>6</c:v>
                </c:pt>
                <c:pt idx="2897">
                  <c:v>6</c:v>
                </c:pt>
                <c:pt idx="2898">
                  <c:v>6</c:v>
                </c:pt>
                <c:pt idx="2899">
                  <c:v>6</c:v>
                </c:pt>
                <c:pt idx="2900">
                  <c:v>6</c:v>
                </c:pt>
                <c:pt idx="2901">
                  <c:v>6</c:v>
                </c:pt>
                <c:pt idx="2902">
                  <c:v>6</c:v>
                </c:pt>
                <c:pt idx="2903">
                  <c:v>6</c:v>
                </c:pt>
                <c:pt idx="2904">
                  <c:v>6</c:v>
                </c:pt>
                <c:pt idx="2905">
                  <c:v>6</c:v>
                </c:pt>
                <c:pt idx="2906">
                  <c:v>6</c:v>
                </c:pt>
                <c:pt idx="2907">
                  <c:v>6</c:v>
                </c:pt>
                <c:pt idx="2908">
                  <c:v>6</c:v>
                </c:pt>
                <c:pt idx="2909">
                  <c:v>6</c:v>
                </c:pt>
                <c:pt idx="2910">
                  <c:v>6</c:v>
                </c:pt>
                <c:pt idx="2911">
                  <c:v>6</c:v>
                </c:pt>
                <c:pt idx="2912">
                  <c:v>6</c:v>
                </c:pt>
                <c:pt idx="2913">
                  <c:v>6</c:v>
                </c:pt>
                <c:pt idx="2914">
                  <c:v>6</c:v>
                </c:pt>
                <c:pt idx="2915">
                  <c:v>6</c:v>
                </c:pt>
                <c:pt idx="2916">
                  <c:v>6</c:v>
                </c:pt>
                <c:pt idx="2917">
                  <c:v>6</c:v>
                </c:pt>
                <c:pt idx="2918">
                  <c:v>6</c:v>
                </c:pt>
                <c:pt idx="2919">
                  <c:v>6</c:v>
                </c:pt>
                <c:pt idx="2920">
                  <c:v>6</c:v>
                </c:pt>
                <c:pt idx="2921">
                  <c:v>6</c:v>
                </c:pt>
                <c:pt idx="2922">
                  <c:v>6</c:v>
                </c:pt>
                <c:pt idx="2923">
                  <c:v>6</c:v>
                </c:pt>
                <c:pt idx="2924">
                  <c:v>6</c:v>
                </c:pt>
                <c:pt idx="2925">
                  <c:v>6</c:v>
                </c:pt>
                <c:pt idx="2926">
                  <c:v>6</c:v>
                </c:pt>
                <c:pt idx="2927">
                  <c:v>6</c:v>
                </c:pt>
                <c:pt idx="2928">
                  <c:v>6</c:v>
                </c:pt>
                <c:pt idx="2929">
                  <c:v>6</c:v>
                </c:pt>
                <c:pt idx="2930">
                  <c:v>6</c:v>
                </c:pt>
                <c:pt idx="2931">
                  <c:v>6</c:v>
                </c:pt>
                <c:pt idx="2932">
                  <c:v>6</c:v>
                </c:pt>
                <c:pt idx="2933">
                  <c:v>6</c:v>
                </c:pt>
                <c:pt idx="2934">
                  <c:v>6</c:v>
                </c:pt>
                <c:pt idx="2935">
                  <c:v>6</c:v>
                </c:pt>
                <c:pt idx="2936">
                  <c:v>6</c:v>
                </c:pt>
                <c:pt idx="2937">
                  <c:v>6</c:v>
                </c:pt>
                <c:pt idx="2938">
                  <c:v>6</c:v>
                </c:pt>
                <c:pt idx="2939">
                  <c:v>6</c:v>
                </c:pt>
                <c:pt idx="2940">
                  <c:v>6</c:v>
                </c:pt>
                <c:pt idx="2941">
                  <c:v>6</c:v>
                </c:pt>
                <c:pt idx="2942">
                  <c:v>6</c:v>
                </c:pt>
                <c:pt idx="2943">
                  <c:v>6</c:v>
                </c:pt>
                <c:pt idx="2944">
                  <c:v>6</c:v>
                </c:pt>
                <c:pt idx="2945">
                  <c:v>6</c:v>
                </c:pt>
                <c:pt idx="2946">
                  <c:v>6</c:v>
                </c:pt>
                <c:pt idx="2947">
                  <c:v>6</c:v>
                </c:pt>
                <c:pt idx="2948">
                  <c:v>6</c:v>
                </c:pt>
                <c:pt idx="2949">
                  <c:v>6</c:v>
                </c:pt>
                <c:pt idx="2950">
                  <c:v>6</c:v>
                </c:pt>
                <c:pt idx="2951">
                  <c:v>6</c:v>
                </c:pt>
                <c:pt idx="2952">
                  <c:v>6</c:v>
                </c:pt>
                <c:pt idx="2953">
                  <c:v>6</c:v>
                </c:pt>
                <c:pt idx="2954">
                  <c:v>6</c:v>
                </c:pt>
                <c:pt idx="2955">
                  <c:v>6</c:v>
                </c:pt>
                <c:pt idx="2956">
                  <c:v>6</c:v>
                </c:pt>
                <c:pt idx="2957">
                  <c:v>6</c:v>
                </c:pt>
                <c:pt idx="2958">
                  <c:v>6</c:v>
                </c:pt>
                <c:pt idx="2959">
                  <c:v>6</c:v>
                </c:pt>
                <c:pt idx="2960">
                  <c:v>6</c:v>
                </c:pt>
                <c:pt idx="2961">
                  <c:v>6</c:v>
                </c:pt>
                <c:pt idx="2962">
                  <c:v>6</c:v>
                </c:pt>
                <c:pt idx="2963">
                  <c:v>6</c:v>
                </c:pt>
                <c:pt idx="2964">
                  <c:v>6</c:v>
                </c:pt>
                <c:pt idx="2965">
                  <c:v>6</c:v>
                </c:pt>
                <c:pt idx="2966">
                  <c:v>6</c:v>
                </c:pt>
                <c:pt idx="2967">
                  <c:v>6</c:v>
                </c:pt>
                <c:pt idx="2968">
                  <c:v>6</c:v>
                </c:pt>
                <c:pt idx="2969">
                  <c:v>6</c:v>
                </c:pt>
                <c:pt idx="2970">
                  <c:v>6</c:v>
                </c:pt>
                <c:pt idx="2971">
                  <c:v>6</c:v>
                </c:pt>
                <c:pt idx="2972">
                  <c:v>6</c:v>
                </c:pt>
                <c:pt idx="2973">
                  <c:v>6</c:v>
                </c:pt>
                <c:pt idx="2974">
                  <c:v>6</c:v>
                </c:pt>
                <c:pt idx="2975">
                  <c:v>6</c:v>
                </c:pt>
                <c:pt idx="3080">
                  <c:v>7</c:v>
                </c:pt>
                <c:pt idx="3081">
                  <c:v>7</c:v>
                </c:pt>
                <c:pt idx="3082">
                  <c:v>7</c:v>
                </c:pt>
                <c:pt idx="3083">
                  <c:v>7</c:v>
                </c:pt>
                <c:pt idx="3084">
                  <c:v>7</c:v>
                </c:pt>
                <c:pt idx="3085">
                  <c:v>7</c:v>
                </c:pt>
                <c:pt idx="3086">
                  <c:v>7</c:v>
                </c:pt>
                <c:pt idx="3087">
                  <c:v>7</c:v>
                </c:pt>
                <c:pt idx="3088">
                  <c:v>7</c:v>
                </c:pt>
                <c:pt idx="3089">
                  <c:v>7</c:v>
                </c:pt>
                <c:pt idx="3090">
                  <c:v>7</c:v>
                </c:pt>
                <c:pt idx="3091">
                  <c:v>7</c:v>
                </c:pt>
                <c:pt idx="3092">
                  <c:v>7</c:v>
                </c:pt>
                <c:pt idx="3093">
                  <c:v>7</c:v>
                </c:pt>
                <c:pt idx="3094">
                  <c:v>7</c:v>
                </c:pt>
                <c:pt idx="3095">
                  <c:v>7</c:v>
                </c:pt>
                <c:pt idx="3096">
                  <c:v>7</c:v>
                </c:pt>
                <c:pt idx="3097">
                  <c:v>7</c:v>
                </c:pt>
                <c:pt idx="3098">
                  <c:v>7</c:v>
                </c:pt>
                <c:pt idx="3099">
                  <c:v>7</c:v>
                </c:pt>
                <c:pt idx="3100">
                  <c:v>7</c:v>
                </c:pt>
                <c:pt idx="3101">
                  <c:v>7</c:v>
                </c:pt>
                <c:pt idx="3102">
                  <c:v>7</c:v>
                </c:pt>
                <c:pt idx="3298">
                  <c:v>8</c:v>
                </c:pt>
                <c:pt idx="3299">
                  <c:v>8</c:v>
                </c:pt>
                <c:pt idx="3300">
                  <c:v>8</c:v>
                </c:pt>
                <c:pt idx="3301">
                  <c:v>8</c:v>
                </c:pt>
                <c:pt idx="3302">
                  <c:v>8</c:v>
                </c:pt>
                <c:pt idx="3303">
                  <c:v>8</c:v>
                </c:pt>
                <c:pt idx="3304">
                  <c:v>8</c:v>
                </c:pt>
                <c:pt idx="3305">
                  <c:v>8</c:v>
                </c:pt>
                <c:pt idx="3306">
                  <c:v>8</c:v>
                </c:pt>
                <c:pt idx="3307">
                  <c:v>8</c:v>
                </c:pt>
                <c:pt idx="3308">
                  <c:v>8</c:v>
                </c:pt>
                <c:pt idx="3309">
                  <c:v>8</c:v>
                </c:pt>
                <c:pt idx="3310">
                  <c:v>8</c:v>
                </c:pt>
                <c:pt idx="3311">
                  <c:v>8</c:v>
                </c:pt>
                <c:pt idx="3312">
                  <c:v>8</c:v>
                </c:pt>
                <c:pt idx="3313">
                  <c:v>8</c:v>
                </c:pt>
                <c:pt idx="3314">
                  <c:v>8</c:v>
                </c:pt>
                <c:pt idx="3315">
                  <c:v>8</c:v>
                </c:pt>
                <c:pt idx="3316">
                  <c:v>8</c:v>
                </c:pt>
                <c:pt idx="3317">
                  <c:v>8</c:v>
                </c:pt>
                <c:pt idx="3318">
                  <c:v>8</c:v>
                </c:pt>
                <c:pt idx="3319">
                  <c:v>8</c:v>
                </c:pt>
                <c:pt idx="3320">
                  <c:v>8</c:v>
                </c:pt>
                <c:pt idx="3321">
                  <c:v>8</c:v>
                </c:pt>
                <c:pt idx="3322">
                  <c:v>8</c:v>
                </c:pt>
                <c:pt idx="3323">
                  <c:v>8</c:v>
                </c:pt>
                <c:pt idx="3324">
                  <c:v>8</c:v>
                </c:pt>
                <c:pt idx="3325">
                  <c:v>8</c:v>
                </c:pt>
                <c:pt idx="3326">
                  <c:v>8</c:v>
                </c:pt>
                <c:pt idx="3327">
                  <c:v>8</c:v>
                </c:pt>
                <c:pt idx="3328">
                  <c:v>8</c:v>
                </c:pt>
                <c:pt idx="3329">
                  <c:v>8</c:v>
                </c:pt>
                <c:pt idx="3330">
                  <c:v>8</c:v>
                </c:pt>
                <c:pt idx="3331">
                  <c:v>8</c:v>
                </c:pt>
                <c:pt idx="3332">
                  <c:v>8</c:v>
                </c:pt>
                <c:pt idx="3333">
                  <c:v>8</c:v>
                </c:pt>
                <c:pt idx="3334">
                  <c:v>8</c:v>
                </c:pt>
                <c:pt idx="3335">
                  <c:v>8</c:v>
                </c:pt>
                <c:pt idx="3336">
                  <c:v>8</c:v>
                </c:pt>
                <c:pt idx="3337">
                  <c:v>8</c:v>
                </c:pt>
                <c:pt idx="3338">
                  <c:v>8</c:v>
                </c:pt>
                <c:pt idx="3339">
                  <c:v>8</c:v>
                </c:pt>
                <c:pt idx="3340">
                  <c:v>8</c:v>
                </c:pt>
                <c:pt idx="3341">
                  <c:v>8</c:v>
                </c:pt>
                <c:pt idx="3342">
                  <c:v>8</c:v>
                </c:pt>
                <c:pt idx="3343">
                  <c:v>8</c:v>
                </c:pt>
                <c:pt idx="3344">
                  <c:v>8</c:v>
                </c:pt>
                <c:pt idx="3345">
                  <c:v>8</c:v>
                </c:pt>
                <c:pt idx="3346">
                  <c:v>8</c:v>
                </c:pt>
                <c:pt idx="3347">
                  <c:v>8</c:v>
                </c:pt>
                <c:pt idx="3348">
                  <c:v>8</c:v>
                </c:pt>
                <c:pt idx="3349">
                  <c:v>8</c:v>
                </c:pt>
                <c:pt idx="3350">
                  <c:v>8</c:v>
                </c:pt>
                <c:pt idx="3351">
                  <c:v>8</c:v>
                </c:pt>
                <c:pt idx="3352">
                  <c:v>8</c:v>
                </c:pt>
                <c:pt idx="3353">
                  <c:v>8</c:v>
                </c:pt>
                <c:pt idx="3354">
                  <c:v>8</c:v>
                </c:pt>
                <c:pt idx="3355">
                  <c:v>8</c:v>
                </c:pt>
                <c:pt idx="3356">
                  <c:v>8</c:v>
                </c:pt>
                <c:pt idx="3357">
                  <c:v>8</c:v>
                </c:pt>
                <c:pt idx="3358">
                  <c:v>8</c:v>
                </c:pt>
                <c:pt idx="3359">
                  <c:v>8</c:v>
                </c:pt>
                <c:pt idx="3360">
                  <c:v>8</c:v>
                </c:pt>
                <c:pt idx="3361">
                  <c:v>8</c:v>
                </c:pt>
                <c:pt idx="3362">
                  <c:v>8</c:v>
                </c:pt>
                <c:pt idx="3363">
                  <c:v>8</c:v>
                </c:pt>
                <c:pt idx="3364">
                  <c:v>8</c:v>
                </c:pt>
                <c:pt idx="3805">
                  <c:v>9</c:v>
                </c:pt>
                <c:pt idx="3806">
                  <c:v>9</c:v>
                </c:pt>
                <c:pt idx="3807">
                  <c:v>9</c:v>
                </c:pt>
                <c:pt idx="3808">
                  <c:v>9</c:v>
                </c:pt>
                <c:pt idx="3809">
                  <c:v>9</c:v>
                </c:pt>
                <c:pt idx="3810">
                  <c:v>9</c:v>
                </c:pt>
                <c:pt idx="3811">
                  <c:v>9</c:v>
                </c:pt>
                <c:pt idx="3812">
                  <c:v>9</c:v>
                </c:pt>
                <c:pt idx="3813">
                  <c:v>9</c:v>
                </c:pt>
                <c:pt idx="3814">
                  <c:v>9</c:v>
                </c:pt>
                <c:pt idx="3815">
                  <c:v>9</c:v>
                </c:pt>
                <c:pt idx="3816">
                  <c:v>9</c:v>
                </c:pt>
                <c:pt idx="3817">
                  <c:v>9</c:v>
                </c:pt>
                <c:pt idx="3880">
                  <c:v>10</c:v>
                </c:pt>
                <c:pt idx="3881">
                  <c:v>10</c:v>
                </c:pt>
                <c:pt idx="3882">
                  <c:v>10</c:v>
                </c:pt>
                <c:pt idx="3883">
                  <c:v>10</c:v>
                </c:pt>
                <c:pt idx="3884">
                  <c:v>10</c:v>
                </c:pt>
                <c:pt idx="3885">
                  <c:v>10</c:v>
                </c:pt>
                <c:pt idx="3886">
                  <c:v>10</c:v>
                </c:pt>
                <c:pt idx="3887">
                  <c:v>10</c:v>
                </c:pt>
                <c:pt idx="3888">
                  <c:v>10</c:v>
                </c:pt>
                <c:pt idx="3889">
                  <c:v>10</c:v>
                </c:pt>
                <c:pt idx="3890">
                  <c:v>10</c:v>
                </c:pt>
                <c:pt idx="3891">
                  <c:v>10</c:v>
                </c:pt>
                <c:pt idx="3892">
                  <c:v>10</c:v>
                </c:pt>
                <c:pt idx="3893">
                  <c:v>10</c:v>
                </c:pt>
                <c:pt idx="3894">
                  <c:v>10</c:v>
                </c:pt>
                <c:pt idx="3895">
                  <c:v>10</c:v>
                </c:pt>
                <c:pt idx="3896">
                  <c:v>10</c:v>
                </c:pt>
                <c:pt idx="3897">
                  <c:v>10</c:v>
                </c:pt>
                <c:pt idx="3898">
                  <c:v>10</c:v>
                </c:pt>
                <c:pt idx="3899">
                  <c:v>10</c:v>
                </c:pt>
                <c:pt idx="3900">
                  <c:v>10</c:v>
                </c:pt>
                <c:pt idx="3901">
                  <c:v>10</c:v>
                </c:pt>
                <c:pt idx="3902">
                  <c:v>10</c:v>
                </c:pt>
                <c:pt idx="3903">
                  <c:v>10</c:v>
                </c:pt>
                <c:pt idx="4304">
                  <c:v>11</c:v>
                </c:pt>
                <c:pt idx="4305">
                  <c:v>11</c:v>
                </c:pt>
                <c:pt idx="4306">
                  <c:v>11</c:v>
                </c:pt>
                <c:pt idx="4307">
                  <c:v>11</c:v>
                </c:pt>
                <c:pt idx="4308">
                  <c:v>11</c:v>
                </c:pt>
                <c:pt idx="4309">
                  <c:v>11</c:v>
                </c:pt>
                <c:pt idx="4310">
                  <c:v>11</c:v>
                </c:pt>
                <c:pt idx="4311">
                  <c:v>11</c:v>
                </c:pt>
                <c:pt idx="4312">
                  <c:v>11</c:v>
                </c:pt>
                <c:pt idx="4313">
                  <c:v>11</c:v>
                </c:pt>
                <c:pt idx="4314">
                  <c:v>11</c:v>
                </c:pt>
                <c:pt idx="4315">
                  <c:v>11</c:v>
                </c:pt>
                <c:pt idx="4316">
                  <c:v>11</c:v>
                </c:pt>
                <c:pt idx="4317">
                  <c:v>11</c:v>
                </c:pt>
                <c:pt idx="4318">
                  <c:v>11</c:v>
                </c:pt>
                <c:pt idx="4319">
                  <c:v>11</c:v>
                </c:pt>
                <c:pt idx="4320">
                  <c:v>11</c:v>
                </c:pt>
                <c:pt idx="4321">
                  <c:v>11</c:v>
                </c:pt>
                <c:pt idx="4322">
                  <c:v>11</c:v>
                </c:pt>
                <c:pt idx="4323">
                  <c:v>11</c:v>
                </c:pt>
                <c:pt idx="4324">
                  <c:v>11</c:v>
                </c:pt>
                <c:pt idx="4325">
                  <c:v>11</c:v>
                </c:pt>
                <c:pt idx="4326">
                  <c:v>11</c:v>
                </c:pt>
                <c:pt idx="4640">
                  <c:v>12</c:v>
                </c:pt>
                <c:pt idx="4641">
                  <c:v>12</c:v>
                </c:pt>
                <c:pt idx="4642">
                  <c:v>12</c:v>
                </c:pt>
                <c:pt idx="4643">
                  <c:v>12</c:v>
                </c:pt>
                <c:pt idx="4644">
                  <c:v>12</c:v>
                </c:pt>
                <c:pt idx="4645">
                  <c:v>12</c:v>
                </c:pt>
                <c:pt idx="4646">
                  <c:v>12</c:v>
                </c:pt>
                <c:pt idx="4647">
                  <c:v>12</c:v>
                </c:pt>
                <c:pt idx="4648">
                  <c:v>12</c:v>
                </c:pt>
                <c:pt idx="4649">
                  <c:v>12</c:v>
                </c:pt>
                <c:pt idx="4650">
                  <c:v>12</c:v>
                </c:pt>
                <c:pt idx="4651">
                  <c:v>12</c:v>
                </c:pt>
                <c:pt idx="4652">
                  <c:v>12</c:v>
                </c:pt>
                <c:pt idx="4653">
                  <c:v>12</c:v>
                </c:pt>
                <c:pt idx="4654">
                  <c:v>12</c:v>
                </c:pt>
                <c:pt idx="4655">
                  <c:v>12</c:v>
                </c:pt>
                <c:pt idx="4656">
                  <c:v>12</c:v>
                </c:pt>
                <c:pt idx="4657">
                  <c:v>12</c:v>
                </c:pt>
                <c:pt idx="4658">
                  <c:v>12</c:v>
                </c:pt>
                <c:pt idx="4659">
                  <c:v>12</c:v>
                </c:pt>
                <c:pt idx="4660">
                  <c:v>12</c:v>
                </c:pt>
                <c:pt idx="4661">
                  <c:v>12</c:v>
                </c:pt>
                <c:pt idx="4662">
                  <c:v>12</c:v>
                </c:pt>
                <c:pt idx="4663">
                  <c:v>12</c:v>
                </c:pt>
                <c:pt idx="4664">
                  <c:v>12</c:v>
                </c:pt>
                <c:pt idx="4665">
                  <c:v>12</c:v>
                </c:pt>
                <c:pt idx="4666">
                  <c:v>12</c:v>
                </c:pt>
                <c:pt idx="4667">
                  <c:v>12</c:v>
                </c:pt>
                <c:pt idx="4668">
                  <c:v>12</c:v>
                </c:pt>
                <c:pt idx="4669">
                  <c:v>12</c:v>
                </c:pt>
                <c:pt idx="4670">
                  <c:v>12</c:v>
                </c:pt>
                <c:pt idx="4671">
                  <c:v>12</c:v>
                </c:pt>
                <c:pt idx="4672">
                  <c:v>12</c:v>
                </c:pt>
                <c:pt idx="4673">
                  <c:v>12</c:v>
                </c:pt>
                <c:pt idx="4674">
                  <c:v>12</c:v>
                </c:pt>
                <c:pt idx="4675">
                  <c:v>12</c:v>
                </c:pt>
                <c:pt idx="4676">
                  <c:v>12</c:v>
                </c:pt>
                <c:pt idx="4677">
                  <c:v>12</c:v>
                </c:pt>
                <c:pt idx="4678">
                  <c:v>12</c:v>
                </c:pt>
                <c:pt idx="4679">
                  <c:v>12</c:v>
                </c:pt>
                <c:pt idx="4680">
                  <c:v>12</c:v>
                </c:pt>
                <c:pt idx="4681">
                  <c:v>12</c:v>
                </c:pt>
                <c:pt idx="4682">
                  <c:v>12</c:v>
                </c:pt>
                <c:pt idx="4683">
                  <c:v>12</c:v>
                </c:pt>
                <c:pt idx="4684">
                  <c:v>12</c:v>
                </c:pt>
                <c:pt idx="4685">
                  <c:v>12</c:v>
                </c:pt>
                <c:pt idx="4686">
                  <c:v>12</c:v>
                </c:pt>
                <c:pt idx="4687">
                  <c:v>12</c:v>
                </c:pt>
                <c:pt idx="4693">
                  <c:v>13</c:v>
                </c:pt>
                <c:pt idx="4694">
                  <c:v>13</c:v>
                </c:pt>
                <c:pt idx="4695">
                  <c:v>13</c:v>
                </c:pt>
                <c:pt idx="4696">
                  <c:v>13</c:v>
                </c:pt>
                <c:pt idx="4697">
                  <c:v>13</c:v>
                </c:pt>
                <c:pt idx="4698">
                  <c:v>13</c:v>
                </c:pt>
                <c:pt idx="4699">
                  <c:v>13</c:v>
                </c:pt>
                <c:pt idx="4700">
                  <c:v>13</c:v>
                </c:pt>
                <c:pt idx="4701">
                  <c:v>13</c:v>
                </c:pt>
                <c:pt idx="4702">
                  <c:v>13</c:v>
                </c:pt>
                <c:pt idx="4703">
                  <c:v>13</c:v>
                </c:pt>
                <c:pt idx="4704">
                  <c:v>13</c:v>
                </c:pt>
                <c:pt idx="4705">
                  <c:v>13</c:v>
                </c:pt>
                <c:pt idx="5176">
                  <c:v>14</c:v>
                </c:pt>
                <c:pt idx="5177">
                  <c:v>14</c:v>
                </c:pt>
                <c:pt idx="5178">
                  <c:v>14</c:v>
                </c:pt>
                <c:pt idx="5179">
                  <c:v>14</c:v>
                </c:pt>
                <c:pt idx="5180">
                  <c:v>14</c:v>
                </c:pt>
                <c:pt idx="5181">
                  <c:v>14</c:v>
                </c:pt>
                <c:pt idx="5182">
                  <c:v>14</c:v>
                </c:pt>
                <c:pt idx="5183">
                  <c:v>14</c:v>
                </c:pt>
                <c:pt idx="5184">
                  <c:v>14</c:v>
                </c:pt>
                <c:pt idx="5185">
                  <c:v>14</c:v>
                </c:pt>
                <c:pt idx="5186">
                  <c:v>14</c:v>
                </c:pt>
                <c:pt idx="5187">
                  <c:v>14</c:v>
                </c:pt>
                <c:pt idx="5188">
                  <c:v>14</c:v>
                </c:pt>
                <c:pt idx="5189">
                  <c:v>14</c:v>
                </c:pt>
                <c:pt idx="5190">
                  <c:v>14</c:v>
                </c:pt>
                <c:pt idx="5191">
                  <c:v>14</c:v>
                </c:pt>
                <c:pt idx="5192">
                  <c:v>14</c:v>
                </c:pt>
                <c:pt idx="5193">
                  <c:v>14</c:v>
                </c:pt>
                <c:pt idx="5194">
                  <c:v>14</c:v>
                </c:pt>
                <c:pt idx="5195">
                  <c:v>14</c:v>
                </c:pt>
                <c:pt idx="5196">
                  <c:v>14</c:v>
                </c:pt>
                <c:pt idx="5197">
                  <c:v>14</c:v>
                </c:pt>
                <c:pt idx="5198">
                  <c:v>14</c:v>
                </c:pt>
                <c:pt idx="5199">
                  <c:v>14</c:v>
                </c:pt>
                <c:pt idx="5200">
                  <c:v>14</c:v>
                </c:pt>
                <c:pt idx="5201">
                  <c:v>14</c:v>
                </c:pt>
                <c:pt idx="5202">
                  <c:v>14</c:v>
                </c:pt>
                <c:pt idx="5203">
                  <c:v>14</c:v>
                </c:pt>
                <c:pt idx="5204">
                  <c:v>14</c:v>
                </c:pt>
                <c:pt idx="5205">
                  <c:v>14</c:v>
                </c:pt>
                <c:pt idx="5206">
                  <c:v>14</c:v>
                </c:pt>
                <c:pt idx="5207">
                  <c:v>14</c:v>
                </c:pt>
                <c:pt idx="5208">
                  <c:v>14</c:v>
                </c:pt>
                <c:pt idx="5209">
                  <c:v>14</c:v>
                </c:pt>
                <c:pt idx="5210">
                  <c:v>14</c:v>
                </c:pt>
                <c:pt idx="5211">
                  <c:v>14</c:v>
                </c:pt>
                <c:pt idx="5212">
                  <c:v>14</c:v>
                </c:pt>
                <c:pt idx="5250">
                  <c:v>15</c:v>
                </c:pt>
                <c:pt idx="5251">
                  <c:v>15</c:v>
                </c:pt>
                <c:pt idx="5252">
                  <c:v>15</c:v>
                </c:pt>
                <c:pt idx="5253">
                  <c:v>15</c:v>
                </c:pt>
                <c:pt idx="5254">
                  <c:v>15</c:v>
                </c:pt>
                <c:pt idx="5255">
                  <c:v>15</c:v>
                </c:pt>
                <c:pt idx="5256">
                  <c:v>15</c:v>
                </c:pt>
                <c:pt idx="5359">
                  <c:v>16</c:v>
                </c:pt>
                <c:pt idx="5360">
                  <c:v>16</c:v>
                </c:pt>
                <c:pt idx="5361">
                  <c:v>16</c:v>
                </c:pt>
                <c:pt idx="5362">
                  <c:v>16</c:v>
                </c:pt>
                <c:pt idx="5363">
                  <c:v>16</c:v>
                </c:pt>
                <c:pt idx="5364">
                  <c:v>16</c:v>
                </c:pt>
                <c:pt idx="5365">
                  <c:v>16</c:v>
                </c:pt>
                <c:pt idx="5366">
                  <c:v>16</c:v>
                </c:pt>
                <c:pt idx="5367">
                  <c:v>16</c:v>
                </c:pt>
                <c:pt idx="5368">
                  <c:v>16</c:v>
                </c:pt>
                <c:pt idx="5369">
                  <c:v>16</c:v>
                </c:pt>
                <c:pt idx="5370">
                  <c:v>16</c:v>
                </c:pt>
                <c:pt idx="5371">
                  <c:v>16</c:v>
                </c:pt>
                <c:pt idx="5372">
                  <c:v>16</c:v>
                </c:pt>
                <c:pt idx="5381">
                  <c:v>17</c:v>
                </c:pt>
                <c:pt idx="5382">
                  <c:v>17</c:v>
                </c:pt>
                <c:pt idx="5383">
                  <c:v>17</c:v>
                </c:pt>
                <c:pt idx="5384">
                  <c:v>17</c:v>
                </c:pt>
                <c:pt idx="5385">
                  <c:v>17</c:v>
                </c:pt>
                <c:pt idx="5386">
                  <c:v>17</c:v>
                </c:pt>
                <c:pt idx="5387">
                  <c:v>17</c:v>
                </c:pt>
                <c:pt idx="5388">
                  <c:v>17</c:v>
                </c:pt>
                <c:pt idx="5389">
                  <c:v>17</c:v>
                </c:pt>
                <c:pt idx="5390">
                  <c:v>17</c:v>
                </c:pt>
                <c:pt idx="5391">
                  <c:v>17</c:v>
                </c:pt>
                <c:pt idx="5392">
                  <c:v>17</c:v>
                </c:pt>
                <c:pt idx="5393">
                  <c:v>17</c:v>
                </c:pt>
                <c:pt idx="5394">
                  <c:v>17</c:v>
                </c:pt>
                <c:pt idx="5395">
                  <c:v>17</c:v>
                </c:pt>
                <c:pt idx="5396">
                  <c:v>17</c:v>
                </c:pt>
                <c:pt idx="5397">
                  <c:v>17</c:v>
                </c:pt>
                <c:pt idx="5398">
                  <c:v>17</c:v>
                </c:pt>
                <c:pt idx="5399">
                  <c:v>17</c:v>
                </c:pt>
                <c:pt idx="5400">
                  <c:v>17</c:v>
                </c:pt>
                <c:pt idx="5401">
                  <c:v>17</c:v>
                </c:pt>
                <c:pt idx="5402">
                  <c:v>17</c:v>
                </c:pt>
                <c:pt idx="5403">
                  <c:v>17</c:v>
                </c:pt>
                <c:pt idx="5404">
                  <c:v>17</c:v>
                </c:pt>
                <c:pt idx="5405">
                  <c:v>17</c:v>
                </c:pt>
                <c:pt idx="5406">
                  <c:v>17</c:v>
                </c:pt>
                <c:pt idx="5407">
                  <c:v>17</c:v>
                </c:pt>
                <c:pt idx="5408">
                  <c:v>17</c:v>
                </c:pt>
                <c:pt idx="5409">
                  <c:v>17</c:v>
                </c:pt>
                <c:pt idx="5410">
                  <c:v>17</c:v>
                </c:pt>
                <c:pt idx="5411">
                  <c:v>17</c:v>
                </c:pt>
                <c:pt idx="5412">
                  <c:v>17</c:v>
                </c:pt>
                <c:pt idx="5413">
                  <c:v>17</c:v>
                </c:pt>
                <c:pt idx="5414">
                  <c:v>17</c:v>
                </c:pt>
                <c:pt idx="5902">
                  <c:v>18</c:v>
                </c:pt>
                <c:pt idx="5903">
                  <c:v>18</c:v>
                </c:pt>
                <c:pt idx="5904">
                  <c:v>18</c:v>
                </c:pt>
                <c:pt idx="5905">
                  <c:v>18</c:v>
                </c:pt>
                <c:pt idx="5906">
                  <c:v>18</c:v>
                </c:pt>
                <c:pt idx="5907">
                  <c:v>18</c:v>
                </c:pt>
                <c:pt idx="5908">
                  <c:v>18</c:v>
                </c:pt>
                <c:pt idx="5909">
                  <c:v>18</c:v>
                </c:pt>
                <c:pt idx="5910">
                  <c:v>18</c:v>
                </c:pt>
                <c:pt idx="5911">
                  <c:v>18</c:v>
                </c:pt>
                <c:pt idx="5912">
                  <c:v>18</c:v>
                </c:pt>
                <c:pt idx="5913">
                  <c:v>18</c:v>
                </c:pt>
                <c:pt idx="5914">
                  <c:v>18</c:v>
                </c:pt>
                <c:pt idx="5915">
                  <c:v>18</c:v>
                </c:pt>
                <c:pt idx="5916">
                  <c:v>18</c:v>
                </c:pt>
                <c:pt idx="5917">
                  <c:v>18</c:v>
                </c:pt>
                <c:pt idx="5918">
                  <c:v>18</c:v>
                </c:pt>
                <c:pt idx="5919">
                  <c:v>18</c:v>
                </c:pt>
                <c:pt idx="5920">
                  <c:v>18</c:v>
                </c:pt>
                <c:pt idx="5921">
                  <c:v>18</c:v>
                </c:pt>
                <c:pt idx="5922">
                  <c:v>18</c:v>
                </c:pt>
                <c:pt idx="5923">
                  <c:v>18</c:v>
                </c:pt>
                <c:pt idx="5924">
                  <c:v>18</c:v>
                </c:pt>
                <c:pt idx="5925">
                  <c:v>18</c:v>
                </c:pt>
                <c:pt idx="5926">
                  <c:v>18</c:v>
                </c:pt>
                <c:pt idx="5927">
                  <c:v>18</c:v>
                </c:pt>
                <c:pt idx="5928">
                  <c:v>18</c:v>
                </c:pt>
                <c:pt idx="5929">
                  <c:v>18</c:v>
                </c:pt>
                <c:pt idx="5930">
                  <c:v>18</c:v>
                </c:pt>
                <c:pt idx="5931">
                  <c:v>18</c:v>
                </c:pt>
                <c:pt idx="5932">
                  <c:v>18</c:v>
                </c:pt>
                <c:pt idx="5933">
                  <c:v>18</c:v>
                </c:pt>
                <c:pt idx="5934">
                  <c:v>18</c:v>
                </c:pt>
                <c:pt idx="5935">
                  <c:v>18</c:v>
                </c:pt>
                <c:pt idx="5936">
                  <c:v>18</c:v>
                </c:pt>
                <c:pt idx="5937">
                  <c:v>18</c:v>
                </c:pt>
                <c:pt idx="5938">
                  <c:v>18</c:v>
                </c:pt>
                <c:pt idx="5939">
                  <c:v>18</c:v>
                </c:pt>
                <c:pt idx="5940">
                  <c:v>18</c:v>
                </c:pt>
                <c:pt idx="5941">
                  <c:v>18</c:v>
                </c:pt>
                <c:pt idx="5942">
                  <c:v>18</c:v>
                </c:pt>
                <c:pt idx="5943">
                  <c:v>18</c:v>
                </c:pt>
                <c:pt idx="5944">
                  <c:v>18</c:v>
                </c:pt>
                <c:pt idx="5945">
                  <c:v>18</c:v>
                </c:pt>
                <c:pt idx="5946">
                  <c:v>18</c:v>
                </c:pt>
                <c:pt idx="5947">
                  <c:v>18</c:v>
                </c:pt>
                <c:pt idx="5948">
                  <c:v>18</c:v>
                </c:pt>
                <c:pt idx="5949">
                  <c:v>18</c:v>
                </c:pt>
                <c:pt idx="5950">
                  <c:v>18</c:v>
                </c:pt>
                <c:pt idx="5951">
                  <c:v>18</c:v>
                </c:pt>
                <c:pt idx="5952">
                  <c:v>18</c:v>
                </c:pt>
                <c:pt idx="5953">
                  <c:v>18</c:v>
                </c:pt>
                <c:pt idx="5954">
                  <c:v>18</c:v>
                </c:pt>
                <c:pt idx="5955">
                  <c:v>18</c:v>
                </c:pt>
                <c:pt idx="5956">
                  <c:v>18</c:v>
                </c:pt>
                <c:pt idx="5957">
                  <c:v>18</c:v>
                </c:pt>
                <c:pt idx="5958">
                  <c:v>18</c:v>
                </c:pt>
                <c:pt idx="5959">
                  <c:v>18</c:v>
                </c:pt>
                <c:pt idx="5960">
                  <c:v>18</c:v>
                </c:pt>
                <c:pt idx="5961">
                  <c:v>18</c:v>
                </c:pt>
                <c:pt idx="5962">
                  <c:v>18</c:v>
                </c:pt>
                <c:pt idx="5963">
                  <c:v>18</c:v>
                </c:pt>
                <c:pt idx="5964">
                  <c:v>18</c:v>
                </c:pt>
                <c:pt idx="5965">
                  <c:v>18</c:v>
                </c:pt>
                <c:pt idx="5966">
                  <c:v>18</c:v>
                </c:pt>
                <c:pt idx="5967">
                  <c:v>18</c:v>
                </c:pt>
                <c:pt idx="5968">
                  <c:v>18</c:v>
                </c:pt>
                <c:pt idx="5969">
                  <c:v>18</c:v>
                </c:pt>
                <c:pt idx="5970">
                  <c:v>18</c:v>
                </c:pt>
                <c:pt idx="5971">
                  <c:v>18</c:v>
                </c:pt>
                <c:pt idx="5972">
                  <c:v>18</c:v>
                </c:pt>
                <c:pt idx="5973">
                  <c:v>18</c:v>
                </c:pt>
                <c:pt idx="5974">
                  <c:v>18</c:v>
                </c:pt>
                <c:pt idx="5975">
                  <c:v>18</c:v>
                </c:pt>
                <c:pt idx="5976">
                  <c:v>18</c:v>
                </c:pt>
                <c:pt idx="5977">
                  <c:v>18</c:v>
                </c:pt>
                <c:pt idx="5978">
                  <c:v>18</c:v>
                </c:pt>
                <c:pt idx="5979">
                  <c:v>18</c:v>
                </c:pt>
                <c:pt idx="5980">
                  <c:v>18</c:v>
                </c:pt>
                <c:pt idx="5981">
                  <c:v>18</c:v>
                </c:pt>
                <c:pt idx="5982">
                  <c:v>18</c:v>
                </c:pt>
                <c:pt idx="5983">
                  <c:v>18</c:v>
                </c:pt>
                <c:pt idx="5984">
                  <c:v>18</c:v>
                </c:pt>
                <c:pt idx="5985">
                  <c:v>18</c:v>
                </c:pt>
                <c:pt idx="5986">
                  <c:v>18</c:v>
                </c:pt>
                <c:pt idx="5987">
                  <c:v>18</c:v>
                </c:pt>
                <c:pt idx="5988">
                  <c:v>18</c:v>
                </c:pt>
                <c:pt idx="5989">
                  <c:v>18</c:v>
                </c:pt>
                <c:pt idx="5990">
                  <c:v>18</c:v>
                </c:pt>
                <c:pt idx="5991">
                  <c:v>18</c:v>
                </c:pt>
                <c:pt idx="5992">
                  <c:v>18</c:v>
                </c:pt>
                <c:pt idx="5993">
                  <c:v>18</c:v>
                </c:pt>
                <c:pt idx="5994">
                  <c:v>18</c:v>
                </c:pt>
                <c:pt idx="5995">
                  <c:v>18</c:v>
                </c:pt>
                <c:pt idx="5996">
                  <c:v>18</c:v>
                </c:pt>
                <c:pt idx="5997">
                  <c:v>18</c:v>
                </c:pt>
                <c:pt idx="5998">
                  <c:v>18</c:v>
                </c:pt>
                <c:pt idx="5999">
                  <c:v>18</c:v>
                </c:pt>
                <c:pt idx="6000">
                  <c:v>18</c:v>
                </c:pt>
                <c:pt idx="6001">
                  <c:v>18</c:v>
                </c:pt>
                <c:pt idx="6002">
                  <c:v>18</c:v>
                </c:pt>
                <c:pt idx="6003">
                  <c:v>18</c:v>
                </c:pt>
                <c:pt idx="6004">
                  <c:v>18</c:v>
                </c:pt>
                <c:pt idx="6005">
                  <c:v>18</c:v>
                </c:pt>
                <c:pt idx="6006">
                  <c:v>18</c:v>
                </c:pt>
                <c:pt idx="6007">
                  <c:v>18</c:v>
                </c:pt>
                <c:pt idx="6008">
                  <c:v>18</c:v>
                </c:pt>
                <c:pt idx="6009">
                  <c:v>18</c:v>
                </c:pt>
                <c:pt idx="6010">
                  <c:v>18</c:v>
                </c:pt>
                <c:pt idx="6011">
                  <c:v>18</c:v>
                </c:pt>
                <c:pt idx="6012">
                  <c:v>18</c:v>
                </c:pt>
                <c:pt idx="6013">
                  <c:v>18</c:v>
                </c:pt>
                <c:pt idx="6014">
                  <c:v>18</c:v>
                </c:pt>
                <c:pt idx="6015">
                  <c:v>18</c:v>
                </c:pt>
                <c:pt idx="6016">
                  <c:v>18</c:v>
                </c:pt>
                <c:pt idx="6017">
                  <c:v>18</c:v>
                </c:pt>
                <c:pt idx="6018">
                  <c:v>18</c:v>
                </c:pt>
                <c:pt idx="6019">
                  <c:v>18</c:v>
                </c:pt>
                <c:pt idx="6020">
                  <c:v>18</c:v>
                </c:pt>
                <c:pt idx="6021">
                  <c:v>18</c:v>
                </c:pt>
                <c:pt idx="6022">
                  <c:v>18</c:v>
                </c:pt>
                <c:pt idx="6023">
                  <c:v>18</c:v>
                </c:pt>
                <c:pt idx="6024">
                  <c:v>18</c:v>
                </c:pt>
                <c:pt idx="6360">
                  <c:v>19</c:v>
                </c:pt>
                <c:pt idx="6361">
                  <c:v>19</c:v>
                </c:pt>
                <c:pt idx="6362">
                  <c:v>19</c:v>
                </c:pt>
                <c:pt idx="6363">
                  <c:v>19</c:v>
                </c:pt>
                <c:pt idx="6364">
                  <c:v>19</c:v>
                </c:pt>
                <c:pt idx="6365">
                  <c:v>19</c:v>
                </c:pt>
                <c:pt idx="6366">
                  <c:v>19</c:v>
                </c:pt>
                <c:pt idx="6367">
                  <c:v>19</c:v>
                </c:pt>
                <c:pt idx="6368">
                  <c:v>19</c:v>
                </c:pt>
                <c:pt idx="6369">
                  <c:v>19</c:v>
                </c:pt>
                <c:pt idx="6370">
                  <c:v>19</c:v>
                </c:pt>
                <c:pt idx="6371">
                  <c:v>19</c:v>
                </c:pt>
                <c:pt idx="6372">
                  <c:v>19</c:v>
                </c:pt>
                <c:pt idx="6373">
                  <c:v>19</c:v>
                </c:pt>
                <c:pt idx="6374">
                  <c:v>19</c:v>
                </c:pt>
                <c:pt idx="6375">
                  <c:v>19</c:v>
                </c:pt>
                <c:pt idx="6376">
                  <c:v>19</c:v>
                </c:pt>
                <c:pt idx="6377">
                  <c:v>19</c:v>
                </c:pt>
                <c:pt idx="6378">
                  <c:v>19</c:v>
                </c:pt>
                <c:pt idx="6379">
                  <c:v>19</c:v>
                </c:pt>
                <c:pt idx="6380">
                  <c:v>19</c:v>
                </c:pt>
                <c:pt idx="6381">
                  <c:v>19</c:v>
                </c:pt>
                <c:pt idx="6382">
                  <c:v>19</c:v>
                </c:pt>
                <c:pt idx="6383">
                  <c:v>19</c:v>
                </c:pt>
                <c:pt idx="6384">
                  <c:v>19</c:v>
                </c:pt>
                <c:pt idx="6610">
                  <c:v>20</c:v>
                </c:pt>
                <c:pt idx="6611">
                  <c:v>20</c:v>
                </c:pt>
                <c:pt idx="6612">
                  <c:v>20</c:v>
                </c:pt>
                <c:pt idx="6613">
                  <c:v>20</c:v>
                </c:pt>
                <c:pt idx="6614">
                  <c:v>20</c:v>
                </c:pt>
                <c:pt idx="6615">
                  <c:v>20</c:v>
                </c:pt>
                <c:pt idx="6616">
                  <c:v>20</c:v>
                </c:pt>
                <c:pt idx="6617">
                  <c:v>20</c:v>
                </c:pt>
                <c:pt idx="6618">
                  <c:v>20</c:v>
                </c:pt>
                <c:pt idx="6619">
                  <c:v>20</c:v>
                </c:pt>
                <c:pt idx="6681">
                  <c:v>21</c:v>
                </c:pt>
                <c:pt idx="6682">
                  <c:v>21</c:v>
                </c:pt>
                <c:pt idx="6683">
                  <c:v>21</c:v>
                </c:pt>
                <c:pt idx="6684">
                  <c:v>21</c:v>
                </c:pt>
                <c:pt idx="6685">
                  <c:v>21</c:v>
                </c:pt>
                <c:pt idx="6686">
                  <c:v>21</c:v>
                </c:pt>
                <c:pt idx="6687">
                  <c:v>21</c:v>
                </c:pt>
                <c:pt idx="6733">
                  <c:v>22</c:v>
                </c:pt>
                <c:pt idx="6734">
                  <c:v>22</c:v>
                </c:pt>
                <c:pt idx="6735">
                  <c:v>22</c:v>
                </c:pt>
                <c:pt idx="6736">
                  <c:v>22</c:v>
                </c:pt>
                <c:pt idx="6737">
                  <c:v>22</c:v>
                </c:pt>
                <c:pt idx="6738">
                  <c:v>22</c:v>
                </c:pt>
                <c:pt idx="6739">
                  <c:v>22</c:v>
                </c:pt>
                <c:pt idx="6740">
                  <c:v>22</c:v>
                </c:pt>
                <c:pt idx="6741">
                  <c:v>22</c:v>
                </c:pt>
                <c:pt idx="6742">
                  <c:v>22</c:v>
                </c:pt>
                <c:pt idx="6743">
                  <c:v>22</c:v>
                </c:pt>
                <c:pt idx="6744">
                  <c:v>22</c:v>
                </c:pt>
                <c:pt idx="6745">
                  <c:v>22</c:v>
                </c:pt>
                <c:pt idx="6746">
                  <c:v>22</c:v>
                </c:pt>
                <c:pt idx="6747">
                  <c:v>22</c:v>
                </c:pt>
                <c:pt idx="6748">
                  <c:v>22</c:v>
                </c:pt>
                <c:pt idx="6749">
                  <c:v>22</c:v>
                </c:pt>
                <c:pt idx="6750">
                  <c:v>22</c:v>
                </c:pt>
                <c:pt idx="6751">
                  <c:v>22</c:v>
                </c:pt>
                <c:pt idx="6752">
                  <c:v>22</c:v>
                </c:pt>
                <c:pt idx="6753">
                  <c:v>22</c:v>
                </c:pt>
                <c:pt idx="6754">
                  <c:v>22</c:v>
                </c:pt>
                <c:pt idx="6755">
                  <c:v>22</c:v>
                </c:pt>
                <c:pt idx="6756">
                  <c:v>22</c:v>
                </c:pt>
                <c:pt idx="6757">
                  <c:v>22</c:v>
                </c:pt>
                <c:pt idx="6758">
                  <c:v>22</c:v>
                </c:pt>
                <c:pt idx="6759">
                  <c:v>22</c:v>
                </c:pt>
                <c:pt idx="6760">
                  <c:v>22</c:v>
                </c:pt>
                <c:pt idx="6761">
                  <c:v>22</c:v>
                </c:pt>
                <c:pt idx="6762">
                  <c:v>22</c:v>
                </c:pt>
                <c:pt idx="6763">
                  <c:v>22</c:v>
                </c:pt>
                <c:pt idx="6764">
                  <c:v>22</c:v>
                </c:pt>
                <c:pt idx="6765">
                  <c:v>22</c:v>
                </c:pt>
                <c:pt idx="6766">
                  <c:v>22</c:v>
                </c:pt>
                <c:pt idx="6767">
                  <c:v>22</c:v>
                </c:pt>
                <c:pt idx="6768">
                  <c:v>22</c:v>
                </c:pt>
                <c:pt idx="6769">
                  <c:v>22</c:v>
                </c:pt>
                <c:pt idx="6770">
                  <c:v>22</c:v>
                </c:pt>
                <c:pt idx="6771">
                  <c:v>22</c:v>
                </c:pt>
                <c:pt idx="6772">
                  <c:v>22</c:v>
                </c:pt>
                <c:pt idx="677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9-416A-AB63-F6FB6D506E08}"/>
            </c:ext>
          </c:extLst>
        </c:ser>
        <c:ser>
          <c:idx val="1"/>
          <c:order val="1"/>
          <c:tx>
            <c:strRef>
              <c:f>transpose!$L$1</c:f>
              <c:strCache>
                <c:ptCount val="1"/>
                <c:pt idx="0">
                  <c:v>BE_ÁGASK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transpose!$L$2:$L$7627</c:f>
              <c:numCache>
                <c:formatCode>General</c:formatCode>
                <c:ptCount val="7626"/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154">
                  <c:v>7</c:v>
                </c:pt>
                <c:pt idx="2155">
                  <c:v>7</c:v>
                </c:pt>
                <c:pt idx="2156">
                  <c:v>7</c:v>
                </c:pt>
                <c:pt idx="2157">
                  <c:v>7</c:v>
                </c:pt>
                <c:pt idx="2158">
                  <c:v>7</c:v>
                </c:pt>
                <c:pt idx="2159">
                  <c:v>7</c:v>
                </c:pt>
                <c:pt idx="2160">
                  <c:v>7</c:v>
                </c:pt>
                <c:pt idx="2161">
                  <c:v>7</c:v>
                </c:pt>
                <c:pt idx="2162">
                  <c:v>7</c:v>
                </c:pt>
                <c:pt idx="2163">
                  <c:v>7</c:v>
                </c:pt>
                <c:pt idx="2164">
                  <c:v>7</c:v>
                </c:pt>
                <c:pt idx="2165">
                  <c:v>7</c:v>
                </c:pt>
                <c:pt idx="2166">
                  <c:v>7</c:v>
                </c:pt>
                <c:pt idx="2167">
                  <c:v>7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45">
                  <c:v>4</c:v>
                </c:pt>
                <c:pt idx="3146">
                  <c:v>4</c:v>
                </c:pt>
                <c:pt idx="3147">
                  <c:v>4</c:v>
                </c:pt>
                <c:pt idx="3148">
                  <c:v>4</c:v>
                </c:pt>
                <c:pt idx="3149">
                  <c:v>4</c:v>
                </c:pt>
                <c:pt idx="3150">
                  <c:v>4</c:v>
                </c:pt>
                <c:pt idx="3151">
                  <c:v>4</c:v>
                </c:pt>
                <c:pt idx="3152">
                  <c:v>4</c:v>
                </c:pt>
                <c:pt idx="3153">
                  <c:v>4</c:v>
                </c:pt>
                <c:pt idx="3154">
                  <c:v>4</c:v>
                </c:pt>
                <c:pt idx="3155">
                  <c:v>4</c:v>
                </c:pt>
                <c:pt idx="3156">
                  <c:v>4</c:v>
                </c:pt>
                <c:pt idx="3157">
                  <c:v>4</c:v>
                </c:pt>
                <c:pt idx="3158">
                  <c:v>4</c:v>
                </c:pt>
                <c:pt idx="3159">
                  <c:v>4</c:v>
                </c:pt>
                <c:pt idx="3160">
                  <c:v>4</c:v>
                </c:pt>
                <c:pt idx="3161">
                  <c:v>4</c:v>
                </c:pt>
                <c:pt idx="3162">
                  <c:v>4</c:v>
                </c:pt>
                <c:pt idx="4336">
                  <c:v>5</c:v>
                </c:pt>
                <c:pt idx="4337">
                  <c:v>5</c:v>
                </c:pt>
                <c:pt idx="4338">
                  <c:v>5</c:v>
                </c:pt>
                <c:pt idx="4339">
                  <c:v>5</c:v>
                </c:pt>
                <c:pt idx="4340">
                  <c:v>5</c:v>
                </c:pt>
                <c:pt idx="4341">
                  <c:v>5</c:v>
                </c:pt>
                <c:pt idx="4342">
                  <c:v>5</c:v>
                </c:pt>
                <c:pt idx="4343">
                  <c:v>5</c:v>
                </c:pt>
                <c:pt idx="4344">
                  <c:v>5</c:v>
                </c:pt>
                <c:pt idx="4345">
                  <c:v>5</c:v>
                </c:pt>
                <c:pt idx="4346">
                  <c:v>5</c:v>
                </c:pt>
                <c:pt idx="4347">
                  <c:v>5</c:v>
                </c:pt>
                <c:pt idx="4348">
                  <c:v>5</c:v>
                </c:pt>
                <c:pt idx="4349">
                  <c:v>5</c:v>
                </c:pt>
                <c:pt idx="4350">
                  <c:v>5</c:v>
                </c:pt>
                <c:pt idx="4351">
                  <c:v>5</c:v>
                </c:pt>
                <c:pt idx="4352">
                  <c:v>5</c:v>
                </c:pt>
                <c:pt idx="4353">
                  <c:v>5</c:v>
                </c:pt>
                <c:pt idx="4354">
                  <c:v>5</c:v>
                </c:pt>
                <c:pt idx="4355">
                  <c:v>5</c:v>
                </c:pt>
                <c:pt idx="4356">
                  <c:v>5</c:v>
                </c:pt>
                <c:pt idx="4357">
                  <c:v>5</c:v>
                </c:pt>
                <c:pt idx="4358">
                  <c:v>5</c:v>
                </c:pt>
                <c:pt idx="4359">
                  <c:v>5</c:v>
                </c:pt>
                <c:pt idx="4360">
                  <c:v>5</c:v>
                </c:pt>
                <c:pt idx="4361">
                  <c:v>5</c:v>
                </c:pt>
                <c:pt idx="4362">
                  <c:v>5</c:v>
                </c:pt>
                <c:pt idx="4363">
                  <c:v>5</c:v>
                </c:pt>
                <c:pt idx="4364">
                  <c:v>5</c:v>
                </c:pt>
                <c:pt idx="4365">
                  <c:v>5</c:v>
                </c:pt>
                <c:pt idx="4366">
                  <c:v>5</c:v>
                </c:pt>
                <c:pt idx="4367">
                  <c:v>5</c:v>
                </c:pt>
                <c:pt idx="4368">
                  <c:v>5</c:v>
                </c:pt>
                <c:pt idx="4369">
                  <c:v>5</c:v>
                </c:pt>
                <c:pt idx="4370">
                  <c:v>5</c:v>
                </c:pt>
                <c:pt idx="4371">
                  <c:v>5</c:v>
                </c:pt>
                <c:pt idx="4372">
                  <c:v>5</c:v>
                </c:pt>
                <c:pt idx="4373">
                  <c:v>5</c:v>
                </c:pt>
                <c:pt idx="4374">
                  <c:v>5</c:v>
                </c:pt>
                <c:pt idx="4375">
                  <c:v>5</c:v>
                </c:pt>
                <c:pt idx="4376">
                  <c:v>5</c:v>
                </c:pt>
                <c:pt idx="4377">
                  <c:v>5</c:v>
                </c:pt>
                <c:pt idx="4378">
                  <c:v>5</c:v>
                </c:pt>
                <c:pt idx="4379">
                  <c:v>5</c:v>
                </c:pt>
                <c:pt idx="4380">
                  <c:v>5</c:v>
                </c:pt>
                <c:pt idx="4381">
                  <c:v>5</c:v>
                </c:pt>
                <c:pt idx="4382">
                  <c:v>5</c:v>
                </c:pt>
                <c:pt idx="4383">
                  <c:v>5</c:v>
                </c:pt>
                <c:pt idx="4384">
                  <c:v>5</c:v>
                </c:pt>
                <c:pt idx="4385">
                  <c:v>5</c:v>
                </c:pt>
                <c:pt idx="4386">
                  <c:v>5</c:v>
                </c:pt>
                <c:pt idx="4387">
                  <c:v>5</c:v>
                </c:pt>
                <c:pt idx="4388">
                  <c:v>5</c:v>
                </c:pt>
                <c:pt idx="4389">
                  <c:v>5</c:v>
                </c:pt>
                <c:pt idx="4390">
                  <c:v>5</c:v>
                </c:pt>
                <c:pt idx="4391">
                  <c:v>5</c:v>
                </c:pt>
                <c:pt idx="4392">
                  <c:v>5</c:v>
                </c:pt>
                <c:pt idx="4393">
                  <c:v>5</c:v>
                </c:pt>
                <c:pt idx="4394">
                  <c:v>5</c:v>
                </c:pt>
                <c:pt idx="4395">
                  <c:v>5</c:v>
                </c:pt>
                <c:pt idx="4396">
                  <c:v>5</c:v>
                </c:pt>
                <c:pt idx="4397">
                  <c:v>5</c:v>
                </c:pt>
                <c:pt idx="4398">
                  <c:v>5</c:v>
                </c:pt>
                <c:pt idx="4399">
                  <c:v>5</c:v>
                </c:pt>
                <c:pt idx="4400">
                  <c:v>5</c:v>
                </c:pt>
                <c:pt idx="4401">
                  <c:v>5</c:v>
                </c:pt>
                <c:pt idx="4402">
                  <c:v>5</c:v>
                </c:pt>
                <c:pt idx="4403">
                  <c:v>5</c:v>
                </c:pt>
                <c:pt idx="4404">
                  <c:v>5</c:v>
                </c:pt>
                <c:pt idx="4405">
                  <c:v>5</c:v>
                </c:pt>
                <c:pt idx="4406">
                  <c:v>5</c:v>
                </c:pt>
                <c:pt idx="4407">
                  <c:v>5</c:v>
                </c:pt>
                <c:pt idx="4408">
                  <c:v>5</c:v>
                </c:pt>
                <c:pt idx="4409">
                  <c:v>5</c:v>
                </c:pt>
                <c:pt idx="4410">
                  <c:v>5</c:v>
                </c:pt>
                <c:pt idx="4411">
                  <c:v>5</c:v>
                </c:pt>
                <c:pt idx="4452">
                  <c:v>6</c:v>
                </c:pt>
                <c:pt idx="4453">
                  <c:v>6</c:v>
                </c:pt>
                <c:pt idx="4454">
                  <c:v>6</c:v>
                </c:pt>
                <c:pt idx="4455">
                  <c:v>6</c:v>
                </c:pt>
                <c:pt idx="4456">
                  <c:v>6</c:v>
                </c:pt>
                <c:pt idx="4457">
                  <c:v>6</c:v>
                </c:pt>
                <c:pt idx="4458">
                  <c:v>6</c:v>
                </c:pt>
                <c:pt idx="4459">
                  <c:v>6</c:v>
                </c:pt>
                <c:pt idx="4460">
                  <c:v>6</c:v>
                </c:pt>
                <c:pt idx="4461">
                  <c:v>6</c:v>
                </c:pt>
                <c:pt idx="4462">
                  <c:v>6</c:v>
                </c:pt>
                <c:pt idx="4463">
                  <c:v>6</c:v>
                </c:pt>
                <c:pt idx="4464">
                  <c:v>6</c:v>
                </c:pt>
                <c:pt idx="4465">
                  <c:v>6</c:v>
                </c:pt>
                <c:pt idx="4466">
                  <c:v>6</c:v>
                </c:pt>
                <c:pt idx="4467">
                  <c:v>6</c:v>
                </c:pt>
                <c:pt idx="4468">
                  <c:v>6</c:v>
                </c:pt>
                <c:pt idx="4469">
                  <c:v>6</c:v>
                </c:pt>
                <c:pt idx="4470">
                  <c:v>6</c:v>
                </c:pt>
                <c:pt idx="4471">
                  <c:v>6</c:v>
                </c:pt>
                <c:pt idx="4472">
                  <c:v>6</c:v>
                </c:pt>
                <c:pt idx="4473">
                  <c:v>6</c:v>
                </c:pt>
                <c:pt idx="4987">
                  <c:v>7</c:v>
                </c:pt>
                <c:pt idx="4988">
                  <c:v>7</c:v>
                </c:pt>
                <c:pt idx="4989">
                  <c:v>7</c:v>
                </c:pt>
                <c:pt idx="4990">
                  <c:v>7</c:v>
                </c:pt>
                <c:pt idx="4991">
                  <c:v>7</c:v>
                </c:pt>
                <c:pt idx="4992">
                  <c:v>7</c:v>
                </c:pt>
                <c:pt idx="4993">
                  <c:v>7</c:v>
                </c:pt>
                <c:pt idx="4994">
                  <c:v>7</c:v>
                </c:pt>
                <c:pt idx="4995">
                  <c:v>7</c:v>
                </c:pt>
                <c:pt idx="4996">
                  <c:v>7</c:v>
                </c:pt>
                <c:pt idx="4997">
                  <c:v>7</c:v>
                </c:pt>
                <c:pt idx="4998">
                  <c:v>7</c:v>
                </c:pt>
                <c:pt idx="4999">
                  <c:v>7</c:v>
                </c:pt>
                <c:pt idx="5000">
                  <c:v>7</c:v>
                </c:pt>
                <c:pt idx="6785">
                  <c:v>8</c:v>
                </c:pt>
                <c:pt idx="6786">
                  <c:v>8</c:v>
                </c:pt>
                <c:pt idx="6787">
                  <c:v>8</c:v>
                </c:pt>
                <c:pt idx="6788">
                  <c:v>8</c:v>
                </c:pt>
                <c:pt idx="6789">
                  <c:v>8</c:v>
                </c:pt>
                <c:pt idx="6790">
                  <c:v>8</c:v>
                </c:pt>
                <c:pt idx="6791">
                  <c:v>8</c:v>
                </c:pt>
                <c:pt idx="6792">
                  <c:v>8</c:v>
                </c:pt>
                <c:pt idx="6793">
                  <c:v>8</c:v>
                </c:pt>
                <c:pt idx="6794">
                  <c:v>8</c:v>
                </c:pt>
                <c:pt idx="6795">
                  <c:v>8</c:v>
                </c:pt>
                <c:pt idx="6796">
                  <c:v>8</c:v>
                </c:pt>
                <c:pt idx="6797">
                  <c:v>8</c:v>
                </c:pt>
                <c:pt idx="6798">
                  <c:v>8</c:v>
                </c:pt>
                <c:pt idx="6799">
                  <c:v>8</c:v>
                </c:pt>
                <c:pt idx="6800">
                  <c:v>8</c:v>
                </c:pt>
                <c:pt idx="680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09-416A-AB63-F6FB6D506E08}"/>
            </c:ext>
          </c:extLst>
        </c:ser>
        <c:ser>
          <c:idx val="2"/>
          <c:order val="2"/>
          <c:tx>
            <c:strRef>
              <c:f>transpose!$M$1</c:f>
              <c:strCache>
                <c:ptCount val="1"/>
                <c:pt idx="0">
                  <c:v>Előre_ÁGASK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transpose!$M$2:$M$7627</c:f>
              <c:numCache>
                <c:formatCode>General</c:formatCode>
                <c:ptCount val="7626"/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4</c:v>
                </c:pt>
                <c:pt idx="1380">
                  <c:v>4</c:v>
                </c:pt>
                <c:pt idx="1381">
                  <c:v>4</c:v>
                </c:pt>
                <c:pt idx="1382">
                  <c:v>4</c:v>
                </c:pt>
                <c:pt idx="1383">
                  <c:v>4</c:v>
                </c:pt>
                <c:pt idx="1384">
                  <c:v>4</c:v>
                </c:pt>
                <c:pt idx="1385">
                  <c:v>4</c:v>
                </c:pt>
                <c:pt idx="1386">
                  <c:v>4</c:v>
                </c:pt>
                <c:pt idx="1387">
                  <c:v>4</c:v>
                </c:pt>
                <c:pt idx="1388">
                  <c:v>4</c:v>
                </c:pt>
                <c:pt idx="1389">
                  <c:v>4</c:v>
                </c:pt>
                <c:pt idx="1390">
                  <c:v>4</c:v>
                </c:pt>
                <c:pt idx="1391">
                  <c:v>4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4</c:v>
                </c:pt>
                <c:pt idx="1397">
                  <c:v>4</c:v>
                </c:pt>
                <c:pt idx="1398">
                  <c:v>4</c:v>
                </c:pt>
                <c:pt idx="1399">
                  <c:v>4</c:v>
                </c:pt>
                <c:pt idx="1400">
                  <c:v>4</c:v>
                </c:pt>
                <c:pt idx="1401">
                  <c:v>4</c:v>
                </c:pt>
                <c:pt idx="1402">
                  <c:v>4</c:v>
                </c:pt>
                <c:pt idx="1403">
                  <c:v>4</c:v>
                </c:pt>
                <c:pt idx="1404">
                  <c:v>4</c:v>
                </c:pt>
                <c:pt idx="1405">
                  <c:v>4</c:v>
                </c:pt>
                <c:pt idx="1406">
                  <c:v>4</c:v>
                </c:pt>
                <c:pt idx="1407">
                  <c:v>4</c:v>
                </c:pt>
                <c:pt idx="1408">
                  <c:v>4</c:v>
                </c:pt>
                <c:pt idx="1409">
                  <c:v>4</c:v>
                </c:pt>
                <c:pt idx="1410">
                  <c:v>4</c:v>
                </c:pt>
                <c:pt idx="1411">
                  <c:v>4</c:v>
                </c:pt>
                <c:pt idx="1412">
                  <c:v>4</c:v>
                </c:pt>
                <c:pt idx="1413">
                  <c:v>4</c:v>
                </c:pt>
                <c:pt idx="1414">
                  <c:v>4</c:v>
                </c:pt>
                <c:pt idx="1415">
                  <c:v>4</c:v>
                </c:pt>
                <c:pt idx="1416">
                  <c:v>4</c:v>
                </c:pt>
                <c:pt idx="1417">
                  <c:v>4</c:v>
                </c:pt>
                <c:pt idx="1418">
                  <c:v>4</c:v>
                </c:pt>
                <c:pt idx="1419">
                  <c:v>4</c:v>
                </c:pt>
                <c:pt idx="1420">
                  <c:v>4</c:v>
                </c:pt>
                <c:pt idx="1421">
                  <c:v>4</c:v>
                </c:pt>
                <c:pt idx="1422">
                  <c:v>4</c:v>
                </c:pt>
                <c:pt idx="1423">
                  <c:v>4</c:v>
                </c:pt>
                <c:pt idx="1424">
                  <c:v>4</c:v>
                </c:pt>
                <c:pt idx="1425">
                  <c:v>4</c:v>
                </c:pt>
                <c:pt idx="1426">
                  <c:v>4</c:v>
                </c:pt>
                <c:pt idx="1427">
                  <c:v>4</c:v>
                </c:pt>
                <c:pt idx="1428">
                  <c:v>4</c:v>
                </c:pt>
                <c:pt idx="1429">
                  <c:v>4</c:v>
                </c:pt>
                <c:pt idx="1430">
                  <c:v>4</c:v>
                </c:pt>
                <c:pt idx="1431">
                  <c:v>4</c:v>
                </c:pt>
                <c:pt idx="1432">
                  <c:v>4</c:v>
                </c:pt>
                <c:pt idx="1433">
                  <c:v>4</c:v>
                </c:pt>
                <c:pt idx="1434">
                  <c:v>4</c:v>
                </c:pt>
                <c:pt idx="1435">
                  <c:v>4</c:v>
                </c:pt>
                <c:pt idx="1436">
                  <c:v>4</c:v>
                </c:pt>
                <c:pt idx="1437">
                  <c:v>4</c:v>
                </c:pt>
                <c:pt idx="1438">
                  <c:v>4</c:v>
                </c:pt>
                <c:pt idx="1439">
                  <c:v>4</c:v>
                </c:pt>
                <c:pt idx="1440">
                  <c:v>4</c:v>
                </c:pt>
                <c:pt idx="1441">
                  <c:v>4</c:v>
                </c:pt>
                <c:pt idx="1442">
                  <c:v>4</c:v>
                </c:pt>
                <c:pt idx="1443">
                  <c:v>4</c:v>
                </c:pt>
                <c:pt idx="1444">
                  <c:v>4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4</c:v>
                </c:pt>
                <c:pt idx="1449">
                  <c:v>4</c:v>
                </c:pt>
                <c:pt idx="1450">
                  <c:v>4</c:v>
                </c:pt>
                <c:pt idx="1451">
                  <c:v>4</c:v>
                </c:pt>
                <c:pt idx="1452">
                  <c:v>4</c:v>
                </c:pt>
                <c:pt idx="1453">
                  <c:v>4</c:v>
                </c:pt>
                <c:pt idx="1454">
                  <c:v>4</c:v>
                </c:pt>
                <c:pt idx="1455">
                  <c:v>4</c:v>
                </c:pt>
                <c:pt idx="1456">
                  <c:v>4</c:v>
                </c:pt>
                <c:pt idx="1457">
                  <c:v>4</c:v>
                </c:pt>
                <c:pt idx="1458">
                  <c:v>4</c:v>
                </c:pt>
                <c:pt idx="1459">
                  <c:v>4</c:v>
                </c:pt>
                <c:pt idx="1460">
                  <c:v>4</c:v>
                </c:pt>
                <c:pt idx="1461">
                  <c:v>4</c:v>
                </c:pt>
                <c:pt idx="1462">
                  <c:v>4</c:v>
                </c:pt>
                <c:pt idx="1463">
                  <c:v>4</c:v>
                </c:pt>
                <c:pt idx="1464">
                  <c:v>4</c:v>
                </c:pt>
                <c:pt idx="1465">
                  <c:v>4</c:v>
                </c:pt>
                <c:pt idx="1466">
                  <c:v>4</c:v>
                </c:pt>
                <c:pt idx="1467">
                  <c:v>4</c:v>
                </c:pt>
                <c:pt idx="1468">
                  <c:v>4</c:v>
                </c:pt>
                <c:pt idx="1469">
                  <c:v>4</c:v>
                </c:pt>
                <c:pt idx="1470">
                  <c:v>4</c:v>
                </c:pt>
                <c:pt idx="1471">
                  <c:v>4</c:v>
                </c:pt>
                <c:pt idx="1472">
                  <c:v>4</c:v>
                </c:pt>
                <c:pt idx="1473">
                  <c:v>4</c:v>
                </c:pt>
                <c:pt idx="1474">
                  <c:v>4</c:v>
                </c:pt>
                <c:pt idx="1475">
                  <c:v>4</c:v>
                </c:pt>
                <c:pt idx="1476">
                  <c:v>4</c:v>
                </c:pt>
                <c:pt idx="1477">
                  <c:v>4</c:v>
                </c:pt>
                <c:pt idx="1478">
                  <c:v>4</c:v>
                </c:pt>
                <c:pt idx="1479">
                  <c:v>4</c:v>
                </c:pt>
                <c:pt idx="1480">
                  <c:v>4</c:v>
                </c:pt>
                <c:pt idx="1481">
                  <c:v>4</c:v>
                </c:pt>
                <c:pt idx="1482">
                  <c:v>4</c:v>
                </c:pt>
                <c:pt idx="1483">
                  <c:v>4</c:v>
                </c:pt>
                <c:pt idx="1484">
                  <c:v>4</c:v>
                </c:pt>
                <c:pt idx="1485">
                  <c:v>4</c:v>
                </c:pt>
                <c:pt idx="1486">
                  <c:v>4</c:v>
                </c:pt>
                <c:pt idx="1487">
                  <c:v>4</c:v>
                </c:pt>
                <c:pt idx="1488">
                  <c:v>4</c:v>
                </c:pt>
                <c:pt idx="1489">
                  <c:v>4</c:v>
                </c:pt>
                <c:pt idx="2053">
                  <c:v>5</c:v>
                </c:pt>
                <c:pt idx="2054">
                  <c:v>5</c:v>
                </c:pt>
                <c:pt idx="2055">
                  <c:v>5</c:v>
                </c:pt>
                <c:pt idx="2056">
                  <c:v>5</c:v>
                </c:pt>
                <c:pt idx="2057">
                  <c:v>5</c:v>
                </c:pt>
                <c:pt idx="2058">
                  <c:v>5</c:v>
                </c:pt>
                <c:pt idx="2059">
                  <c:v>5</c:v>
                </c:pt>
                <c:pt idx="2060">
                  <c:v>5</c:v>
                </c:pt>
                <c:pt idx="2061">
                  <c:v>5</c:v>
                </c:pt>
                <c:pt idx="2062">
                  <c:v>5</c:v>
                </c:pt>
                <c:pt idx="2063">
                  <c:v>5</c:v>
                </c:pt>
                <c:pt idx="2064">
                  <c:v>5</c:v>
                </c:pt>
                <c:pt idx="2065">
                  <c:v>5</c:v>
                </c:pt>
                <c:pt idx="2066">
                  <c:v>5</c:v>
                </c:pt>
                <c:pt idx="2067">
                  <c:v>5</c:v>
                </c:pt>
                <c:pt idx="2068">
                  <c:v>5</c:v>
                </c:pt>
                <c:pt idx="2069">
                  <c:v>5</c:v>
                </c:pt>
                <c:pt idx="2070">
                  <c:v>5</c:v>
                </c:pt>
                <c:pt idx="2071">
                  <c:v>5</c:v>
                </c:pt>
                <c:pt idx="2072">
                  <c:v>5</c:v>
                </c:pt>
                <c:pt idx="2073">
                  <c:v>5</c:v>
                </c:pt>
                <c:pt idx="2074">
                  <c:v>5</c:v>
                </c:pt>
                <c:pt idx="2075">
                  <c:v>5</c:v>
                </c:pt>
                <c:pt idx="2076">
                  <c:v>5</c:v>
                </c:pt>
                <c:pt idx="2077">
                  <c:v>5</c:v>
                </c:pt>
                <c:pt idx="2078">
                  <c:v>5</c:v>
                </c:pt>
                <c:pt idx="2079">
                  <c:v>5</c:v>
                </c:pt>
                <c:pt idx="2080">
                  <c:v>5</c:v>
                </c:pt>
                <c:pt idx="2081">
                  <c:v>5</c:v>
                </c:pt>
                <c:pt idx="2652">
                  <c:v>6</c:v>
                </c:pt>
                <c:pt idx="2653">
                  <c:v>6</c:v>
                </c:pt>
                <c:pt idx="2654">
                  <c:v>6</c:v>
                </c:pt>
                <c:pt idx="2655">
                  <c:v>6</c:v>
                </c:pt>
                <c:pt idx="2656">
                  <c:v>6</c:v>
                </c:pt>
                <c:pt idx="2657">
                  <c:v>6</c:v>
                </c:pt>
                <c:pt idx="2658">
                  <c:v>6</c:v>
                </c:pt>
                <c:pt idx="2659">
                  <c:v>6</c:v>
                </c:pt>
                <c:pt idx="2660">
                  <c:v>6</c:v>
                </c:pt>
                <c:pt idx="2661">
                  <c:v>6</c:v>
                </c:pt>
                <c:pt idx="2662">
                  <c:v>6</c:v>
                </c:pt>
                <c:pt idx="2663">
                  <c:v>6</c:v>
                </c:pt>
                <c:pt idx="2664">
                  <c:v>6</c:v>
                </c:pt>
                <c:pt idx="2665">
                  <c:v>6</c:v>
                </c:pt>
                <c:pt idx="2666">
                  <c:v>6</c:v>
                </c:pt>
                <c:pt idx="2667">
                  <c:v>6</c:v>
                </c:pt>
                <c:pt idx="2668">
                  <c:v>6</c:v>
                </c:pt>
                <c:pt idx="2669">
                  <c:v>6</c:v>
                </c:pt>
                <c:pt idx="2670">
                  <c:v>6</c:v>
                </c:pt>
                <c:pt idx="3615">
                  <c:v>7</c:v>
                </c:pt>
                <c:pt idx="3616">
                  <c:v>7</c:v>
                </c:pt>
                <c:pt idx="3617">
                  <c:v>7</c:v>
                </c:pt>
                <c:pt idx="3618">
                  <c:v>7</c:v>
                </c:pt>
                <c:pt idx="3619">
                  <c:v>7</c:v>
                </c:pt>
                <c:pt idx="3620">
                  <c:v>7</c:v>
                </c:pt>
                <c:pt idx="3621">
                  <c:v>7</c:v>
                </c:pt>
                <c:pt idx="3622">
                  <c:v>7</c:v>
                </c:pt>
                <c:pt idx="3623">
                  <c:v>7</c:v>
                </c:pt>
                <c:pt idx="3624">
                  <c:v>7</c:v>
                </c:pt>
                <c:pt idx="3625">
                  <c:v>7</c:v>
                </c:pt>
                <c:pt idx="3626">
                  <c:v>7</c:v>
                </c:pt>
                <c:pt idx="3627">
                  <c:v>7</c:v>
                </c:pt>
                <c:pt idx="3628">
                  <c:v>7</c:v>
                </c:pt>
                <c:pt idx="3629">
                  <c:v>7</c:v>
                </c:pt>
                <c:pt idx="3630">
                  <c:v>7</c:v>
                </c:pt>
                <c:pt idx="3631">
                  <c:v>7</c:v>
                </c:pt>
                <c:pt idx="3632">
                  <c:v>7</c:v>
                </c:pt>
                <c:pt idx="3633">
                  <c:v>7</c:v>
                </c:pt>
                <c:pt idx="3634">
                  <c:v>7</c:v>
                </c:pt>
                <c:pt idx="3635">
                  <c:v>7</c:v>
                </c:pt>
                <c:pt idx="3636">
                  <c:v>7</c:v>
                </c:pt>
                <c:pt idx="3637">
                  <c:v>7</c:v>
                </c:pt>
                <c:pt idx="3638">
                  <c:v>7</c:v>
                </c:pt>
                <c:pt idx="3639">
                  <c:v>7</c:v>
                </c:pt>
                <c:pt idx="3640">
                  <c:v>7</c:v>
                </c:pt>
                <c:pt idx="3641">
                  <c:v>7</c:v>
                </c:pt>
                <c:pt idx="3642">
                  <c:v>7</c:v>
                </c:pt>
                <c:pt idx="3643">
                  <c:v>7</c:v>
                </c:pt>
                <c:pt idx="3644">
                  <c:v>7</c:v>
                </c:pt>
                <c:pt idx="3645">
                  <c:v>7</c:v>
                </c:pt>
                <c:pt idx="3646">
                  <c:v>7</c:v>
                </c:pt>
                <c:pt idx="3647">
                  <c:v>7</c:v>
                </c:pt>
                <c:pt idx="3648">
                  <c:v>7</c:v>
                </c:pt>
                <c:pt idx="3649">
                  <c:v>7</c:v>
                </c:pt>
                <c:pt idx="3650">
                  <c:v>7</c:v>
                </c:pt>
                <c:pt idx="3651">
                  <c:v>7</c:v>
                </c:pt>
                <c:pt idx="3652">
                  <c:v>7</c:v>
                </c:pt>
                <c:pt idx="3653">
                  <c:v>7</c:v>
                </c:pt>
                <c:pt idx="3654">
                  <c:v>7</c:v>
                </c:pt>
                <c:pt idx="3655">
                  <c:v>7</c:v>
                </c:pt>
                <c:pt idx="3656">
                  <c:v>7</c:v>
                </c:pt>
                <c:pt idx="3657">
                  <c:v>7</c:v>
                </c:pt>
                <c:pt idx="3658">
                  <c:v>7</c:v>
                </c:pt>
                <c:pt idx="3966">
                  <c:v>8</c:v>
                </c:pt>
                <c:pt idx="3967">
                  <c:v>8</c:v>
                </c:pt>
                <c:pt idx="3968">
                  <c:v>8</c:v>
                </c:pt>
                <c:pt idx="3969">
                  <c:v>8</c:v>
                </c:pt>
                <c:pt idx="3970">
                  <c:v>8</c:v>
                </c:pt>
                <c:pt idx="3971">
                  <c:v>8</c:v>
                </c:pt>
                <c:pt idx="3972">
                  <c:v>8</c:v>
                </c:pt>
                <c:pt idx="3973">
                  <c:v>8</c:v>
                </c:pt>
                <c:pt idx="3974">
                  <c:v>8</c:v>
                </c:pt>
                <c:pt idx="3975">
                  <c:v>8</c:v>
                </c:pt>
                <c:pt idx="3976">
                  <c:v>8</c:v>
                </c:pt>
                <c:pt idx="3977">
                  <c:v>8</c:v>
                </c:pt>
                <c:pt idx="3978">
                  <c:v>8</c:v>
                </c:pt>
                <c:pt idx="3979">
                  <c:v>8</c:v>
                </c:pt>
                <c:pt idx="3980">
                  <c:v>8</c:v>
                </c:pt>
                <c:pt idx="3981">
                  <c:v>8</c:v>
                </c:pt>
                <c:pt idx="3982">
                  <c:v>8</c:v>
                </c:pt>
                <c:pt idx="3983">
                  <c:v>8</c:v>
                </c:pt>
                <c:pt idx="3984">
                  <c:v>8</c:v>
                </c:pt>
                <c:pt idx="3985">
                  <c:v>8</c:v>
                </c:pt>
                <c:pt idx="3986">
                  <c:v>8</c:v>
                </c:pt>
                <c:pt idx="3987">
                  <c:v>8</c:v>
                </c:pt>
                <c:pt idx="3988">
                  <c:v>8</c:v>
                </c:pt>
                <c:pt idx="3989">
                  <c:v>8</c:v>
                </c:pt>
                <c:pt idx="3990">
                  <c:v>8</c:v>
                </c:pt>
                <c:pt idx="3991">
                  <c:v>8</c:v>
                </c:pt>
                <c:pt idx="3992">
                  <c:v>8</c:v>
                </c:pt>
                <c:pt idx="3993">
                  <c:v>8</c:v>
                </c:pt>
                <c:pt idx="3994">
                  <c:v>8</c:v>
                </c:pt>
                <c:pt idx="3995">
                  <c:v>8</c:v>
                </c:pt>
                <c:pt idx="3996">
                  <c:v>8</c:v>
                </c:pt>
                <c:pt idx="3997">
                  <c:v>8</c:v>
                </c:pt>
                <c:pt idx="3998">
                  <c:v>8</c:v>
                </c:pt>
                <c:pt idx="3999">
                  <c:v>8</c:v>
                </c:pt>
                <c:pt idx="4000">
                  <c:v>8</c:v>
                </c:pt>
                <c:pt idx="4001">
                  <c:v>8</c:v>
                </c:pt>
                <c:pt idx="4002">
                  <c:v>8</c:v>
                </c:pt>
                <c:pt idx="4003">
                  <c:v>8</c:v>
                </c:pt>
                <c:pt idx="4004">
                  <c:v>8</c:v>
                </c:pt>
                <c:pt idx="4005">
                  <c:v>8</c:v>
                </c:pt>
                <c:pt idx="4006">
                  <c:v>8</c:v>
                </c:pt>
                <c:pt idx="4007">
                  <c:v>8</c:v>
                </c:pt>
                <c:pt idx="4008">
                  <c:v>8</c:v>
                </c:pt>
                <c:pt idx="4009">
                  <c:v>8</c:v>
                </c:pt>
                <c:pt idx="4010">
                  <c:v>8</c:v>
                </c:pt>
                <c:pt idx="4011">
                  <c:v>8</c:v>
                </c:pt>
                <c:pt idx="4012">
                  <c:v>8</c:v>
                </c:pt>
                <c:pt idx="4013">
                  <c:v>8</c:v>
                </c:pt>
                <c:pt idx="4014">
                  <c:v>8</c:v>
                </c:pt>
                <c:pt idx="4015">
                  <c:v>8</c:v>
                </c:pt>
                <c:pt idx="4016">
                  <c:v>8</c:v>
                </c:pt>
                <c:pt idx="4017">
                  <c:v>8</c:v>
                </c:pt>
                <c:pt idx="4018">
                  <c:v>8</c:v>
                </c:pt>
                <c:pt idx="4019">
                  <c:v>8</c:v>
                </c:pt>
                <c:pt idx="4020">
                  <c:v>8</c:v>
                </c:pt>
                <c:pt idx="4021">
                  <c:v>8</c:v>
                </c:pt>
                <c:pt idx="4022">
                  <c:v>8</c:v>
                </c:pt>
                <c:pt idx="4023">
                  <c:v>8</c:v>
                </c:pt>
                <c:pt idx="4024">
                  <c:v>8</c:v>
                </c:pt>
                <c:pt idx="4025">
                  <c:v>8</c:v>
                </c:pt>
                <c:pt idx="4026">
                  <c:v>8</c:v>
                </c:pt>
                <c:pt idx="4027">
                  <c:v>8</c:v>
                </c:pt>
                <c:pt idx="4028">
                  <c:v>8</c:v>
                </c:pt>
                <c:pt idx="4029">
                  <c:v>8</c:v>
                </c:pt>
                <c:pt idx="4030">
                  <c:v>8</c:v>
                </c:pt>
                <c:pt idx="4031">
                  <c:v>8</c:v>
                </c:pt>
                <c:pt idx="4032">
                  <c:v>8</c:v>
                </c:pt>
                <c:pt idx="4033">
                  <c:v>8</c:v>
                </c:pt>
                <c:pt idx="4034">
                  <c:v>8</c:v>
                </c:pt>
                <c:pt idx="4035">
                  <c:v>8</c:v>
                </c:pt>
                <c:pt idx="4036">
                  <c:v>8</c:v>
                </c:pt>
                <c:pt idx="4037">
                  <c:v>8</c:v>
                </c:pt>
                <c:pt idx="7194">
                  <c:v>9</c:v>
                </c:pt>
                <c:pt idx="7195">
                  <c:v>9</c:v>
                </c:pt>
                <c:pt idx="7196">
                  <c:v>9</c:v>
                </c:pt>
                <c:pt idx="7197">
                  <c:v>9</c:v>
                </c:pt>
                <c:pt idx="7198">
                  <c:v>9</c:v>
                </c:pt>
                <c:pt idx="7199">
                  <c:v>9</c:v>
                </c:pt>
                <c:pt idx="7200">
                  <c:v>9</c:v>
                </c:pt>
                <c:pt idx="7201">
                  <c:v>9</c:v>
                </c:pt>
                <c:pt idx="7202">
                  <c:v>9</c:v>
                </c:pt>
                <c:pt idx="7203">
                  <c:v>9</c:v>
                </c:pt>
                <c:pt idx="7204">
                  <c:v>9</c:v>
                </c:pt>
                <c:pt idx="7205">
                  <c:v>9</c:v>
                </c:pt>
                <c:pt idx="7206">
                  <c:v>9</c:v>
                </c:pt>
                <c:pt idx="7207">
                  <c:v>9</c:v>
                </c:pt>
                <c:pt idx="7208">
                  <c:v>9</c:v>
                </c:pt>
                <c:pt idx="7209">
                  <c:v>9</c:v>
                </c:pt>
                <c:pt idx="7210">
                  <c:v>9</c:v>
                </c:pt>
                <c:pt idx="7211">
                  <c:v>9</c:v>
                </c:pt>
                <c:pt idx="7212">
                  <c:v>9</c:v>
                </c:pt>
                <c:pt idx="7213">
                  <c:v>9</c:v>
                </c:pt>
                <c:pt idx="7223">
                  <c:v>10</c:v>
                </c:pt>
                <c:pt idx="7224">
                  <c:v>10</c:v>
                </c:pt>
                <c:pt idx="7225">
                  <c:v>10</c:v>
                </c:pt>
                <c:pt idx="7226">
                  <c:v>10</c:v>
                </c:pt>
                <c:pt idx="7227">
                  <c:v>10</c:v>
                </c:pt>
                <c:pt idx="7228">
                  <c:v>10</c:v>
                </c:pt>
                <c:pt idx="7229">
                  <c:v>10</c:v>
                </c:pt>
                <c:pt idx="7230">
                  <c:v>10</c:v>
                </c:pt>
                <c:pt idx="7231">
                  <c:v>10</c:v>
                </c:pt>
                <c:pt idx="7232">
                  <c:v>10</c:v>
                </c:pt>
                <c:pt idx="7233">
                  <c:v>10</c:v>
                </c:pt>
                <c:pt idx="7234">
                  <c:v>10</c:v>
                </c:pt>
                <c:pt idx="7235">
                  <c:v>10</c:v>
                </c:pt>
                <c:pt idx="7236">
                  <c:v>10</c:v>
                </c:pt>
                <c:pt idx="7237">
                  <c:v>10</c:v>
                </c:pt>
                <c:pt idx="7238">
                  <c:v>10</c:v>
                </c:pt>
                <c:pt idx="7239">
                  <c:v>10</c:v>
                </c:pt>
                <c:pt idx="7240">
                  <c:v>10</c:v>
                </c:pt>
                <c:pt idx="7241">
                  <c:v>10</c:v>
                </c:pt>
                <c:pt idx="7242">
                  <c:v>10</c:v>
                </c:pt>
                <c:pt idx="7243">
                  <c:v>10</c:v>
                </c:pt>
                <c:pt idx="7244">
                  <c:v>10</c:v>
                </c:pt>
                <c:pt idx="7245">
                  <c:v>10</c:v>
                </c:pt>
                <c:pt idx="7246">
                  <c:v>10</c:v>
                </c:pt>
                <c:pt idx="7247">
                  <c:v>10</c:v>
                </c:pt>
                <c:pt idx="7248">
                  <c:v>10</c:v>
                </c:pt>
                <c:pt idx="7249">
                  <c:v>10</c:v>
                </c:pt>
                <c:pt idx="7250">
                  <c:v>10</c:v>
                </c:pt>
                <c:pt idx="7251">
                  <c:v>10</c:v>
                </c:pt>
                <c:pt idx="7252">
                  <c:v>10</c:v>
                </c:pt>
                <c:pt idx="7253">
                  <c:v>10</c:v>
                </c:pt>
                <c:pt idx="7254">
                  <c:v>10</c:v>
                </c:pt>
                <c:pt idx="7255">
                  <c:v>10</c:v>
                </c:pt>
                <c:pt idx="7256">
                  <c:v>10</c:v>
                </c:pt>
                <c:pt idx="7257">
                  <c:v>10</c:v>
                </c:pt>
                <c:pt idx="7258">
                  <c:v>10</c:v>
                </c:pt>
                <c:pt idx="7259">
                  <c:v>10</c:v>
                </c:pt>
                <c:pt idx="7260">
                  <c:v>10</c:v>
                </c:pt>
                <c:pt idx="7261">
                  <c:v>10</c:v>
                </c:pt>
                <c:pt idx="7262">
                  <c:v>10</c:v>
                </c:pt>
                <c:pt idx="7263">
                  <c:v>10</c:v>
                </c:pt>
                <c:pt idx="7264">
                  <c:v>10</c:v>
                </c:pt>
                <c:pt idx="7265">
                  <c:v>10</c:v>
                </c:pt>
                <c:pt idx="7266">
                  <c:v>10</c:v>
                </c:pt>
                <c:pt idx="7267">
                  <c:v>10</c:v>
                </c:pt>
                <c:pt idx="7268">
                  <c:v>10</c:v>
                </c:pt>
                <c:pt idx="7269">
                  <c:v>10</c:v>
                </c:pt>
                <c:pt idx="7270">
                  <c:v>10</c:v>
                </c:pt>
                <c:pt idx="7271">
                  <c:v>10</c:v>
                </c:pt>
                <c:pt idx="7272">
                  <c:v>10</c:v>
                </c:pt>
                <c:pt idx="7273">
                  <c:v>10</c:v>
                </c:pt>
                <c:pt idx="7274">
                  <c:v>10</c:v>
                </c:pt>
                <c:pt idx="7275">
                  <c:v>10</c:v>
                </c:pt>
                <c:pt idx="7276">
                  <c:v>10</c:v>
                </c:pt>
                <c:pt idx="7277">
                  <c:v>10</c:v>
                </c:pt>
                <c:pt idx="7278">
                  <c:v>10</c:v>
                </c:pt>
                <c:pt idx="7279">
                  <c:v>10</c:v>
                </c:pt>
                <c:pt idx="7280">
                  <c:v>10</c:v>
                </c:pt>
                <c:pt idx="7281">
                  <c:v>10</c:v>
                </c:pt>
                <c:pt idx="7282">
                  <c:v>10</c:v>
                </c:pt>
                <c:pt idx="7283">
                  <c:v>10</c:v>
                </c:pt>
                <c:pt idx="7284">
                  <c:v>10</c:v>
                </c:pt>
                <c:pt idx="7285">
                  <c:v>10</c:v>
                </c:pt>
                <c:pt idx="7286">
                  <c:v>10</c:v>
                </c:pt>
                <c:pt idx="7287">
                  <c:v>10</c:v>
                </c:pt>
                <c:pt idx="7288">
                  <c:v>10</c:v>
                </c:pt>
                <c:pt idx="7289">
                  <c:v>10</c:v>
                </c:pt>
                <c:pt idx="729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09-416A-AB63-F6FB6D506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427368"/>
        <c:axId val="630433128"/>
      </c:scatterChart>
      <c:valAx>
        <c:axId val="630427368"/>
        <c:scaling>
          <c:orientation val="minMax"/>
          <c:max val="76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0433128"/>
        <c:crosses val="autoZero"/>
        <c:crossBetween val="midCat"/>
      </c:valAx>
      <c:valAx>
        <c:axId val="63043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0427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1_76_LE_MALE</a:t>
            </a:r>
            <a:endParaRPr lang="en-GB"/>
          </a:p>
        </c:rich>
      </c:tx>
      <c:layout>
        <c:manualLayout>
          <c:xMode val="edge"/>
          <c:yMode val="edge"/>
          <c:x val="0.11873559468476917"/>
          <c:y val="3.76057105406536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98549969590149E-2"/>
          <c:y val="0.13518561098248072"/>
          <c:w val="0.84903328907378184"/>
          <c:h val="0.63937801115430482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transpose!$N$1</c:f>
              <c:strCache>
                <c:ptCount val="1"/>
                <c:pt idx="0">
                  <c:v>B1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transpose!$N$2:$N$7653</c:f>
              <c:numCache>
                <c:formatCode>General</c:formatCode>
                <c:ptCount val="7652"/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71">
                  <c:v>2</c:v>
                </c:pt>
                <c:pt idx="7372">
                  <c:v>2</c:v>
                </c:pt>
                <c:pt idx="7373">
                  <c:v>2</c:v>
                </c:pt>
                <c:pt idx="7374">
                  <c:v>2</c:v>
                </c:pt>
                <c:pt idx="7375">
                  <c:v>2</c:v>
                </c:pt>
                <c:pt idx="7376">
                  <c:v>2</c:v>
                </c:pt>
                <c:pt idx="7377">
                  <c:v>2</c:v>
                </c:pt>
                <c:pt idx="7378">
                  <c:v>2</c:v>
                </c:pt>
                <c:pt idx="7379">
                  <c:v>2</c:v>
                </c:pt>
                <c:pt idx="7380">
                  <c:v>2</c:v>
                </c:pt>
                <c:pt idx="7381">
                  <c:v>2</c:v>
                </c:pt>
                <c:pt idx="7382">
                  <c:v>2</c:v>
                </c:pt>
                <c:pt idx="7383">
                  <c:v>2</c:v>
                </c:pt>
                <c:pt idx="7384">
                  <c:v>2</c:v>
                </c:pt>
                <c:pt idx="7385">
                  <c:v>2</c:v>
                </c:pt>
                <c:pt idx="7386">
                  <c:v>2</c:v>
                </c:pt>
                <c:pt idx="7387">
                  <c:v>2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2</c:v>
                </c:pt>
                <c:pt idx="7392">
                  <c:v>2</c:v>
                </c:pt>
                <c:pt idx="7393">
                  <c:v>2</c:v>
                </c:pt>
                <c:pt idx="7394">
                  <c:v>2</c:v>
                </c:pt>
                <c:pt idx="7395">
                  <c:v>2</c:v>
                </c:pt>
                <c:pt idx="7396">
                  <c:v>2</c:v>
                </c:pt>
                <c:pt idx="7397">
                  <c:v>2</c:v>
                </c:pt>
                <c:pt idx="7398">
                  <c:v>2</c:v>
                </c:pt>
                <c:pt idx="7399">
                  <c:v>2</c:v>
                </c:pt>
                <c:pt idx="7400">
                  <c:v>2</c:v>
                </c:pt>
                <c:pt idx="7401">
                  <c:v>2</c:v>
                </c:pt>
                <c:pt idx="7402">
                  <c:v>2</c:v>
                </c:pt>
                <c:pt idx="7403">
                  <c:v>2</c:v>
                </c:pt>
                <c:pt idx="7404">
                  <c:v>2</c:v>
                </c:pt>
                <c:pt idx="7405">
                  <c:v>2</c:v>
                </c:pt>
                <c:pt idx="7406">
                  <c:v>2</c:v>
                </c:pt>
                <c:pt idx="7407">
                  <c:v>2</c:v>
                </c:pt>
                <c:pt idx="7408">
                  <c:v>2</c:v>
                </c:pt>
                <c:pt idx="7409">
                  <c:v>2</c:v>
                </c:pt>
                <c:pt idx="7410">
                  <c:v>2</c:v>
                </c:pt>
                <c:pt idx="7411">
                  <c:v>2</c:v>
                </c:pt>
                <c:pt idx="7412">
                  <c:v>2</c:v>
                </c:pt>
                <c:pt idx="7413">
                  <c:v>2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D0-4F8A-AE9C-6764C7C86168}"/>
            </c:ext>
          </c:extLst>
        </c:ser>
        <c:ser>
          <c:idx val="1"/>
          <c:order val="1"/>
          <c:tx>
            <c:strRef>
              <c:f>transpose!$R$1</c:f>
              <c:strCache>
                <c:ptCount val="1"/>
                <c:pt idx="0">
                  <c:v>B3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transpose!$R$2:$R$7653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D0-4F8A-AE9C-6764C7C86168}"/>
            </c:ext>
          </c:extLst>
        </c:ser>
        <c:ser>
          <c:idx val="2"/>
          <c:order val="2"/>
          <c:tx>
            <c:strRef>
              <c:f>transpose!$V$1</c:f>
              <c:strCache>
                <c:ptCount val="1"/>
                <c:pt idx="0">
                  <c:v>B5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transpose!$V$2:$V$7653</c:f>
              <c:numCache>
                <c:formatCode>General</c:formatCode>
                <c:ptCount val="7652"/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D0-4F8A-AE9C-6764C7C86168}"/>
            </c:ext>
          </c:extLst>
        </c:ser>
        <c:ser>
          <c:idx val="3"/>
          <c:order val="3"/>
          <c:tx>
            <c:strRef>
              <c:f>transpose!$Z$1</c:f>
              <c:strCache>
                <c:ptCount val="1"/>
                <c:pt idx="0">
                  <c:v>B7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transpose!$Z$2:$Z$7653</c:f>
              <c:numCache>
                <c:formatCode>General</c:formatCode>
                <c:ptCount val="7652"/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D0-4F8A-AE9C-6764C7C86168}"/>
            </c:ext>
          </c:extLst>
        </c:ser>
        <c:ser>
          <c:idx val="4"/>
          <c:order val="4"/>
          <c:tx>
            <c:strRef>
              <c:f>transpose!$AD$1</c:f>
              <c:strCache>
                <c:ptCount val="1"/>
                <c:pt idx="0">
                  <c:v>B9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transpose!$AD$2:$AD$7653</c:f>
              <c:numCache>
                <c:formatCode>General</c:formatCode>
                <c:ptCount val="7652"/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D0-4F8A-AE9C-6764C7C86168}"/>
            </c:ext>
          </c:extLst>
        </c:ser>
        <c:ser>
          <c:idx val="5"/>
          <c:order val="5"/>
          <c:tx>
            <c:strRef>
              <c:f>transpose!$AH$1</c:f>
              <c:strCache>
                <c:ptCount val="1"/>
                <c:pt idx="0">
                  <c:v>B11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transpose!$AH$2:$AH$7653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D0-4F8A-AE9C-6764C7C86168}"/>
            </c:ext>
          </c:extLst>
        </c:ser>
        <c:ser>
          <c:idx val="6"/>
          <c:order val="6"/>
          <c:tx>
            <c:strRef>
              <c:f>transpose!$AL$1</c:f>
              <c:strCache>
                <c:ptCount val="1"/>
                <c:pt idx="0">
                  <c:v>B13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transpose!$AL$2:$AL$7653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0D0-4F8A-AE9C-6764C7C86168}"/>
            </c:ext>
          </c:extLst>
        </c:ser>
        <c:ser>
          <c:idx val="7"/>
          <c:order val="7"/>
          <c:tx>
            <c:strRef>
              <c:f>transpose!$AP$1</c:f>
              <c:strCache>
                <c:ptCount val="1"/>
                <c:pt idx="0">
                  <c:v>B15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transpose!$AP$2:$AP$7653</c:f>
              <c:numCache>
                <c:formatCode>General</c:formatCode>
                <c:ptCount val="7652"/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0D0-4F8A-AE9C-6764C7C86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842351"/>
        <c:axId val="770846511"/>
      </c:scatterChart>
      <c:valAx>
        <c:axId val="770842351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846511"/>
        <c:crosses val="autoZero"/>
        <c:crossBetween val="midCat"/>
        <c:majorUnit val="1000"/>
      </c:valAx>
      <c:valAx>
        <c:axId val="770846511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84235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122035850879E-2"/>
          <c:y val="0.90056201290241056"/>
          <c:w val="0.89999975592829828"/>
          <c:h val="9.94379870975892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1_76_LE_MALE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transpose!$B$1</c:f>
              <c:strCache>
                <c:ptCount val="1"/>
                <c:pt idx="0">
                  <c:v>F1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transpose!$B$2:$B$7653</c:f>
              <c:numCache>
                <c:formatCode>General</c:formatCode>
                <c:ptCount val="7652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2</c:v>
                </c:pt>
                <c:pt idx="1007">
                  <c:v>2</c:v>
                </c:pt>
                <c:pt idx="1008">
                  <c:v>2</c:v>
                </c:pt>
                <c:pt idx="1009">
                  <c:v>2</c:v>
                </c:pt>
                <c:pt idx="1010">
                  <c:v>2</c:v>
                </c:pt>
                <c:pt idx="1011">
                  <c:v>2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2</c:v>
                </c:pt>
                <c:pt idx="1031">
                  <c:v>2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2</c:v>
                </c:pt>
                <c:pt idx="1060">
                  <c:v>2</c:v>
                </c:pt>
                <c:pt idx="1061">
                  <c:v>2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3286">
                  <c:v>4</c:v>
                </c:pt>
                <c:pt idx="3287">
                  <c:v>4</c:v>
                </c:pt>
                <c:pt idx="3288">
                  <c:v>4</c:v>
                </c:pt>
                <c:pt idx="3289">
                  <c:v>4</c:v>
                </c:pt>
                <c:pt idx="3290">
                  <c:v>4</c:v>
                </c:pt>
                <c:pt idx="3291">
                  <c:v>4</c:v>
                </c:pt>
                <c:pt idx="3292">
                  <c:v>4</c:v>
                </c:pt>
                <c:pt idx="3293">
                  <c:v>4</c:v>
                </c:pt>
                <c:pt idx="3294">
                  <c:v>4</c:v>
                </c:pt>
                <c:pt idx="3295">
                  <c:v>4</c:v>
                </c:pt>
                <c:pt idx="3296">
                  <c:v>4</c:v>
                </c:pt>
                <c:pt idx="3297">
                  <c:v>4</c:v>
                </c:pt>
                <c:pt idx="3298">
                  <c:v>4</c:v>
                </c:pt>
                <c:pt idx="3299">
                  <c:v>4</c:v>
                </c:pt>
                <c:pt idx="3300">
                  <c:v>4</c:v>
                </c:pt>
                <c:pt idx="3301">
                  <c:v>4</c:v>
                </c:pt>
                <c:pt idx="3302">
                  <c:v>4</c:v>
                </c:pt>
                <c:pt idx="3303">
                  <c:v>4</c:v>
                </c:pt>
                <c:pt idx="3304">
                  <c:v>4</c:v>
                </c:pt>
                <c:pt idx="3305">
                  <c:v>4</c:v>
                </c:pt>
                <c:pt idx="3306">
                  <c:v>4</c:v>
                </c:pt>
                <c:pt idx="3307">
                  <c:v>4</c:v>
                </c:pt>
                <c:pt idx="3308">
                  <c:v>4</c:v>
                </c:pt>
                <c:pt idx="3309">
                  <c:v>4</c:v>
                </c:pt>
                <c:pt idx="3310">
                  <c:v>4</c:v>
                </c:pt>
                <c:pt idx="3311">
                  <c:v>4</c:v>
                </c:pt>
                <c:pt idx="3312">
                  <c:v>4</c:v>
                </c:pt>
                <c:pt idx="3313">
                  <c:v>4</c:v>
                </c:pt>
                <c:pt idx="3314">
                  <c:v>4</c:v>
                </c:pt>
                <c:pt idx="3315">
                  <c:v>4</c:v>
                </c:pt>
                <c:pt idx="3316">
                  <c:v>4</c:v>
                </c:pt>
                <c:pt idx="3317">
                  <c:v>4</c:v>
                </c:pt>
                <c:pt idx="3318">
                  <c:v>4</c:v>
                </c:pt>
                <c:pt idx="3319">
                  <c:v>4</c:v>
                </c:pt>
                <c:pt idx="3320">
                  <c:v>4</c:v>
                </c:pt>
                <c:pt idx="3321">
                  <c:v>4</c:v>
                </c:pt>
                <c:pt idx="3322">
                  <c:v>4</c:v>
                </c:pt>
                <c:pt idx="3323">
                  <c:v>4</c:v>
                </c:pt>
                <c:pt idx="3324">
                  <c:v>4</c:v>
                </c:pt>
                <c:pt idx="3325">
                  <c:v>4</c:v>
                </c:pt>
                <c:pt idx="3326">
                  <c:v>4</c:v>
                </c:pt>
                <c:pt idx="3327">
                  <c:v>4</c:v>
                </c:pt>
                <c:pt idx="3328">
                  <c:v>4</c:v>
                </c:pt>
                <c:pt idx="3329">
                  <c:v>4</c:v>
                </c:pt>
                <c:pt idx="3330">
                  <c:v>4</c:v>
                </c:pt>
                <c:pt idx="3331">
                  <c:v>4</c:v>
                </c:pt>
                <c:pt idx="3332">
                  <c:v>4</c:v>
                </c:pt>
                <c:pt idx="3333">
                  <c:v>4</c:v>
                </c:pt>
                <c:pt idx="3334">
                  <c:v>4</c:v>
                </c:pt>
                <c:pt idx="3335">
                  <c:v>4</c:v>
                </c:pt>
                <c:pt idx="3336">
                  <c:v>4</c:v>
                </c:pt>
                <c:pt idx="3337">
                  <c:v>4</c:v>
                </c:pt>
                <c:pt idx="3338">
                  <c:v>4</c:v>
                </c:pt>
                <c:pt idx="3339">
                  <c:v>4</c:v>
                </c:pt>
                <c:pt idx="3340">
                  <c:v>4</c:v>
                </c:pt>
                <c:pt idx="3341">
                  <c:v>4</c:v>
                </c:pt>
                <c:pt idx="3342">
                  <c:v>4</c:v>
                </c:pt>
                <c:pt idx="3343">
                  <c:v>4</c:v>
                </c:pt>
                <c:pt idx="3344">
                  <c:v>4</c:v>
                </c:pt>
                <c:pt idx="3345">
                  <c:v>4</c:v>
                </c:pt>
                <c:pt idx="3346">
                  <c:v>4</c:v>
                </c:pt>
                <c:pt idx="3347">
                  <c:v>4</c:v>
                </c:pt>
                <c:pt idx="3348">
                  <c:v>4</c:v>
                </c:pt>
                <c:pt idx="3349">
                  <c:v>4</c:v>
                </c:pt>
                <c:pt idx="3350">
                  <c:v>4</c:v>
                </c:pt>
                <c:pt idx="3351">
                  <c:v>4</c:v>
                </c:pt>
                <c:pt idx="3352">
                  <c:v>4</c:v>
                </c:pt>
                <c:pt idx="3353">
                  <c:v>4</c:v>
                </c:pt>
                <c:pt idx="3354">
                  <c:v>4</c:v>
                </c:pt>
                <c:pt idx="3355">
                  <c:v>4</c:v>
                </c:pt>
                <c:pt idx="3356">
                  <c:v>4</c:v>
                </c:pt>
                <c:pt idx="3357">
                  <c:v>4</c:v>
                </c:pt>
                <c:pt idx="3358">
                  <c:v>4</c:v>
                </c:pt>
                <c:pt idx="3359">
                  <c:v>4</c:v>
                </c:pt>
                <c:pt idx="3360">
                  <c:v>4</c:v>
                </c:pt>
                <c:pt idx="3361">
                  <c:v>4</c:v>
                </c:pt>
                <c:pt idx="3362">
                  <c:v>4</c:v>
                </c:pt>
                <c:pt idx="3363">
                  <c:v>4</c:v>
                </c:pt>
                <c:pt idx="3364">
                  <c:v>4</c:v>
                </c:pt>
                <c:pt idx="3365">
                  <c:v>4</c:v>
                </c:pt>
                <c:pt idx="3366">
                  <c:v>4</c:v>
                </c:pt>
                <c:pt idx="3367">
                  <c:v>4</c:v>
                </c:pt>
                <c:pt idx="3368">
                  <c:v>4</c:v>
                </c:pt>
                <c:pt idx="3369">
                  <c:v>4</c:v>
                </c:pt>
                <c:pt idx="3370">
                  <c:v>4</c:v>
                </c:pt>
                <c:pt idx="3371">
                  <c:v>4</c:v>
                </c:pt>
                <c:pt idx="3372">
                  <c:v>4</c:v>
                </c:pt>
                <c:pt idx="3373">
                  <c:v>4</c:v>
                </c:pt>
                <c:pt idx="3374">
                  <c:v>4</c:v>
                </c:pt>
                <c:pt idx="3375">
                  <c:v>4</c:v>
                </c:pt>
                <c:pt idx="3376">
                  <c:v>4</c:v>
                </c:pt>
                <c:pt idx="3377">
                  <c:v>4</c:v>
                </c:pt>
                <c:pt idx="3378">
                  <c:v>4</c:v>
                </c:pt>
                <c:pt idx="3379">
                  <c:v>4</c:v>
                </c:pt>
                <c:pt idx="3380">
                  <c:v>4</c:v>
                </c:pt>
                <c:pt idx="3381">
                  <c:v>4</c:v>
                </c:pt>
                <c:pt idx="3382">
                  <c:v>4</c:v>
                </c:pt>
                <c:pt idx="3383">
                  <c:v>4</c:v>
                </c:pt>
                <c:pt idx="3384">
                  <c:v>4</c:v>
                </c:pt>
                <c:pt idx="3385">
                  <c:v>4</c:v>
                </c:pt>
                <c:pt idx="3386">
                  <c:v>4</c:v>
                </c:pt>
                <c:pt idx="3387">
                  <c:v>4</c:v>
                </c:pt>
                <c:pt idx="3388">
                  <c:v>4</c:v>
                </c:pt>
                <c:pt idx="3389">
                  <c:v>4</c:v>
                </c:pt>
                <c:pt idx="3390">
                  <c:v>4</c:v>
                </c:pt>
                <c:pt idx="3391">
                  <c:v>4</c:v>
                </c:pt>
                <c:pt idx="3392">
                  <c:v>4</c:v>
                </c:pt>
                <c:pt idx="3393">
                  <c:v>4</c:v>
                </c:pt>
                <c:pt idx="3394">
                  <c:v>4</c:v>
                </c:pt>
                <c:pt idx="3395">
                  <c:v>4</c:v>
                </c:pt>
                <c:pt idx="3396">
                  <c:v>4</c:v>
                </c:pt>
                <c:pt idx="3397">
                  <c:v>4</c:v>
                </c:pt>
                <c:pt idx="3398">
                  <c:v>4</c:v>
                </c:pt>
                <c:pt idx="3399">
                  <c:v>4</c:v>
                </c:pt>
                <c:pt idx="3400">
                  <c:v>4</c:v>
                </c:pt>
                <c:pt idx="3401">
                  <c:v>4</c:v>
                </c:pt>
                <c:pt idx="3402">
                  <c:v>4</c:v>
                </c:pt>
                <c:pt idx="3403">
                  <c:v>4</c:v>
                </c:pt>
                <c:pt idx="3404">
                  <c:v>4</c:v>
                </c:pt>
                <c:pt idx="3405">
                  <c:v>4</c:v>
                </c:pt>
                <c:pt idx="3406">
                  <c:v>4</c:v>
                </c:pt>
                <c:pt idx="3407">
                  <c:v>4</c:v>
                </c:pt>
                <c:pt idx="3408">
                  <c:v>4</c:v>
                </c:pt>
                <c:pt idx="3409">
                  <c:v>4</c:v>
                </c:pt>
                <c:pt idx="3410">
                  <c:v>4</c:v>
                </c:pt>
                <c:pt idx="3411">
                  <c:v>4</c:v>
                </c:pt>
                <c:pt idx="3412">
                  <c:v>4</c:v>
                </c:pt>
                <c:pt idx="3413">
                  <c:v>4</c:v>
                </c:pt>
                <c:pt idx="3414">
                  <c:v>4</c:v>
                </c:pt>
                <c:pt idx="3415">
                  <c:v>4</c:v>
                </c:pt>
                <c:pt idx="3416">
                  <c:v>4</c:v>
                </c:pt>
                <c:pt idx="3417">
                  <c:v>4</c:v>
                </c:pt>
                <c:pt idx="3418">
                  <c:v>4</c:v>
                </c:pt>
                <c:pt idx="3419">
                  <c:v>4</c:v>
                </c:pt>
                <c:pt idx="3420">
                  <c:v>4</c:v>
                </c:pt>
                <c:pt idx="3421">
                  <c:v>4</c:v>
                </c:pt>
                <c:pt idx="3422">
                  <c:v>4</c:v>
                </c:pt>
                <c:pt idx="3423">
                  <c:v>4</c:v>
                </c:pt>
                <c:pt idx="3424">
                  <c:v>4</c:v>
                </c:pt>
                <c:pt idx="3425">
                  <c:v>4</c:v>
                </c:pt>
                <c:pt idx="3426">
                  <c:v>4</c:v>
                </c:pt>
                <c:pt idx="3427">
                  <c:v>4</c:v>
                </c:pt>
                <c:pt idx="3428">
                  <c:v>4</c:v>
                </c:pt>
                <c:pt idx="3429">
                  <c:v>4</c:v>
                </c:pt>
                <c:pt idx="3430">
                  <c:v>4</c:v>
                </c:pt>
                <c:pt idx="3431">
                  <c:v>4</c:v>
                </c:pt>
                <c:pt idx="3432">
                  <c:v>4</c:v>
                </c:pt>
                <c:pt idx="3433">
                  <c:v>4</c:v>
                </c:pt>
                <c:pt idx="3434">
                  <c:v>4</c:v>
                </c:pt>
                <c:pt idx="3435">
                  <c:v>4</c:v>
                </c:pt>
                <c:pt idx="3436">
                  <c:v>4</c:v>
                </c:pt>
                <c:pt idx="3437">
                  <c:v>4</c:v>
                </c:pt>
                <c:pt idx="3438">
                  <c:v>4</c:v>
                </c:pt>
                <c:pt idx="3439">
                  <c:v>4</c:v>
                </c:pt>
                <c:pt idx="3440">
                  <c:v>4</c:v>
                </c:pt>
                <c:pt idx="3441">
                  <c:v>4</c:v>
                </c:pt>
                <c:pt idx="3442">
                  <c:v>4</c:v>
                </c:pt>
                <c:pt idx="3443">
                  <c:v>4</c:v>
                </c:pt>
                <c:pt idx="3444">
                  <c:v>4</c:v>
                </c:pt>
                <c:pt idx="3445">
                  <c:v>4</c:v>
                </c:pt>
                <c:pt idx="3446">
                  <c:v>4</c:v>
                </c:pt>
                <c:pt idx="3447">
                  <c:v>4</c:v>
                </c:pt>
                <c:pt idx="3448">
                  <c:v>4</c:v>
                </c:pt>
                <c:pt idx="3449">
                  <c:v>4</c:v>
                </c:pt>
                <c:pt idx="3450">
                  <c:v>4</c:v>
                </c:pt>
                <c:pt idx="3451">
                  <c:v>4</c:v>
                </c:pt>
                <c:pt idx="3452">
                  <c:v>4</c:v>
                </c:pt>
                <c:pt idx="3453">
                  <c:v>4</c:v>
                </c:pt>
                <c:pt idx="3454">
                  <c:v>4</c:v>
                </c:pt>
                <c:pt idx="3455">
                  <c:v>4</c:v>
                </c:pt>
                <c:pt idx="3456">
                  <c:v>4</c:v>
                </c:pt>
                <c:pt idx="3457">
                  <c:v>4</c:v>
                </c:pt>
                <c:pt idx="3458">
                  <c:v>4</c:v>
                </c:pt>
                <c:pt idx="3459">
                  <c:v>4</c:v>
                </c:pt>
                <c:pt idx="3460">
                  <c:v>4</c:v>
                </c:pt>
                <c:pt idx="3461">
                  <c:v>4</c:v>
                </c:pt>
                <c:pt idx="3462">
                  <c:v>4</c:v>
                </c:pt>
                <c:pt idx="3463">
                  <c:v>4</c:v>
                </c:pt>
                <c:pt idx="3464">
                  <c:v>4</c:v>
                </c:pt>
                <c:pt idx="3465">
                  <c:v>4</c:v>
                </c:pt>
                <c:pt idx="3466">
                  <c:v>4</c:v>
                </c:pt>
                <c:pt idx="3467">
                  <c:v>4</c:v>
                </c:pt>
                <c:pt idx="3468">
                  <c:v>4</c:v>
                </c:pt>
                <c:pt idx="3469">
                  <c:v>4</c:v>
                </c:pt>
                <c:pt idx="3470">
                  <c:v>4</c:v>
                </c:pt>
                <c:pt idx="3471">
                  <c:v>4</c:v>
                </c:pt>
                <c:pt idx="3472">
                  <c:v>4</c:v>
                </c:pt>
                <c:pt idx="3473">
                  <c:v>4</c:v>
                </c:pt>
                <c:pt idx="3474">
                  <c:v>4</c:v>
                </c:pt>
                <c:pt idx="3475">
                  <c:v>4</c:v>
                </c:pt>
                <c:pt idx="3476">
                  <c:v>4</c:v>
                </c:pt>
                <c:pt idx="3477">
                  <c:v>4</c:v>
                </c:pt>
                <c:pt idx="3478">
                  <c:v>4</c:v>
                </c:pt>
                <c:pt idx="3479">
                  <c:v>4</c:v>
                </c:pt>
                <c:pt idx="3480">
                  <c:v>4</c:v>
                </c:pt>
                <c:pt idx="3481">
                  <c:v>4</c:v>
                </c:pt>
                <c:pt idx="3482">
                  <c:v>4</c:v>
                </c:pt>
                <c:pt idx="3483">
                  <c:v>4</c:v>
                </c:pt>
                <c:pt idx="3484">
                  <c:v>4</c:v>
                </c:pt>
                <c:pt idx="3485">
                  <c:v>4</c:v>
                </c:pt>
                <c:pt idx="3486">
                  <c:v>4</c:v>
                </c:pt>
                <c:pt idx="3487">
                  <c:v>4</c:v>
                </c:pt>
                <c:pt idx="3488">
                  <c:v>4</c:v>
                </c:pt>
                <c:pt idx="3489">
                  <c:v>4</c:v>
                </c:pt>
                <c:pt idx="3490">
                  <c:v>4</c:v>
                </c:pt>
                <c:pt idx="3491">
                  <c:v>4</c:v>
                </c:pt>
                <c:pt idx="3492">
                  <c:v>4</c:v>
                </c:pt>
                <c:pt idx="3493">
                  <c:v>4</c:v>
                </c:pt>
                <c:pt idx="3494">
                  <c:v>4</c:v>
                </c:pt>
                <c:pt idx="3495">
                  <c:v>4</c:v>
                </c:pt>
                <c:pt idx="3496">
                  <c:v>4</c:v>
                </c:pt>
                <c:pt idx="3497">
                  <c:v>4</c:v>
                </c:pt>
                <c:pt idx="3498">
                  <c:v>4</c:v>
                </c:pt>
                <c:pt idx="3499">
                  <c:v>4</c:v>
                </c:pt>
                <c:pt idx="3500">
                  <c:v>4</c:v>
                </c:pt>
                <c:pt idx="3501">
                  <c:v>4</c:v>
                </c:pt>
                <c:pt idx="3502">
                  <c:v>4</c:v>
                </c:pt>
                <c:pt idx="3503">
                  <c:v>4</c:v>
                </c:pt>
                <c:pt idx="3504">
                  <c:v>4</c:v>
                </c:pt>
                <c:pt idx="3505">
                  <c:v>4</c:v>
                </c:pt>
                <c:pt idx="3506">
                  <c:v>4</c:v>
                </c:pt>
                <c:pt idx="3507">
                  <c:v>4</c:v>
                </c:pt>
                <c:pt idx="3508">
                  <c:v>4</c:v>
                </c:pt>
                <c:pt idx="3509">
                  <c:v>4</c:v>
                </c:pt>
                <c:pt idx="3510">
                  <c:v>4</c:v>
                </c:pt>
                <c:pt idx="3511">
                  <c:v>4</c:v>
                </c:pt>
                <c:pt idx="3512">
                  <c:v>4</c:v>
                </c:pt>
                <c:pt idx="3513">
                  <c:v>4</c:v>
                </c:pt>
                <c:pt idx="3514">
                  <c:v>4</c:v>
                </c:pt>
                <c:pt idx="3515">
                  <c:v>4</c:v>
                </c:pt>
                <c:pt idx="3516">
                  <c:v>4</c:v>
                </c:pt>
                <c:pt idx="3517">
                  <c:v>4</c:v>
                </c:pt>
                <c:pt idx="3518">
                  <c:v>4</c:v>
                </c:pt>
                <c:pt idx="3519">
                  <c:v>4</c:v>
                </c:pt>
                <c:pt idx="3520">
                  <c:v>4</c:v>
                </c:pt>
                <c:pt idx="3521">
                  <c:v>4</c:v>
                </c:pt>
                <c:pt idx="3522">
                  <c:v>4</c:v>
                </c:pt>
                <c:pt idx="3523">
                  <c:v>4</c:v>
                </c:pt>
                <c:pt idx="3524">
                  <c:v>4</c:v>
                </c:pt>
                <c:pt idx="3525">
                  <c:v>4</c:v>
                </c:pt>
                <c:pt idx="3526">
                  <c:v>4</c:v>
                </c:pt>
                <c:pt idx="3527">
                  <c:v>4</c:v>
                </c:pt>
                <c:pt idx="3528">
                  <c:v>4</c:v>
                </c:pt>
                <c:pt idx="3529">
                  <c:v>4</c:v>
                </c:pt>
                <c:pt idx="3530">
                  <c:v>4</c:v>
                </c:pt>
                <c:pt idx="3531">
                  <c:v>4</c:v>
                </c:pt>
                <c:pt idx="3532">
                  <c:v>4</c:v>
                </c:pt>
                <c:pt idx="3533">
                  <c:v>4</c:v>
                </c:pt>
                <c:pt idx="3534">
                  <c:v>4</c:v>
                </c:pt>
                <c:pt idx="3535">
                  <c:v>4</c:v>
                </c:pt>
                <c:pt idx="3536">
                  <c:v>4</c:v>
                </c:pt>
                <c:pt idx="3537">
                  <c:v>4</c:v>
                </c:pt>
                <c:pt idx="3538">
                  <c:v>4</c:v>
                </c:pt>
                <c:pt idx="3539">
                  <c:v>4</c:v>
                </c:pt>
                <c:pt idx="3540">
                  <c:v>4</c:v>
                </c:pt>
                <c:pt idx="3541">
                  <c:v>4</c:v>
                </c:pt>
                <c:pt idx="3542">
                  <c:v>4</c:v>
                </c:pt>
                <c:pt idx="3543">
                  <c:v>4</c:v>
                </c:pt>
                <c:pt idx="3544">
                  <c:v>4</c:v>
                </c:pt>
                <c:pt idx="3545">
                  <c:v>4</c:v>
                </c:pt>
                <c:pt idx="3546">
                  <c:v>4</c:v>
                </c:pt>
                <c:pt idx="3547">
                  <c:v>4</c:v>
                </c:pt>
                <c:pt idx="3548">
                  <c:v>4</c:v>
                </c:pt>
                <c:pt idx="3549">
                  <c:v>4</c:v>
                </c:pt>
                <c:pt idx="3550">
                  <c:v>4</c:v>
                </c:pt>
                <c:pt idx="3551">
                  <c:v>4</c:v>
                </c:pt>
                <c:pt idx="3552">
                  <c:v>4</c:v>
                </c:pt>
                <c:pt idx="3553">
                  <c:v>4</c:v>
                </c:pt>
                <c:pt idx="3554">
                  <c:v>4</c:v>
                </c:pt>
                <c:pt idx="3555">
                  <c:v>4</c:v>
                </c:pt>
                <c:pt idx="3556">
                  <c:v>4</c:v>
                </c:pt>
                <c:pt idx="3557">
                  <c:v>4</c:v>
                </c:pt>
                <c:pt idx="3558">
                  <c:v>4</c:v>
                </c:pt>
                <c:pt idx="3559">
                  <c:v>4</c:v>
                </c:pt>
                <c:pt idx="3560">
                  <c:v>4</c:v>
                </c:pt>
                <c:pt idx="3561">
                  <c:v>4</c:v>
                </c:pt>
                <c:pt idx="3562">
                  <c:v>4</c:v>
                </c:pt>
                <c:pt idx="3563">
                  <c:v>4</c:v>
                </c:pt>
                <c:pt idx="3564">
                  <c:v>4</c:v>
                </c:pt>
                <c:pt idx="3565">
                  <c:v>4</c:v>
                </c:pt>
                <c:pt idx="3566">
                  <c:v>4</c:v>
                </c:pt>
                <c:pt idx="3567">
                  <c:v>4</c:v>
                </c:pt>
                <c:pt idx="3568">
                  <c:v>4</c:v>
                </c:pt>
                <c:pt idx="3569">
                  <c:v>4</c:v>
                </c:pt>
                <c:pt idx="3570">
                  <c:v>4</c:v>
                </c:pt>
                <c:pt idx="3571">
                  <c:v>4</c:v>
                </c:pt>
                <c:pt idx="3572">
                  <c:v>4</c:v>
                </c:pt>
                <c:pt idx="3573">
                  <c:v>4</c:v>
                </c:pt>
                <c:pt idx="3574">
                  <c:v>4</c:v>
                </c:pt>
                <c:pt idx="3575">
                  <c:v>4</c:v>
                </c:pt>
                <c:pt idx="3576">
                  <c:v>4</c:v>
                </c:pt>
                <c:pt idx="3577">
                  <c:v>4</c:v>
                </c:pt>
                <c:pt idx="3578">
                  <c:v>4</c:v>
                </c:pt>
                <c:pt idx="3579">
                  <c:v>4</c:v>
                </c:pt>
                <c:pt idx="3580">
                  <c:v>4</c:v>
                </c:pt>
                <c:pt idx="3581">
                  <c:v>4</c:v>
                </c:pt>
                <c:pt idx="3582">
                  <c:v>4</c:v>
                </c:pt>
                <c:pt idx="3583">
                  <c:v>4</c:v>
                </c:pt>
                <c:pt idx="3584">
                  <c:v>4</c:v>
                </c:pt>
                <c:pt idx="3585">
                  <c:v>4</c:v>
                </c:pt>
                <c:pt idx="3586">
                  <c:v>4</c:v>
                </c:pt>
                <c:pt idx="3587">
                  <c:v>4</c:v>
                </c:pt>
                <c:pt idx="3588">
                  <c:v>4</c:v>
                </c:pt>
                <c:pt idx="3589">
                  <c:v>4</c:v>
                </c:pt>
                <c:pt idx="3590">
                  <c:v>4</c:v>
                </c:pt>
                <c:pt idx="3591">
                  <c:v>4</c:v>
                </c:pt>
                <c:pt idx="3592">
                  <c:v>4</c:v>
                </c:pt>
                <c:pt idx="3593">
                  <c:v>4</c:v>
                </c:pt>
                <c:pt idx="3594">
                  <c:v>4</c:v>
                </c:pt>
                <c:pt idx="3595">
                  <c:v>4</c:v>
                </c:pt>
                <c:pt idx="3596">
                  <c:v>4</c:v>
                </c:pt>
                <c:pt idx="3597">
                  <c:v>4</c:v>
                </c:pt>
                <c:pt idx="3598">
                  <c:v>4</c:v>
                </c:pt>
                <c:pt idx="3599">
                  <c:v>4</c:v>
                </c:pt>
                <c:pt idx="3600">
                  <c:v>4</c:v>
                </c:pt>
                <c:pt idx="3601">
                  <c:v>4</c:v>
                </c:pt>
                <c:pt idx="3602">
                  <c:v>4</c:v>
                </c:pt>
                <c:pt idx="3603">
                  <c:v>4</c:v>
                </c:pt>
                <c:pt idx="3604">
                  <c:v>4</c:v>
                </c:pt>
                <c:pt idx="3605">
                  <c:v>4</c:v>
                </c:pt>
                <c:pt idx="3606">
                  <c:v>4</c:v>
                </c:pt>
                <c:pt idx="3607">
                  <c:v>4</c:v>
                </c:pt>
                <c:pt idx="3608">
                  <c:v>4</c:v>
                </c:pt>
                <c:pt idx="3609">
                  <c:v>4</c:v>
                </c:pt>
                <c:pt idx="3610">
                  <c:v>4</c:v>
                </c:pt>
                <c:pt idx="3611">
                  <c:v>4</c:v>
                </c:pt>
                <c:pt idx="3612">
                  <c:v>4</c:v>
                </c:pt>
                <c:pt idx="3613">
                  <c:v>4</c:v>
                </c:pt>
                <c:pt idx="3614">
                  <c:v>4</c:v>
                </c:pt>
                <c:pt idx="3615">
                  <c:v>4</c:v>
                </c:pt>
                <c:pt idx="3616">
                  <c:v>4</c:v>
                </c:pt>
                <c:pt idx="3617">
                  <c:v>4</c:v>
                </c:pt>
                <c:pt idx="3618">
                  <c:v>4</c:v>
                </c:pt>
                <c:pt idx="3619">
                  <c:v>4</c:v>
                </c:pt>
                <c:pt idx="3620">
                  <c:v>4</c:v>
                </c:pt>
                <c:pt idx="3621">
                  <c:v>4</c:v>
                </c:pt>
                <c:pt idx="3622">
                  <c:v>4</c:v>
                </c:pt>
                <c:pt idx="3623">
                  <c:v>4</c:v>
                </c:pt>
                <c:pt idx="3624">
                  <c:v>4</c:v>
                </c:pt>
                <c:pt idx="3625">
                  <c:v>4</c:v>
                </c:pt>
                <c:pt idx="3626">
                  <c:v>4</c:v>
                </c:pt>
                <c:pt idx="3627">
                  <c:v>4</c:v>
                </c:pt>
                <c:pt idx="3628">
                  <c:v>4</c:v>
                </c:pt>
                <c:pt idx="3629">
                  <c:v>4</c:v>
                </c:pt>
                <c:pt idx="3630">
                  <c:v>4</c:v>
                </c:pt>
                <c:pt idx="3631">
                  <c:v>4</c:v>
                </c:pt>
                <c:pt idx="3632">
                  <c:v>4</c:v>
                </c:pt>
                <c:pt idx="3633">
                  <c:v>4</c:v>
                </c:pt>
                <c:pt idx="3634">
                  <c:v>4</c:v>
                </c:pt>
                <c:pt idx="3635">
                  <c:v>4</c:v>
                </c:pt>
                <c:pt idx="3636">
                  <c:v>4</c:v>
                </c:pt>
                <c:pt idx="3637">
                  <c:v>4</c:v>
                </c:pt>
                <c:pt idx="3638">
                  <c:v>4</c:v>
                </c:pt>
                <c:pt idx="3639">
                  <c:v>4</c:v>
                </c:pt>
                <c:pt idx="3640">
                  <c:v>4</c:v>
                </c:pt>
                <c:pt idx="3641">
                  <c:v>4</c:v>
                </c:pt>
                <c:pt idx="3642">
                  <c:v>4</c:v>
                </c:pt>
                <c:pt idx="3643">
                  <c:v>4</c:v>
                </c:pt>
                <c:pt idx="3644">
                  <c:v>4</c:v>
                </c:pt>
                <c:pt idx="3645">
                  <c:v>4</c:v>
                </c:pt>
                <c:pt idx="3646">
                  <c:v>4</c:v>
                </c:pt>
                <c:pt idx="3647">
                  <c:v>4</c:v>
                </c:pt>
                <c:pt idx="3648">
                  <c:v>4</c:v>
                </c:pt>
                <c:pt idx="3649">
                  <c:v>4</c:v>
                </c:pt>
                <c:pt idx="3650">
                  <c:v>4</c:v>
                </c:pt>
                <c:pt idx="3651">
                  <c:v>4</c:v>
                </c:pt>
                <c:pt idx="3652">
                  <c:v>4</c:v>
                </c:pt>
                <c:pt idx="3653">
                  <c:v>4</c:v>
                </c:pt>
                <c:pt idx="3654">
                  <c:v>4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4</c:v>
                </c:pt>
                <c:pt idx="3659">
                  <c:v>4</c:v>
                </c:pt>
                <c:pt idx="3660">
                  <c:v>4</c:v>
                </c:pt>
                <c:pt idx="3661">
                  <c:v>4</c:v>
                </c:pt>
                <c:pt idx="3662">
                  <c:v>4</c:v>
                </c:pt>
                <c:pt idx="3663">
                  <c:v>4</c:v>
                </c:pt>
                <c:pt idx="3664">
                  <c:v>4</c:v>
                </c:pt>
                <c:pt idx="3665">
                  <c:v>4</c:v>
                </c:pt>
                <c:pt idx="3666">
                  <c:v>4</c:v>
                </c:pt>
                <c:pt idx="3667">
                  <c:v>4</c:v>
                </c:pt>
                <c:pt idx="3668">
                  <c:v>4</c:v>
                </c:pt>
                <c:pt idx="4089">
                  <c:v>5</c:v>
                </c:pt>
                <c:pt idx="4090">
                  <c:v>5</c:v>
                </c:pt>
                <c:pt idx="4091">
                  <c:v>5</c:v>
                </c:pt>
                <c:pt idx="4092">
                  <c:v>5</c:v>
                </c:pt>
                <c:pt idx="4093">
                  <c:v>5</c:v>
                </c:pt>
                <c:pt idx="4094">
                  <c:v>5</c:v>
                </c:pt>
                <c:pt idx="4095">
                  <c:v>5</c:v>
                </c:pt>
                <c:pt idx="4096">
                  <c:v>5</c:v>
                </c:pt>
                <c:pt idx="4097">
                  <c:v>5</c:v>
                </c:pt>
                <c:pt idx="4098">
                  <c:v>5</c:v>
                </c:pt>
                <c:pt idx="4099">
                  <c:v>5</c:v>
                </c:pt>
                <c:pt idx="4100">
                  <c:v>5</c:v>
                </c:pt>
                <c:pt idx="4101">
                  <c:v>5</c:v>
                </c:pt>
                <c:pt idx="4102">
                  <c:v>5</c:v>
                </c:pt>
                <c:pt idx="4103">
                  <c:v>5</c:v>
                </c:pt>
                <c:pt idx="4104">
                  <c:v>5</c:v>
                </c:pt>
                <c:pt idx="4105">
                  <c:v>5</c:v>
                </c:pt>
                <c:pt idx="4106">
                  <c:v>5</c:v>
                </c:pt>
                <c:pt idx="4107">
                  <c:v>5</c:v>
                </c:pt>
                <c:pt idx="4108">
                  <c:v>5</c:v>
                </c:pt>
                <c:pt idx="4109">
                  <c:v>5</c:v>
                </c:pt>
                <c:pt idx="4110">
                  <c:v>5</c:v>
                </c:pt>
                <c:pt idx="4111">
                  <c:v>5</c:v>
                </c:pt>
                <c:pt idx="4112">
                  <c:v>5</c:v>
                </c:pt>
                <c:pt idx="4113">
                  <c:v>5</c:v>
                </c:pt>
                <c:pt idx="4114">
                  <c:v>5</c:v>
                </c:pt>
                <c:pt idx="4115">
                  <c:v>5</c:v>
                </c:pt>
                <c:pt idx="4116">
                  <c:v>5</c:v>
                </c:pt>
                <c:pt idx="4117">
                  <c:v>5</c:v>
                </c:pt>
                <c:pt idx="4118">
                  <c:v>5</c:v>
                </c:pt>
                <c:pt idx="4119">
                  <c:v>5</c:v>
                </c:pt>
                <c:pt idx="4120">
                  <c:v>5</c:v>
                </c:pt>
                <c:pt idx="4121">
                  <c:v>5</c:v>
                </c:pt>
                <c:pt idx="4122">
                  <c:v>5</c:v>
                </c:pt>
                <c:pt idx="4123">
                  <c:v>5</c:v>
                </c:pt>
                <c:pt idx="4124">
                  <c:v>5</c:v>
                </c:pt>
                <c:pt idx="4125">
                  <c:v>5</c:v>
                </c:pt>
                <c:pt idx="4126">
                  <c:v>5</c:v>
                </c:pt>
                <c:pt idx="4127">
                  <c:v>5</c:v>
                </c:pt>
                <c:pt idx="4128">
                  <c:v>5</c:v>
                </c:pt>
                <c:pt idx="4129">
                  <c:v>5</c:v>
                </c:pt>
                <c:pt idx="4130">
                  <c:v>5</c:v>
                </c:pt>
                <c:pt idx="4131">
                  <c:v>5</c:v>
                </c:pt>
                <c:pt idx="4132">
                  <c:v>5</c:v>
                </c:pt>
                <c:pt idx="4133">
                  <c:v>5</c:v>
                </c:pt>
                <c:pt idx="4134">
                  <c:v>5</c:v>
                </c:pt>
                <c:pt idx="4135">
                  <c:v>5</c:v>
                </c:pt>
                <c:pt idx="4136">
                  <c:v>5</c:v>
                </c:pt>
                <c:pt idx="4137">
                  <c:v>5</c:v>
                </c:pt>
                <c:pt idx="4138">
                  <c:v>5</c:v>
                </c:pt>
                <c:pt idx="4139">
                  <c:v>5</c:v>
                </c:pt>
                <c:pt idx="4140">
                  <c:v>5</c:v>
                </c:pt>
                <c:pt idx="4141">
                  <c:v>5</c:v>
                </c:pt>
                <c:pt idx="4142">
                  <c:v>5</c:v>
                </c:pt>
                <c:pt idx="4143">
                  <c:v>5</c:v>
                </c:pt>
                <c:pt idx="4144">
                  <c:v>5</c:v>
                </c:pt>
                <c:pt idx="4145">
                  <c:v>5</c:v>
                </c:pt>
                <c:pt idx="4146">
                  <c:v>5</c:v>
                </c:pt>
                <c:pt idx="4147">
                  <c:v>5</c:v>
                </c:pt>
                <c:pt idx="4148">
                  <c:v>5</c:v>
                </c:pt>
                <c:pt idx="4149">
                  <c:v>5</c:v>
                </c:pt>
                <c:pt idx="4150">
                  <c:v>5</c:v>
                </c:pt>
                <c:pt idx="4151">
                  <c:v>5</c:v>
                </c:pt>
                <c:pt idx="4152">
                  <c:v>5</c:v>
                </c:pt>
                <c:pt idx="4153">
                  <c:v>5</c:v>
                </c:pt>
                <c:pt idx="4154">
                  <c:v>5</c:v>
                </c:pt>
                <c:pt idx="4155">
                  <c:v>5</c:v>
                </c:pt>
                <c:pt idx="4156">
                  <c:v>5</c:v>
                </c:pt>
                <c:pt idx="4157">
                  <c:v>5</c:v>
                </c:pt>
                <c:pt idx="4158">
                  <c:v>5</c:v>
                </c:pt>
                <c:pt idx="4159">
                  <c:v>5</c:v>
                </c:pt>
                <c:pt idx="4160">
                  <c:v>5</c:v>
                </c:pt>
                <c:pt idx="4161">
                  <c:v>5</c:v>
                </c:pt>
                <c:pt idx="4162">
                  <c:v>5</c:v>
                </c:pt>
                <c:pt idx="4163">
                  <c:v>5</c:v>
                </c:pt>
                <c:pt idx="4164">
                  <c:v>5</c:v>
                </c:pt>
                <c:pt idx="4165">
                  <c:v>5</c:v>
                </c:pt>
                <c:pt idx="4166">
                  <c:v>5</c:v>
                </c:pt>
                <c:pt idx="4167">
                  <c:v>5</c:v>
                </c:pt>
                <c:pt idx="4168">
                  <c:v>5</c:v>
                </c:pt>
                <c:pt idx="4169">
                  <c:v>5</c:v>
                </c:pt>
                <c:pt idx="4170">
                  <c:v>5</c:v>
                </c:pt>
                <c:pt idx="4171">
                  <c:v>5</c:v>
                </c:pt>
                <c:pt idx="4172">
                  <c:v>5</c:v>
                </c:pt>
                <c:pt idx="4173">
                  <c:v>5</c:v>
                </c:pt>
                <c:pt idx="4174">
                  <c:v>5</c:v>
                </c:pt>
                <c:pt idx="4175">
                  <c:v>5</c:v>
                </c:pt>
                <c:pt idx="4176">
                  <c:v>5</c:v>
                </c:pt>
                <c:pt idx="4177">
                  <c:v>5</c:v>
                </c:pt>
                <c:pt idx="4178">
                  <c:v>5</c:v>
                </c:pt>
                <c:pt idx="4179">
                  <c:v>5</c:v>
                </c:pt>
                <c:pt idx="4180">
                  <c:v>5</c:v>
                </c:pt>
                <c:pt idx="4181">
                  <c:v>5</c:v>
                </c:pt>
                <c:pt idx="4182">
                  <c:v>5</c:v>
                </c:pt>
                <c:pt idx="4183">
                  <c:v>5</c:v>
                </c:pt>
                <c:pt idx="4184">
                  <c:v>5</c:v>
                </c:pt>
                <c:pt idx="4185">
                  <c:v>5</c:v>
                </c:pt>
                <c:pt idx="4186">
                  <c:v>5</c:v>
                </c:pt>
                <c:pt idx="4187">
                  <c:v>5</c:v>
                </c:pt>
                <c:pt idx="4188">
                  <c:v>5</c:v>
                </c:pt>
                <c:pt idx="4189">
                  <c:v>5</c:v>
                </c:pt>
                <c:pt idx="4190">
                  <c:v>5</c:v>
                </c:pt>
                <c:pt idx="4191">
                  <c:v>5</c:v>
                </c:pt>
                <c:pt idx="4192">
                  <c:v>5</c:v>
                </c:pt>
                <c:pt idx="4193">
                  <c:v>5</c:v>
                </c:pt>
                <c:pt idx="4194">
                  <c:v>5</c:v>
                </c:pt>
                <c:pt idx="4195">
                  <c:v>5</c:v>
                </c:pt>
                <c:pt idx="4196">
                  <c:v>5</c:v>
                </c:pt>
                <c:pt idx="4197">
                  <c:v>5</c:v>
                </c:pt>
                <c:pt idx="4198">
                  <c:v>5</c:v>
                </c:pt>
                <c:pt idx="4199">
                  <c:v>5</c:v>
                </c:pt>
                <c:pt idx="4200">
                  <c:v>5</c:v>
                </c:pt>
                <c:pt idx="4201">
                  <c:v>5</c:v>
                </c:pt>
                <c:pt idx="4202">
                  <c:v>5</c:v>
                </c:pt>
                <c:pt idx="4203">
                  <c:v>5</c:v>
                </c:pt>
                <c:pt idx="4204">
                  <c:v>5</c:v>
                </c:pt>
                <c:pt idx="4205">
                  <c:v>5</c:v>
                </c:pt>
                <c:pt idx="4206">
                  <c:v>5</c:v>
                </c:pt>
                <c:pt idx="4207">
                  <c:v>5</c:v>
                </c:pt>
                <c:pt idx="4208">
                  <c:v>5</c:v>
                </c:pt>
                <c:pt idx="4209">
                  <c:v>5</c:v>
                </c:pt>
                <c:pt idx="4210">
                  <c:v>5</c:v>
                </c:pt>
                <c:pt idx="4211">
                  <c:v>5</c:v>
                </c:pt>
                <c:pt idx="4212">
                  <c:v>5</c:v>
                </c:pt>
                <c:pt idx="4213">
                  <c:v>5</c:v>
                </c:pt>
                <c:pt idx="4214">
                  <c:v>5</c:v>
                </c:pt>
                <c:pt idx="4215">
                  <c:v>5</c:v>
                </c:pt>
                <c:pt idx="4216">
                  <c:v>5</c:v>
                </c:pt>
                <c:pt idx="4217">
                  <c:v>5</c:v>
                </c:pt>
                <c:pt idx="4218">
                  <c:v>5</c:v>
                </c:pt>
                <c:pt idx="4219">
                  <c:v>5</c:v>
                </c:pt>
                <c:pt idx="4220">
                  <c:v>5</c:v>
                </c:pt>
                <c:pt idx="4221">
                  <c:v>5</c:v>
                </c:pt>
                <c:pt idx="4222">
                  <c:v>5</c:v>
                </c:pt>
                <c:pt idx="4223">
                  <c:v>5</c:v>
                </c:pt>
                <c:pt idx="4224">
                  <c:v>5</c:v>
                </c:pt>
                <c:pt idx="4225">
                  <c:v>5</c:v>
                </c:pt>
                <c:pt idx="4226">
                  <c:v>5</c:v>
                </c:pt>
                <c:pt idx="4227">
                  <c:v>5</c:v>
                </c:pt>
                <c:pt idx="4228">
                  <c:v>5</c:v>
                </c:pt>
                <c:pt idx="4229">
                  <c:v>5</c:v>
                </c:pt>
                <c:pt idx="4230">
                  <c:v>5</c:v>
                </c:pt>
                <c:pt idx="4231">
                  <c:v>5</c:v>
                </c:pt>
                <c:pt idx="4232">
                  <c:v>5</c:v>
                </c:pt>
                <c:pt idx="4233">
                  <c:v>5</c:v>
                </c:pt>
                <c:pt idx="4234">
                  <c:v>5</c:v>
                </c:pt>
                <c:pt idx="4235">
                  <c:v>5</c:v>
                </c:pt>
                <c:pt idx="4236">
                  <c:v>5</c:v>
                </c:pt>
                <c:pt idx="4237">
                  <c:v>5</c:v>
                </c:pt>
                <c:pt idx="4238">
                  <c:v>5</c:v>
                </c:pt>
                <c:pt idx="4239">
                  <c:v>5</c:v>
                </c:pt>
                <c:pt idx="4240">
                  <c:v>5</c:v>
                </c:pt>
                <c:pt idx="4241">
                  <c:v>5</c:v>
                </c:pt>
                <c:pt idx="4242">
                  <c:v>5</c:v>
                </c:pt>
                <c:pt idx="4243">
                  <c:v>5</c:v>
                </c:pt>
                <c:pt idx="4244">
                  <c:v>5</c:v>
                </c:pt>
                <c:pt idx="4245">
                  <c:v>5</c:v>
                </c:pt>
                <c:pt idx="4246">
                  <c:v>5</c:v>
                </c:pt>
                <c:pt idx="4247">
                  <c:v>5</c:v>
                </c:pt>
                <c:pt idx="4248">
                  <c:v>5</c:v>
                </c:pt>
                <c:pt idx="4249">
                  <c:v>5</c:v>
                </c:pt>
                <c:pt idx="4250">
                  <c:v>5</c:v>
                </c:pt>
                <c:pt idx="4251">
                  <c:v>5</c:v>
                </c:pt>
                <c:pt idx="4252">
                  <c:v>5</c:v>
                </c:pt>
                <c:pt idx="4253">
                  <c:v>5</c:v>
                </c:pt>
                <c:pt idx="4254">
                  <c:v>5</c:v>
                </c:pt>
                <c:pt idx="4255">
                  <c:v>5</c:v>
                </c:pt>
                <c:pt idx="4256">
                  <c:v>5</c:v>
                </c:pt>
                <c:pt idx="4257">
                  <c:v>5</c:v>
                </c:pt>
                <c:pt idx="4258">
                  <c:v>5</c:v>
                </c:pt>
                <c:pt idx="4259">
                  <c:v>5</c:v>
                </c:pt>
                <c:pt idx="4260">
                  <c:v>5</c:v>
                </c:pt>
                <c:pt idx="4261">
                  <c:v>5</c:v>
                </c:pt>
                <c:pt idx="4262">
                  <c:v>5</c:v>
                </c:pt>
                <c:pt idx="4263">
                  <c:v>5</c:v>
                </c:pt>
                <c:pt idx="4264">
                  <c:v>5</c:v>
                </c:pt>
                <c:pt idx="4265">
                  <c:v>5</c:v>
                </c:pt>
                <c:pt idx="4266">
                  <c:v>5</c:v>
                </c:pt>
                <c:pt idx="4267">
                  <c:v>5</c:v>
                </c:pt>
                <c:pt idx="4268">
                  <c:v>5</c:v>
                </c:pt>
                <c:pt idx="4269">
                  <c:v>5</c:v>
                </c:pt>
                <c:pt idx="4270">
                  <c:v>5</c:v>
                </c:pt>
                <c:pt idx="4271">
                  <c:v>5</c:v>
                </c:pt>
                <c:pt idx="4272">
                  <c:v>5</c:v>
                </c:pt>
                <c:pt idx="4273">
                  <c:v>5</c:v>
                </c:pt>
                <c:pt idx="4274">
                  <c:v>5</c:v>
                </c:pt>
                <c:pt idx="4275">
                  <c:v>5</c:v>
                </c:pt>
                <c:pt idx="4276">
                  <c:v>5</c:v>
                </c:pt>
                <c:pt idx="4277">
                  <c:v>5</c:v>
                </c:pt>
                <c:pt idx="4278">
                  <c:v>5</c:v>
                </c:pt>
                <c:pt idx="4279">
                  <c:v>5</c:v>
                </c:pt>
                <c:pt idx="4280">
                  <c:v>5</c:v>
                </c:pt>
                <c:pt idx="4281">
                  <c:v>5</c:v>
                </c:pt>
                <c:pt idx="4282">
                  <c:v>5</c:v>
                </c:pt>
                <c:pt idx="4283">
                  <c:v>5</c:v>
                </c:pt>
                <c:pt idx="4284">
                  <c:v>5</c:v>
                </c:pt>
                <c:pt idx="4285">
                  <c:v>5</c:v>
                </c:pt>
                <c:pt idx="4286">
                  <c:v>5</c:v>
                </c:pt>
                <c:pt idx="4287">
                  <c:v>5</c:v>
                </c:pt>
                <c:pt idx="4288">
                  <c:v>5</c:v>
                </c:pt>
                <c:pt idx="4289">
                  <c:v>5</c:v>
                </c:pt>
                <c:pt idx="4290">
                  <c:v>5</c:v>
                </c:pt>
                <c:pt idx="4291">
                  <c:v>5</c:v>
                </c:pt>
                <c:pt idx="4292">
                  <c:v>5</c:v>
                </c:pt>
                <c:pt idx="4293">
                  <c:v>5</c:v>
                </c:pt>
                <c:pt idx="4294">
                  <c:v>5</c:v>
                </c:pt>
                <c:pt idx="4295">
                  <c:v>5</c:v>
                </c:pt>
                <c:pt idx="4296">
                  <c:v>5</c:v>
                </c:pt>
                <c:pt idx="4297">
                  <c:v>5</c:v>
                </c:pt>
                <c:pt idx="4298">
                  <c:v>5</c:v>
                </c:pt>
                <c:pt idx="4299">
                  <c:v>5</c:v>
                </c:pt>
                <c:pt idx="4300">
                  <c:v>5</c:v>
                </c:pt>
                <c:pt idx="4301">
                  <c:v>5</c:v>
                </c:pt>
                <c:pt idx="4302">
                  <c:v>5</c:v>
                </c:pt>
                <c:pt idx="4303">
                  <c:v>5</c:v>
                </c:pt>
                <c:pt idx="4304">
                  <c:v>5</c:v>
                </c:pt>
                <c:pt idx="4305">
                  <c:v>5</c:v>
                </c:pt>
                <c:pt idx="4306">
                  <c:v>5</c:v>
                </c:pt>
                <c:pt idx="4307">
                  <c:v>5</c:v>
                </c:pt>
                <c:pt idx="4308">
                  <c:v>5</c:v>
                </c:pt>
                <c:pt idx="4309">
                  <c:v>5</c:v>
                </c:pt>
                <c:pt idx="4310">
                  <c:v>5</c:v>
                </c:pt>
                <c:pt idx="4311">
                  <c:v>5</c:v>
                </c:pt>
                <c:pt idx="4312">
                  <c:v>5</c:v>
                </c:pt>
                <c:pt idx="4313">
                  <c:v>5</c:v>
                </c:pt>
                <c:pt idx="4314">
                  <c:v>5</c:v>
                </c:pt>
                <c:pt idx="4315">
                  <c:v>5</c:v>
                </c:pt>
                <c:pt idx="4316">
                  <c:v>5</c:v>
                </c:pt>
                <c:pt idx="4317">
                  <c:v>5</c:v>
                </c:pt>
                <c:pt idx="4318">
                  <c:v>5</c:v>
                </c:pt>
                <c:pt idx="4319">
                  <c:v>5</c:v>
                </c:pt>
                <c:pt idx="4320">
                  <c:v>5</c:v>
                </c:pt>
                <c:pt idx="4321">
                  <c:v>5</c:v>
                </c:pt>
                <c:pt idx="4322">
                  <c:v>5</c:v>
                </c:pt>
                <c:pt idx="4323">
                  <c:v>5</c:v>
                </c:pt>
                <c:pt idx="4324">
                  <c:v>5</c:v>
                </c:pt>
                <c:pt idx="4325">
                  <c:v>5</c:v>
                </c:pt>
                <c:pt idx="4326">
                  <c:v>5</c:v>
                </c:pt>
                <c:pt idx="4327">
                  <c:v>5</c:v>
                </c:pt>
                <c:pt idx="4328">
                  <c:v>5</c:v>
                </c:pt>
                <c:pt idx="4329">
                  <c:v>5</c:v>
                </c:pt>
                <c:pt idx="4330">
                  <c:v>5</c:v>
                </c:pt>
                <c:pt idx="4331">
                  <c:v>5</c:v>
                </c:pt>
                <c:pt idx="4332">
                  <c:v>5</c:v>
                </c:pt>
                <c:pt idx="4333">
                  <c:v>5</c:v>
                </c:pt>
                <c:pt idx="4334">
                  <c:v>5</c:v>
                </c:pt>
                <c:pt idx="4335">
                  <c:v>5</c:v>
                </c:pt>
                <c:pt idx="4336">
                  <c:v>5</c:v>
                </c:pt>
                <c:pt idx="4337">
                  <c:v>5</c:v>
                </c:pt>
                <c:pt idx="4338">
                  <c:v>5</c:v>
                </c:pt>
                <c:pt idx="4339">
                  <c:v>5</c:v>
                </c:pt>
                <c:pt idx="4340">
                  <c:v>5</c:v>
                </c:pt>
                <c:pt idx="4341">
                  <c:v>5</c:v>
                </c:pt>
                <c:pt idx="4342">
                  <c:v>5</c:v>
                </c:pt>
                <c:pt idx="4343">
                  <c:v>5</c:v>
                </c:pt>
                <c:pt idx="4344">
                  <c:v>5</c:v>
                </c:pt>
                <c:pt idx="4345">
                  <c:v>5</c:v>
                </c:pt>
                <c:pt idx="4346">
                  <c:v>5</c:v>
                </c:pt>
                <c:pt idx="4347">
                  <c:v>5</c:v>
                </c:pt>
                <c:pt idx="4348">
                  <c:v>5</c:v>
                </c:pt>
                <c:pt idx="4349">
                  <c:v>5</c:v>
                </c:pt>
                <c:pt idx="4350">
                  <c:v>5</c:v>
                </c:pt>
                <c:pt idx="4351">
                  <c:v>5</c:v>
                </c:pt>
                <c:pt idx="4352">
                  <c:v>5</c:v>
                </c:pt>
                <c:pt idx="4353">
                  <c:v>5</c:v>
                </c:pt>
                <c:pt idx="4354">
                  <c:v>5</c:v>
                </c:pt>
                <c:pt idx="4355">
                  <c:v>5</c:v>
                </c:pt>
                <c:pt idx="4356">
                  <c:v>5</c:v>
                </c:pt>
                <c:pt idx="4357">
                  <c:v>5</c:v>
                </c:pt>
                <c:pt idx="4358">
                  <c:v>5</c:v>
                </c:pt>
                <c:pt idx="4359">
                  <c:v>5</c:v>
                </c:pt>
                <c:pt idx="4360">
                  <c:v>5</c:v>
                </c:pt>
                <c:pt idx="4361">
                  <c:v>5</c:v>
                </c:pt>
                <c:pt idx="4362">
                  <c:v>5</c:v>
                </c:pt>
                <c:pt idx="4363">
                  <c:v>5</c:v>
                </c:pt>
                <c:pt idx="4364">
                  <c:v>5</c:v>
                </c:pt>
                <c:pt idx="4365">
                  <c:v>5</c:v>
                </c:pt>
                <c:pt idx="4366">
                  <c:v>5</c:v>
                </c:pt>
                <c:pt idx="4367">
                  <c:v>5</c:v>
                </c:pt>
                <c:pt idx="4368">
                  <c:v>5</c:v>
                </c:pt>
                <c:pt idx="4369">
                  <c:v>5</c:v>
                </c:pt>
                <c:pt idx="4370">
                  <c:v>5</c:v>
                </c:pt>
                <c:pt idx="4371">
                  <c:v>5</c:v>
                </c:pt>
                <c:pt idx="4372">
                  <c:v>5</c:v>
                </c:pt>
                <c:pt idx="4373">
                  <c:v>5</c:v>
                </c:pt>
                <c:pt idx="4374">
                  <c:v>5</c:v>
                </c:pt>
                <c:pt idx="4375">
                  <c:v>5</c:v>
                </c:pt>
                <c:pt idx="4376">
                  <c:v>5</c:v>
                </c:pt>
                <c:pt idx="4377">
                  <c:v>5</c:v>
                </c:pt>
                <c:pt idx="4378">
                  <c:v>5</c:v>
                </c:pt>
                <c:pt idx="4379">
                  <c:v>5</c:v>
                </c:pt>
                <c:pt idx="4380">
                  <c:v>5</c:v>
                </c:pt>
                <c:pt idx="4381">
                  <c:v>5</c:v>
                </c:pt>
                <c:pt idx="4382">
                  <c:v>5</c:v>
                </c:pt>
                <c:pt idx="4383">
                  <c:v>5</c:v>
                </c:pt>
                <c:pt idx="4384">
                  <c:v>5</c:v>
                </c:pt>
                <c:pt idx="4385">
                  <c:v>5</c:v>
                </c:pt>
                <c:pt idx="4386">
                  <c:v>5</c:v>
                </c:pt>
                <c:pt idx="4387">
                  <c:v>5</c:v>
                </c:pt>
                <c:pt idx="4388">
                  <c:v>5</c:v>
                </c:pt>
                <c:pt idx="4389">
                  <c:v>5</c:v>
                </c:pt>
                <c:pt idx="4390">
                  <c:v>5</c:v>
                </c:pt>
                <c:pt idx="4391">
                  <c:v>5</c:v>
                </c:pt>
                <c:pt idx="4392">
                  <c:v>5</c:v>
                </c:pt>
                <c:pt idx="4393">
                  <c:v>5</c:v>
                </c:pt>
                <c:pt idx="4394">
                  <c:v>5</c:v>
                </c:pt>
                <c:pt idx="4395">
                  <c:v>5</c:v>
                </c:pt>
                <c:pt idx="4396">
                  <c:v>5</c:v>
                </c:pt>
                <c:pt idx="4397">
                  <c:v>5</c:v>
                </c:pt>
                <c:pt idx="4398">
                  <c:v>5</c:v>
                </c:pt>
                <c:pt idx="4399">
                  <c:v>5</c:v>
                </c:pt>
                <c:pt idx="4400">
                  <c:v>5</c:v>
                </c:pt>
                <c:pt idx="4401">
                  <c:v>5</c:v>
                </c:pt>
                <c:pt idx="4402">
                  <c:v>5</c:v>
                </c:pt>
                <c:pt idx="4403">
                  <c:v>5</c:v>
                </c:pt>
                <c:pt idx="4404">
                  <c:v>5</c:v>
                </c:pt>
                <c:pt idx="4405">
                  <c:v>5</c:v>
                </c:pt>
                <c:pt idx="4406">
                  <c:v>5</c:v>
                </c:pt>
                <c:pt idx="4407">
                  <c:v>5</c:v>
                </c:pt>
                <c:pt idx="4408">
                  <c:v>5</c:v>
                </c:pt>
                <c:pt idx="4409">
                  <c:v>5</c:v>
                </c:pt>
                <c:pt idx="4410">
                  <c:v>5</c:v>
                </c:pt>
                <c:pt idx="4411">
                  <c:v>5</c:v>
                </c:pt>
                <c:pt idx="4412">
                  <c:v>5</c:v>
                </c:pt>
                <c:pt idx="4413">
                  <c:v>5</c:v>
                </c:pt>
                <c:pt idx="4414">
                  <c:v>5</c:v>
                </c:pt>
                <c:pt idx="4415">
                  <c:v>5</c:v>
                </c:pt>
                <c:pt idx="4416">
                  <c:v>5</c:v>
                </c:pt>
                <c:pt idx="4417">
                  <c:v>5</c:v>
                </c:pt>
                <c:pt idx="4418">
                  <c:v>5</c:v>
                </c:pt>
                <c:pt idx="4419">
                  <c:v>5</c:v>
                </c:pt>
                <c:pt idx="4420">
                  <c:v>5</c:v>
                </c:pt>
                <c:pt idx="4421">
                  <c:v>5</c:v>
                </c:pt>
                <c:pt idx="4422">
                  <c:v>5</c:v>
                </c:pt>
                <c:pt idx="4423">
                  <c:v>5</c:v>
                </c:pt>
                <c:pt idx="4424">
                  <c:v>5</c:v>
                </c:pt>
                <c:pt idx="4425">
                  <c:v>5</c:v>
                </c:pt>
                <c:pt idx="4426">
                  <c:v>5</c:v>
                </c:pt>
                <c:pt idx="4427">
                  <c:v>5</c:v>
                </c:pt>
                <c:pt idx="4428">
                  <c:v>5</c:v>
                </c:pt>
                <c:pt idx="4429">
                  <c:v>5</c:v>
                </c:pt>
                <c:pt idx="4430">
                  <c:v>5</c:v>
                </c:pt>
                <c:pt idx="4431">
                  <c:v>5</c:v>
                </c:pt>
                <c:pt idx="4432">
                  <c:v>5</c:v>
                </c:pt>
                <c:pt idx="4433">
                  <c:v>5</c:v>
                </c:pt>
                <c:pt idx="4434">
                  <c:v>5</c:v>
                </c:pt>
                <c:pt idx="4435">
                  <c:v>5</c:v>
                </c:pt>
                <c:pt idx="4436">
                  <c:v>5</c:v>
                </c:pt>
                <c:pt idx="4437">
                  <c:v>5</c:v>
                </c:pt>
                <c:pt idx="4438">
                  <c:v>5</c:v>
                </c:pt>
                <c:pt idx="4439">
                  <c:v>5</c:v>
                </c:pt>
                <c:pt idx="4440">
                  <c:v>5</c:v>
                </c:pt>
                <c:pt idx="4441">
                  <c:v>5</c:v>
                </c:pt>
                <c:pt idx="4442">
                  <c:v>5</c:v>
                </c:pt>
                <c:pt idx="4443">
                  <c:v>5</c:v>
                </c:pt>
                <c:pt idx="4444">
                  <c:v>5</c:v>
                </c:pt>
                <c:pt idx="5087">
                  <c:v>6</c:v>
                </c:pt>
                <c:pt idx="5088">
                  <c:v>6</c:v>
                </c:pt>
                <c:pt idx="5089">
                  <c:v>6</c:v>
                </c:pt>
                <c:pt idx="5090">
                  <c:v>6</c:v>
                </c:pt>
                <c:pt idx="5091">
                  <c:v>6</c:v>
                </c:pt>
                <c:pt idx="5092">
                  <c:v>6</c:v>
                </c:pt>
                <c:pt idx="5093">
                  <c:v>6</c:v>
                </c:pt>
                <c:pt idx="5094">
                  <c:v>6</c:v>
                </c:pt>
                <c:pt idx="5095">
                  <c:v>6</c:v>
                </c:pt>
                <c:pt idx="5096">
                  <c:v>6</c:v>
                </c:pt>
                <c:pt idx="5097">
                  <c:v>6</c:v>
                </c:pt>
                <c:pt idx="5098">
                  <c:v>6</c:v>
                </c:pt>
                <c:pt idx="5099">
                  <c:v>6</c:v>
                </c:pt>
                <c:pt idx="5100">
                  <c:v>6</c:v>
                </c:pt>
                <c:pt idx="5101">
                  <c:v>6</c:v>
                </c:pt>
                <c:pt idx="5102">
                  <c:v>6</c:v>
                </c:pt>
                <c:pt idx="5103">
                  <c:v>6</c:v>
                </c:pt>
                <c:pt idx="5104">
                  <c:v>6</c:v>
                </c:pt>
                <c:pt idx="5105">
                  <c:v>6</c:v>
                </c:pt>
                <c:pt idx="5106">
                  <c:v>6</c:v>
                </c:pt>
                <c:pt idx="5107">
                  <c:v>6</c:v>
                </c:pt>
                <c:pt idx="5108">
                  <c:v>6</c:v>
                </c:pt>
                <c:pt idx="5109">
                  <c:v>6</c:v>
                </c:pt>
                <c:pt idx="5110">
                  <c:v>6</c:v>
                </c:pt>
                <c:pt idx="5111">
                  <c:v>6</c:v>
                </c:pt>
                <c:pt idx="5112">
                  <c:v>6</c:v>
                </c:pt>
                <c:pt idx="5113">
                  <c:v>6</c:v>
                </c:pt>
                <c:pt idx="5114">
                  <c:v>6</c:v>
                </c:pt>
                <c:pt idx="5115">
                  <c:v>6</c:v>
                </c:pt>
                <c:pt idx="5116">
                  <c:v>6</c:v>
                </c:pt>
                <c:pt idx="5117">
                  <c:v>6</c:v>
                </c:pt>
                <c:pt idx="5118">
                  <c:v>6</c:v>
                </c:pt>
                <c:pt idx="5119">
                  <c:v>6</c:v>
                </c:pt>
                <c:pt idx="5120">
                  <c:v>6</c:v>
                </c:pt>
                <c:pt idx="5121">
                  <c:v>6</c:v>
                </c:pt>
                <c:pt idx="5122">
                  <c:v>6</c:v>
                </c:pt>
                <c:pt idx="5123">
                  <c:v>6</c:v>
                </c:pt>
                <c:pt idx="5124">
                  <c:v>6</c:v>
                </c:pt>
                <c:pt idx="5125">
                  <c:v>6</c:v>
                </c:pt>
                <c:pt idx="5126">
                  <c:v>6</c:v>
                </c:pt>
                <c:pt idx="5127">
                  <c:v>6</c:v>
                </c:pt>
                <c:pt idx="5128">
                  <c:v>6</c:v>
                </c:pt>
                <c:pt idx="5129">
                  <c:v>6</c:v>
                </c:pt>
                <c:pt idx="5130">
                  <c:v>6</c:v>
                </c:pt>
                <c:pt idx="5131">
                  <c:v>6</c:v>
                </c:pt>
                <c:pt idx="5132">
                  <c:v>6</c:v>
                </c:pt>
                <c:pt idx="5133">
                  <c:v>6</c:v>
                </c:pt>
                <c:pt idx="5134">
                  <c:v>6</c:v>
                </c:pt>
                <c:pt idx="5135">
                  <c:v>6</c:v>
                </c:pt>
                <c:pt idx="5136">
                  <c:v>6</c:v>
                </c:pt>
                <c:pt idx="5137">
                  <c:v>6</c:v>
                </c:pt>
                <c:pt idx="5138">
                  <c:v>6</c:v>
                </c:pt>
                <c:pt idx="5139">
                  <c:v>6</c:v>
                </c:pt>
                <c:pt idx="5140">
                  <c:v>6</c:v>
                </c:pt>
                <c:pt idx="5141">
                  <c:v>6</c:v>
                </c:pt>
                <c:pt idx="5142">
                  <c:v>6</c:v>
                </c:pt>
                <c:pt idx="5143">
                  <c:v>6</c:v>
                </c:pt>
                <c:pt idx="5144">
                  <c:v>6</c:v>
                </c:pt>
                <c:pt idx="5145">
                  <c:v>6</c:v>
                </c:pt>
                <c:pt idx="5146">
                  <c:v>6</c:v>
                </c:pt>
                <c:pt idx="5147">
                  <c:v>6</c:v>
                </c:pt>
                <c:pt idx="5148">
                  <c:v>6</c:v>
                </c:pt>
                <c:pt idx="5149">
                  <c:v>6</c:v>
                </c:pt>
                <c:pt idx="5150">
                  <c:v>6</c:v>
                </c:pt>
                <c:pt idx="5151">
                  <c:v>6</c:v>
                </c:pt>
                <c:pt idx="5152">
                  <c:v>6</c:v>
                </c:pt>
                <c:pt idx="5153">
                  <c:v>6</c:v>
                </c:pt>
                <c:pt idx="5154">
                  <c:v>6</c:v>
                </c:pt>
                <c:pt idx="5155">
                  <c:v>6</c:v>
                </c:pt>
                <c:pt idx="5156">
                  <c:v>6</c:v>
                </c:pt>
                <c:pt idx="5157">
                  <c:v>6</c:v>
                </c:pt>
                <c:pt idx="5158">
                  <c:v>6</c:v>
                </c:pt>
                <c:pt idx="5159">
                  <c:v>6</c:v>
                </c:pt>
                <c:pt idx="5160">
                  <c:v>6</c:v>
                </c:pt>
                <c:pt idx="5161">
                  <c:v>6</c:v>
                </c:pt>
                <c:pt idx="5162">
                  <c:v>6</c:v>
                </c:pt>
                <c:pt idx="5163">
                  <c:v>6</c:v>
                </c:pt>
                <c:pt idx="5164">
                  <c:v>6</c:v>
                </c:pt>
                <c:pt idx="5165">
                  <c:v>6</c:v>
                </c:pt>
                <c:pt idx="5166">
                  <c:v>6</c:v>
                </c:pt>
                <c:pt idx="5167">
                  <c:v>6</c:v>
                </c:pt>
                <c:pt idx="5168">
                  <c:v>6</c:v>
                </c:pt>
                <c:pt idx="5169">
                  <c:v>6</c:v>
                </c:pt>
                <c:pt idx="5170">
                  <c:v>6</c:v>
                </c:pt>
                <c:pt idx="5171">
                  <c:v>6</c:v>
                </c:pt>
                <c:pt idx="5172">
                  <c:v>6</c:v>
                </c:pt>
                <c:pt idx="5173">
                  <c:v>6</c:v>
                </c:pt>
                <c:pt idx="5174">
                  <c:v>6</c:v>
                </c:pt>
                <c:pt idx="5175">
                  <c:v>6</c:v>
                </c:pt>
                <c:pt idx="5176">
                  <c:v>6</c:v>
                </c:pt>
                <c:pt idx="5177">
                  <c:v>6</c:v>
                </c:pt>
                <c:pt idx="5178">
                  <c:v>6</c:v>
                </c:pt>
                <c:pt idx="5179">
                  <c:v>6</c:v>
                </c:pt>
                <c:pt idx="5180">
                  <c:v>6</c:v>
                </c:pt>
                <c:pt idx="5181">
                  <c:v>6</c:v>
                </c:pt>
                <c:pt idx="5182">
                  <c:v>6</c:v>
                </c:pt>
                <c:pt idx="5183">
                  <c:v>6</c:v>
                </c:pt>
                <c:pt idx="5184">
                  <c:v>6</c:v>
                </c:pt>
                <c:pt idx="5185">
                  <c:v>6</c:v>
                </c:pt>
                <c:pt idx="5186">
                  <c:v>6</c:v>
                </c:pt>
                <c:pt idx="5187">
                  <c:v>6</c:v>
                </c:pt>
                <c:pt idx="5188">
                  <c:v>6</c:v>
                </c:pt>
                <c:pt idx="5189">
                  <c:v>6</c:v>
                </c:pt>
                <c:pt idx="5190">
                  <c:v>6</c:v>
                </c:pt>
                <c:pt idx="5191">
                  <c:v>6</c:v>
                </c:pt>
                <c:pt idx="5192">
                  <c:v>6</c:v>
                </c:pt>
                <c:pt idx="5193">
                  <c:v>6</c:v>
                </c:pt>
                <c:pt idx="5194">
                  <c:v>6</c:v>
                </c:pt>
                <c:pt idx="5195">
                  <c:v>6</c:v>
                </c:pt>
                <c:pt idx="5196">
                  <c:v>6</c:v>
                </c:pt>
                <c:pt idx="5197">
                  <c:v>6</c:v>
                </c:pt>
                <c:pt idx="5198">
                  <c:v>6</c:v>
                </c:pt>
                <c:pt idx="5199">
                  <c:v>6</c:v>
                </c:pt>
                <c:pt idx="5200">
                  <c:v>6</c:v>
                </c:pt>
                <c:pt idx="5201">
                  <c:v>6</c:v>
                </c:pt>
                <c:pt idx="5202">
                  <c:v>6</c:v>
                </c:pt>
                <c:pt idx="5203">
                  <c:v>6</c:v>
                </c:pt>
                <c:pt idx="5204">
                  <c:v>6</c:v>
                </c:pt>
                <c:pt idx="5205">
                  <c:v>6</c:v>
                </c:pt>
                <c:pt idx="5206">
                  <c:v>6</c:v>
                </c:pt>
                <c:pt idx="5207">
                  <c:v>6</c:v>
                </c:pt>
                <c:pt idx="5208">
                  <c:v>6</c:v>
                </c:pt>
                <c:pt idx="5209">
                  <c:v>6</c:v>
                </c:pt>
                <c:pt idx="5210">
                  <c:v>6</c:v>
                </c:pt>
                <c:pt idx="5211">
                  <c:v>6</c:v>
                </c:pt>
                <c:pt idx="5212">
                  <c:v>6</c:v>
                </c:pt>
                <c:pt idx="5213">
                  <c:v>6</c:v>
                </c:pt>
                <c:pt idx="5214">
                  <c:v>6</c:v>
                </c:pt>
                <c:pt idx="5215">
                  <c:v>6</c:v>
                </c:pt>
                <c:pt idx="5216">
                  <c:v>6</c:v>
                </c:pt>
                <c:pt idx="5217">
                  <c:v>6</c:v>
                </c:pt>
                <c:pt idx="5218">
                  <c:v>6</c:v>
                </c:pt>
                <c:pt idx="5219">
                  <c:v>6</c:v>
                </c:pt>
                <c:pt idx="5220">
                  <c:v>6</c:v>
                </c:pt>
                <c:pt idx="5221">
                  <c:v>6</c:v>
                </c:pt>
                <c:pt idx="5222">
                  <c:v>6</c:v>
                </c:pt>
                <c:pt idx="5223">
                  <c:v>6</c:v>
                </c:pt>
                <c:pt idx="5224">
                  <c:v>6</c:v>
                </c:pt>
                <c:pt idx="5225">
                  <c:v>6</c:v>
                </c:pt>
                <c:pt idx="5226">
                  <c:v>6</c:v>
                </c:pt>
                <c:pt idx="5227">
                  <c:v>6</c:v>
                </c:pt>
                <c:pt idx="5228">
                  <c:v>6</c:v>
                </c:pt>
                <c:pt idx="5229">
                  <c:v>6</c:v>
                </c:pt>
                <c:pt idx="5230">
                  <c:v>6</c:v>
                </c:pt>
                <c:pt idx="5231">
                  <c:v>6</c:v>
                </c:pt>
                <c:pt idx="5232">
                  <c:v>6</c:v>
                </c:pt>
                <c:pt idx="5233">
                  <c:v>6</c:v>
                </c:pt>
                <c:pt idx="5234">
                  <c:v>6</c:v>
                </c:pt>
                <c:pt idx="5235">
                  <c:v>6</c:v>
                </c:pt>
                <c:pt idx="5236">
                  <c:v>6</c:v>
                </c:pt>
                <c:pt idx="5237">
                  <c:v>6</c:v>
                </c:pt>
                <c:pt idx="5238">
                  <c:v>6</c:v>
                </c:pt>
                <c:pt idx="5239">
                  <c:v>6</c:v>
                </c:pt>
                <c:pt idx="5240">
                  <c:v>6</c:v>
                </c:pt>
                <c:pt idx="5241">
                  <c:v>6</c:v>
                </c:pt>
                <c:pt idx="5242">
                  <c:v>6</c:v>
                </c:pt>
                <c:pt idx="5243">
                  <c:v>6</c:v>
                </c:pt>
                <c:pt idx="5244">
                  <c:v>6</c:v>
                </c:pt>
                <c:pt idx="5245">
                  <c:v>6</c:v>
                </c:pt>
                <c:pt idx="5246">
                  <c:v>6</c:v>
                </c:pt>
                <c:pt idx="5247">
                  <c:v>6</c:v>
                </c:pt>
                <c:pt idx="5248">
                  <c:v>6</c:v>
                </c:pt>
                <c:pt idx="5249">
                  <c:v>6</c:v>
                </c:pt>
                <c:pt idx="5250">
                  <c:v>6</c:v>
                </c:pt>
                <c:pt idx="5251">
                  <c:v>6</c:v>
                </c:pt>
                <c:pt idx="5252">
                  <c:v>6</c:v>
                </c:pt>
                <c:pt idx="5253">
                  <c:v>6</c:v>
                </c:pt>
                <c:pt idx="5254">
                  <c:v>6</c:v>
                </c:pt>
                <c:pt idx="5255">
                  <c:v>6</c:v>
                </c:pt>
                <c:pt idx="5256">
                  <c:v>6</c:v>
                </c:pt>
                <c:pt idx="5257">
                  <c:v>6</c:v>
                </c:pt>
                <c:pt idx="5258">
                  <c:v>6</c:v>
                </c:pt>
                <c:pt idx="5259">
                  <c:v>6</c:v>
                </c:pt>
                <c:pt idx="5260">
                  <c:v>6</c:v>
                </c:pt>
                <c:pt idx="5261">
                  <c:v>6</c:v>
                </c:pt>
                <c:pt idx="5262">
                  <c:v>6</c:v>
                </c:pt>
                <c:pt idx="5263">
                  <c:v>6</c:v>
                </c:pt>
                <c:pt idx="6180">
                  <c:v>7</c:v>
                </c:pt>
                <c:pt idx="6181">
                  <c:v>7</c:v>
                </c:pt>
                <c:pt idx="6182">
                  <c:v>7</c:v>
                </c:pt>
                <c:pt idx="6183">
                  <c:v>7</c:v>
                </c:pt>
                <c:pt idx="6184">
                  <c:v>7</c:v>
                </c:pt>
                <c:pt idx="6185">
                  <c:v>7</c:v>
                </c:pt>
                <c:pt idx="6186">
                  <c:v>7</c:v>
                </c:pt>
                <c:pt idx="6187">
                  <c:v>7</c:v>
                </c:pt>
                <c:pt idx="6188">
                  <c:v>7</c:v>
                </c:pt>
                <c:pt idx="6189">
                  <c:v>7</c:v>
                </c:pt>
                <c:pt idx="6190">
                  <c:v>7</c:v>
                </c:pt>
                <c:pt idx="6191">
                  <c:v>7</c:v>
                </c:pt>
                <c:pt idx="6192">
                  <c:v>7</c:v>
                </c:pt>
                <c:pt idx="6193">
                  <c:v>7</c:v>
                </c:pt>
                <c:pt idx="6194">
                  <c:v>7</c:v>
                </c:pt>
                <c:pt idx="6195">
                  <c:v>7</c:v>
                </c:pt>
                <c:pt idx="6196">
                  <c:v>7</c:v>
                </c:pt>
                <c:pt idx="6197">
                  <c:v>7</c:v>
                </c:pt>
                <c:pt idx="6198">
                  <c:v>7</c:v>
                </c:pt>
                <c:pt idx="6199">
                  <c:v>7</c:v>
                </c:pt>
                <c:pt idx="6200">
                  <c:v>7</c:v>
                </c:pt>
                <c:pt idx="6201">
                  <c:v>7</c:v>
                </c:pt>
                <c:pt idx="6202">
                  <c:v>7</c:v>
                </c:pt>
                <c:pt idx="6203">
                  <c:v>7</c:v>
                </c:pt>
                <c:pt idx="6204">
                  <c:v>7</c:v>
                </c:pt>
                <c:pt idx="6205">
                  <c:v>7</c:v>
                </c:pt>
                <c:pt idx="6206">
                  <c:v>7</c:v>
                </c:pt>
                <c:pt idx="6207">
                  <c:v>7</c:v>
                </c:pt>
                <c:pt idx="6208">
                  <c:v>7</c:v>
                </c:pt>
                <c:pt idx="6209">
                  <c:v>7</c:v>
                </c:pt>
                <c:pt idx="6210">
                  <c:v>7</c:v>
                </c:pt>
                <c:pt idx="6211">
                  <c:v>7</c:v>
                </c:pt>
                <c:pt idx="6212">
                  <c:v>7</c:v>
                </c:pt>
                <c:pt idx="6213">
                  <c:v>7</c:v>
                </c:pt>
                <c:pt idx="6214">
                  <c:v>7</c:v>
                </c:pt>
                <c:pt idx="6215">
                  <c:v>7</c:v>
                </c:pt>
                <c:pt idx="6216">
                  <c:v>7</c:v>
                </c:pt>
                <c:pt idx="6217">
                  <c:v>7</c:v>
                </c:pt>
                <c:pt idx="6218">
                  <c:v>7</c:v>
                </c:pt>
                <c:pt idx="6219">
                  <c:v>7</c:v>
                </c:pt>
                <c:pt idx="6220">
                  <c:v>7</c:v>
                </c:pt>
                <c:pt idx="6221">
                  <c:v>7</c:v>
                </c:pt>
                <c:pt idx="6222">
                  <c:v>7</c:v>
                </c:pt>
                <c:pt idx="6223">
                  <c:v>7</c:v>
                </c:pt>
                <c:pt idx="6224">
                  <c:v>7</c:v>
                </c:pt>
                <c:pt idx="6225">
                  <c:v>7</c:v>
                </c:pt>
                <c:pt idx="6226">
                  <c:v>7</c:v>
                </c:pt>
                <c:pt idx="6227">
                  <c:v>7</c:v>
                </c:pt>
                <c:pt idx="6228">
                  <c:v>7</c:v>
                </c:pt>
                <c:pt idx="6229">
                  <c:v>7</c:v>
                </c:pt>
                <c:pt idx="6230">
                  <c:v>7</c:v>
                </c:pt>
                <c:pt idx="6231">
                  <c:v>7</c:v>
                </c:pt>
                <c:pt idx="6232">
                  <c:v>7</c:v>
                </c:pt>
                <c:pt idx="6233">
                  <c:v>7</c:v>
                </c:pt>
                <c:pt idx="6234">
                  <c:v>7</c:v>
                </c:pt>
                <c:pt idx="6235">
                  <c:v>7</c:v>
                </c:pt>
                <c:pt idx="6236">
                  <c:v>7</c:v>
                </c:pt>
                <c:pt idx="6237">
                  <c:v>7</c:v>
                </c:pt>
                <c:pt idx="6238">
                  <c:v>7</c:v>
                </c:pt>
                <c:pt idx="6239">
                  <c:v>7</c:v>
                </c:pt>
                <c:pt idx="6240">
                  <c:v>7</c:v>
                </c:pt>
                <c:pt idx="6241">
                  <c:v>7</c:v>
                </c:pt>
                <c:pt idx="6242">
                  <c:v>7</c:v>
                </c:pt>
                <c:pt idx="6243">
                  <c:v>7</c:v>
                </c:pt>
                <c:pt idx="6244">
                  <c:v>7</c:v>
                </c:pt>
                <c:pt idx="6245">
                  <c:v>7</c:v>
                </c:pt>
                <c:pt idx="6246">
                  <c:v>7</c:v>
                </c:pt>
                <c:pt idx="6247">
                  <c:v>7</c:v>
                </c:pt>
                <c:pt idx="6248">
                  <c:v>7</c:v>
                </c:pt>
                <c:pt idx="6249">
                  <c:v>7</c:v>
                </c:pt>
                <c:pt idx="6250">
                  <c:v>7</c:v>
                </c:pt>
                <c:pt idx="6251">
                  <c:v>7</c:v>
                </c:pt>
                <c:pt idx="6252">
                  <c:v>7</c:v>
                </c:pt>
                <c:pt idx="6253">
                  <c:v>7</c:v>
                </c:pt>
                <c:pt idx="6254">
                  <c:v>7</c:v>
                </c:pt>
                <c:pt idx="6255">
                  <c:v>7</c:v>
                </c:pt>
                <c:pt idx="6256">
                  <c:v>7</c:v>
                </c:pt>
                <c:pt idx="6257">
                  <c:v>7</c:v>
                </c:pt>
                <c:pt idx="6258">
                  <c:v>7</c:v>
                </c:pt>
                <c:pt idx="6259">
                  <c:v>7</c:v>
                </c:pt>
                <c:pt idx="6260">
                  <c:v>7</c:v>
                </c:pt>
                <c:pt idx="6261">
                  <c:v>7</c:v>
                </c:pt>
                <c:pt idx="6262">
                  <c:v>7</c:v>
                </c:pt>
                <c:pt idx="6263">
                  <c:v>7</c:v>
                </c:pt>
                <c:pt idx="6264">
                  <c:v>7</c:v>
                </c:pt>
                <c:pt idx="6265">
                  <c:v>7</c:v>
                </c:pt>
                <c:pt idx="6266">
                  <c:v>7</c:v>
                </c:pt>
                <c:pt idx="6267">
                  <c:v>7</c:v>
                </c:pt>
                <c:pt idx="6268">
                  <c:v>7</c:v>
                </c:pt>
                <c:pt idx="6269">
                  <c:v>7</c:v>
                </c:pt>
                <c:pt idx="6270">
                  <c:v>7</c:v>
                </c:pt>
                <c:pt idx="6271">
                  <c:v>7</c:v>
                </c:pt>
                <c:pt idx="6272">
                  <c:v>7</c:v>
                </c:pt>
                <c:pt idx="6273">
                  <c:v>7</c:v>
                </c:pt>
                <c:pt idx="6274">
                  <c:v>7</c:v>
                </c:pt>
                <c:pt idx="6275">
                  <c:v>7</c:v>
                </c:pt>
                <c:pt idx="6276">
                  <c:v>7</c:v>
                </c:pt>
                <c:pt idx="6277">
                  <c:v>7</c:v>
                </c:pt>
                <c:pt idx="6278">
                  <c:v>7</c:v>
                </c:pt>
                <c:pt idx="6279">
                  <c:v>7</c:v>
                </c:pt>
                <c:pt idx="6280">
                  <c:v>7</c:v>
                </c:pt>
                <c:pt idx="6281">
                  <c:v>7</c:v>
                </c:pt>
                <c:pt idx="6282">
                  <c:v>7</c:v>
                </c:pt>
                <c:pt idx="6283">
                  <c:v>7</c:v>
                </c:pt>
                <c:pt idx="6284">
                  <c:v>7</c:v>
                </c:pt>
                <c:pt idx="6285">
                  <c:v>7</c:v>
                </c:pt>
                <c:pt idx="6286">
                  <c:v>7</c:v>
                </c:pt>
                <c:pt idx="6287">
                  <c:v>7</c:v>
                </c:pt>
                <c:pt idx="6288">
                  <c:v>7</c:v>
                </c:pt>
                <c:pt idx="6289">
                  <c:v>7</c:v>
                </c:pt>
                <c:pt idx="6290">
                  <c:v>7</c:v>
                </c:pt>
                <c:pt idx="6291">
                  <c:v>7</c:v>
                </c:pt>
                <c:pt idx="6292">
                  <c:v>7</c:v>
                </c:pt>
                <c:pt idx="6293">
                  <c:v>7</c:v>
                </c:pt>
                <c:pt idx="6294">
                  <c:v>7</c:v>
                </c:pt>
                <c:pt idx="6295">
                  <c:v>7</c:v>
                </c:pt>
                <c:pt idx="6296">
                  <c:v>7</c:v>
                </c:pt>
                <c:pt idx="6297">
                  <c:v>7</c:v>
                </c:pt>
                <c:pt idx="6298">
                  <c:v>7</c:v>
                </c:pt>
                <c:pt idx="6299">
                  <c:v>7</c:v>
                </c:pt>
                <c:pt idx="6300">
                  <c:v>7</c:v>
                </c:pt>
                <c:pt idx="6301">
                  <c:v>7</c:v>
                </c:pt>
                <c:pt idx="6302">
                  <c:v>7</c:v>
                </c:pt>
                <c:pt idx="6303">
                  <c:v>7</c:v>
                </c:pt>
                <c:pt idx="6304">
                  <c:v>7</c:v>
                </c:pt>
                <c:pt idx="6305">
                  <c:v>7</c:v>
                </c:pt>
                <c:pt idx="6306">
                  <c:v>7</c:v>
                </c:pt>
                <c:pt idx="6307">
                  <c:v>7</c:v>
                </c:pt>
                <c:pt idx="6308">
                  <c:v>7</c:v>
                </c:pt>
                <c:pt idx="6309">
                  <c:v>7</c:v>
                </c:pt>
                <c:pt idx="6310">
                  <c:v>7</c:v>
                </c:pt>
                <c:pt idx="6311">
                  <c:v>7</c:v>
                </c:pt>
                <c:pt idx="6312">
                  <c:v>7</c:v>
                </c:pt>
                <c:pt idx="6313">
                  <c:v>7</c:v>
                </c:pt>
                <c:pt idx="6314">
                  <c:v>7</c:v>
                </c:pt>
                <c:pt idx="6315">
                  <c:v>7</c:v>
                </c:pt>
                <c:pt idx="6316">
                  <c:v>7</c:v>
                </c:pt>
                <c:pt idx="6317">
                  <c:v>7</c:v>
                </c:pt>
                <c:pt idx="6318">
                  <c:v>7</c:v>
                </c:pt>
                <c:pt idx="6319">
                  <c:v>7</c:v>
                </c:pt>
                <c:pt idx="6320">
                  <c:v>7</c:v>
                </c:pt>
                <c:pt idx="6321">
                  <c:v>7</c:v>
                </c:pt>
                <c:pt idx="6322">
                  <c:v>7</c:v>
                </c:pt>
                <c:pt idx="6323">
                  <c:v>7</c:v>
                </c:pt>
                <c:pt idx="6324">
                  <c:v>7</c:v>
                </c:pt>
                <c:pt idx="6325">
                  <c:v>7</c:v>
                </c:pt>
                <c:pt idx="6326">
                  <c:v>7</c:v>
                </c:pt>
                <c:pt idx="6327">
                  <c:v>7</c:v>
                </c:pt>
                <c:pt idx="6328">
                  <c:v>7</c:v>
                </c:pt>
                <c:pt idx="6329">
                  <c:v>7</c:v>
                </c:pt>
                <c:pt idx="6330">
                  <c:v>7</c:v>
                </c:pt>
                <c:pt idx="6331">
                  <c:v>7</c:v>
                </c:pt>
                <c:pt idx="6332">
                  <c:v>7</c:v>
                </c:pt>
                <c:pt idx="6333">
                  <c:v>7</c:v>
                </c:pt>
                <c:pt idx="6334">
                  <c:v>7</c:v>
                </c:pt>
                <c:pt idx="6335">
                  <c:v>7</c:v>
                </c:pt>
                <c:pt idx="6336">
                  <c:v>7</c:v>
                </c:pt>
                <c:pt idx="6337">
                  <c:v>7</c:v>
                </c:pt>
                <c:pt idx="6338">
                  <c:v>7</c:v>
                </c:pt>
                <c:pt idx="6339">
                  <c:v>7</c:v>
                </c:pt>
                <c:pt idx="6340">
                  <c:v>7</c:v>
                </c:pt>
                <c:pt idx="6341">
                  <c:v>7</c:v>
                </c:pt>
                <c:pt idx="6342">
                  <c:v>7</c:v>
                </c:pt>
                <c:pt idx="6343">
                  <c:v>7</c:v>
                </c:pt>
                <c:pt idx="6344">
                  <c:v>7</c:v>
                </c:pt>
                <c:pt idx="6345">
                  <c:v>7</c:v>
                </c:pt>
                <c:pt idx="6346">
                  <c:v>7</c:v>
                </c:pt>
                <c:pt idx="6347">
                  <c:v>7</c:v>
                </c:pt>
                <c:pt idx="6348">
                  <c:v>7</c:v>
                </c:pt>
                <c:pt idx="6349">
                  <c:v>7</c:v>
                </c:pt>
                <c:pt idx="6350">
                  <c:v>7</c:v>
                </c:pt>
                <c:pt idx="6351">
                  <c:v>7</c:v>
                </c:pt>
                <c:pt idx="6352">
                  <c:v>7</c:v>
                </c:pt>
                <c:pt idx="6353">
                  <c:v>7</c:v>
                </c:pt>
                <c:pt idx="6354">
                  <c:v>7</c:v>
                </c:pt>
                <c:pt idx="6355">
                  <c:v>7</c:v>
                </c:pt>
                <c:pt idx="6356">
                  <c:v>7</c:v>
                </c:pt>
                <c:pt idx="6357">
                  <c:v>7</c:v>
                </c:pt>
                <c:pt idx="6358">
                  <c:v>7</c:v>
                </c:pt>
                <c:pt idx="6359">
                  <c:v>7</c:v>
                </c:pt>
                <c:pt idx="6360">
                  <c:v>7</c:v>
                </c:pt>
                <c:pt idx="6361">
                  <c:v>7</c:v>
                </c:pt>
                <c:pt idx="6362">
                  <c:v>7</c:v>
                </c:pt>
                <c:pt idx="6363">
                  <c:v>7</c:v>
                </c:pt>
                <c:pt idx="6364">
                  <c:v>7</c:v>
                </c:pt>
                <c:pt idx="6365">
                  <c:v>7</c:v>
                </c:pt>
                <c:pt idx="6366">
                  <c:v>7</c:v>
                </c:pt>
                <c:pt idx="6367">
                  <c:v>7</c:v>
                </c:pt>
                <c:pt idx="6368">
                  <c:v>7</c:v>
                </c:pt>
                <c:pt idx="6369">
                  <c:v>7</c:v>
                </c:pt>
                <c:pt idx="6370">
                  <c:v>7</c:v>
                </c:pt>
                <c:pt idx="6371">
                  <c:v>7</c:v>
                </c:pt>
                <c:pt idx="6372">
                  <c:v>7</c:v>
                </c:pt>
                <c:pt idx="6373">
                  <c:v>7</c:v>
                </c:pt>
                <c:pt idx="6374">
                  <c:v>7</c:v>
                </c:pt>
                <c:pt idx="6375">
                  <c:v>7</c:v>
                </c:pt>
                <c:pt idx="6376">
                  <c:v>7</c:v>
                </c:pt>
                <c:pt idx="6377">
                  <c:v>7</c:v>
                </c:pt>
                <c:pt idx="6378">
                  <c:v>7</c:v>
                </c:pt>
                <c:pt idx="6379">
                  <c:v>7</c:v>
                </c:pt>
                <c:pt idx="6380">
                  <c:v>7</c:v>
                </c:pt>
                <c:pt idx="6381">
                  <c:v>7</c:v>
                </c:pt>
                <c:pt idx="6382">
                  <c:v>7</c:v>
                </c:pt>
                <c:pt idx="6383">
                  <c:v>7</c:v>
                </c:pt>
                <c:pt idx="6384">
                  <c:v>7</c:v>
                </c:pt>
                <c:pt idx="6385">
                  <c:v>7</c:v>
                </c:pt>
                <c:pt idx="6386">
                  <c:v>7</c:v>
                </c:pt>
                <c:pt idx="6387">
                  <c:v>7</c:v>
                </c:pt>
                <c:pt idx="6388">
                  <c:v>7</c:v>
                </c:pt>
                <c:pt idx="6389">
                  <c:v>7</c:v>
                </c:pt>
                <c:pt idx="6390">
                  <c:v>7</c:v>
                </c:pt>
                <c:pt idx="6391">
                  <c:v>7</c:v>
                </c:pt>
                <c:pt idx="6392">
                  <c:v>7</c:v>
                </c:pt>
                <c:pt idx="6853">
                  <c:v>8</c:v>
                </c:pt>
                <c:pt idx="6854">
                  <c:v>8</c:v>
                </c:pt>
                <c:pt idx="6855">
                  <c:v>8</c:v>
                </c:pt>
                <c:pt idx="6856">
                  <c:v>8</c:v>
                </c:pt>
                <c:pt idx="6857">
                  <c:v>8</c:v>
                </c:pt>
                <c:pt idx="6858">
                  <c:v>8</c:v>
                </c:pt>
                <c:pt idx="6859">
                  <c:v>8</c:v>
                </c:pt>
                <c:pt idx="6860">
                  <c:v>8</c:v>
                </c:pt>
                <c:pt idx="6861">
                  <c:v>8</c:v>
                </c:pt>
                <c:pt idx="6862">
                  <c:v>8</c:v>
                </c:pt>
                <c:pt idx="6863">
                  <c:v>8</c:v>
                </c:pt>
                <c:pt idx="6864">
                  <c:v>8</c:v>
                </c:pt>
                <c:pt idx="6865">
                  <c:v>8</c:v>
                </c:pt>
                <c:pt idx="6866">
                  <c:v>8</c:v>
                </c:pt>
                <c:pt idx="6867">
                  <c:v>8</c:v>
                </c:pt>
                <c:pt idx="6868">
                  <c:v>8</c:v>
                </c:pt>
                <c:pt idx="6869">
                  <c:v>8</c:v>
                </c:pt>
                <c:pt idx="6870">
                  <c:v>8</c:v>
                </c:pt>
                <c:pt idx="6871">
                  <c:v>8</c:v>
                </c:pt>
                <c:pt idx="6872">
                  <c:v>8</c:v>
                </c:pt>
                <c:pt idx="6873">
                  <c:v>8</c:v>
                </c:pt>
                <c:pt idx="6874">
                  <c:v>8</c:v>
                </c:pt>
                <c:pt idx="6875">
                  <c:v>8</c:v>
                </c:pt>
                <c:pt idx="6876">
                  <c:v>8</c:v>
                </c:pt>
                <c:pt idx="6877">
                  <c:v>8</c:v>
                </c:pt>
                <c:pt idx="6878">
                  <c:v>8</c:v>
                </c:pt>
                <c:pt idx="6879">
                  <c:v>8</c:v>
                </c:pt>
                <c:pt idx="6880">
                  <c:v>8</c:v>
                </c:pt>
                <c:pt idx="6881">
                  <c:v>8</c:v>
                </c:pt>
                <c:pt idx="6882">
                  <c:v>8</c:v>
                </c:pt>
                <c:pt idx="6883">
                  <c:v>8</c:v>
                </c:pt>
                <c:pt idx="6884">
                  <c:v>8</c:v>
                </c:pt>
                <c:pt idx="6885">
                  <c:v>8</c:v>
                </c:pt>
                <c:pt idx="6886">
                  <c:v>8</c:v>
                </c:pt>
                <c:pt idx="6887">
                  <c:v>8</c:v>
                </c:pt>
                <c:pt idx="6888">
                  <c:v>8</c:v>
                </c:pt>
                <c:pt idx="6889">
                  <c:v>8</c:v>
                </c:pt>
                <c:pt idx="6890">
                  <c:v>8</c:v>
                </c:pt>
                <c:pt idx="6891">
                  <c:v>8</c:v>
                </c:pt>
                <c:pt idx="6892">
                  <c:v>8</c:v>
                </c:pt>
                <c:pt idx="6893">
                  <c:v>8</c:v>
                </c:pt>
                <c:pt idx="6894">
                  <c:v>8</c:v>
                </c:pt>
                <c:pt idx="6895">
                  <c:v>8</c:v>
                </c:pt>
                <c:pt idx="6896">
                  <c:v>8</c:v>
                </c:pt>
                <c:pt idx="6897">
                  <c:v>8</c:v>
                </c:pt>
                <c:pt idx="6898">
                  <c:v>8</c:v>
                </c:pt>
                <c:pt idx="6899">
                  <c:v>8</c:v>
                </c:pt>
                <c:pt idx="6900">
                  <c:v>8</c:v>
                </c:pt>
                <c:pt idx="6901">
                  <c:v>8</c:v>
                </c:pt>
                <c:pt idx="6902">
                  <c:v>8</c:v>
                </c:pt>
                <c:pt idx="6903">
                  <c:v>8</c:v>
                </c:pt>
                <c:pt idx="6904">
                  <c:v>8</c:v>
                </c:pt>
                <c:pt idx="6905">
                  <c:v>8</c:v>
                </c:pt>
                <c:pt idx="6906">
                  <c:v>8</c:v>
                </c:pt>
                <c:pt idx="6907">
                  <c:v>8</c:v>
                </c:pt>
                <c:pt idx="6908">
                  <c:v>8</c:v>
                </c:pt>
                <c:pt idx="6909">
                  <c:v>8</c:v>
                </c:pt>
                <c:pt idx="6910">
                  <c:v>8</c:v>
                </c:pt>
                <c:pt idx="6911">
                  <c:v>8</c:v>
                </c:pt>
                <c:pt idx="6912">
                  <c:v>8</c:v>
                </c:pt>
                <c:pt idx="6913">
                  <c:v>8</c:v>
                </c:pt>
                <c:pt idx="6914">
                  <c:v>8</c:v>
                </c:pt>
                <c:pt idx="6915">
                  <c:v>8</c:v>
                </c:pt>
                <c:pt idx="6916">
                  <c:v>8</c:v>
                </c:pt>
                <c:pt idx="6917">
                  <c:v>8</c:v>
                </c:pt>
                <c:pt idx="6918">
                  <c:v>8</c:v>
                </c:pt>
                <c:pt idx="6919">
                  <c:v>8</c:v>
                </c:pt>
                <c:pt idx="6920">
                  <c:v>8</c:v>
                </c:pt>
                <c:pt idx="6921">
                  <c:v>8</c:v>
                </c:pt>
                <c:pt idx="6922">
                  <c:v>8</c:v>
                </c:pt>
                <c:pt idx="6923">
                  <c:v>8</c:v>
                </c:pt>
                <c:pt idx="6924">
                  <c:v>8</c:v>
                </c:pt>
                <c:pt idx="6925">
                  <c:v>8</c:v>
                </c:pt>
                <c:pt idx="6926">
                  <c:v>8</c:v>
                </c:pt>
                <c:pt idx="6927">
                  <c:v>8</c:v>
                </c:pt>
                <c:pt idx="6928">
                  <c:v>8</c:v>
                </c:pt>
                <c:pt idx="6929">
                  <c:v>8</c:v>
                </c:pt>
                <c:pt idx="6930">
                  <c:v>8</c:v>
                </c:pt>
                <c:pt idx="6931">
                  <c:v>8</c:v>
                </c:pt>
                <c:pt idx="6932">
                  <c:v>8</c:v>
                </c:pt>
                <c:pt idx="6933">
                  <c:v>8</c:v>
                </c:pt>
                <c:pt idx="6934">
                  <c:v>8</c:v>
                </c:pt>
                <c:pt idx="6935">
                  <c:v>8</c:v>
                </c:pt>
                <c:pt idx="6936">
                  <c:v>8</c:v>
                </c:pt>
                <c:pt idx="6937">
                  <c:v>8</c:v>
                </c:pt>
                <c:pt idx="6938">
                  <c:v>8</c:v>
                </c:pt>
                <c:pt idx="6939">
                  <c:v>8</c:v>
                </c:pt>
                <c:pt idx="6940">
                  <c:v>8</c:v>
                </c:pt>
                <c:pt idx="7191">
                  <c:v>9</c:v>
                </c:pt>
                <c:pt idx="7192">
                  <c:v>9</c:v>
                </c:pt>
                <c:pt idx="7193">
                  <c:v>9</c:v>
                </c:pt>
                <c:pt idx="7194">
                  <c:v>9</c:v>
                </c:pt>
                <c:pt idx="7195">
                  <c:v>9</c:v>
                </c:pt>
                <c:pt idx="7196">
                  <c:v>9</c:v>
                </c:pt>
                <c:pt idx="7197">
                  <c:v>9</c:v>
                </c:pt>
                <c:pt idx="7198">
                  <c:v>9</c:v>
                </c:pt>
                <c:pt idx="7199">
                  <c:v>9</c:v>
                </c:pt>
                <c:pt idx="7200">
                  <c:v>9</c:v>
                </c:pt>
                <c:pt idx="7201">
                  <c:v>9</c:v>
                </c:pt>
                <c:pt idx="7202">
                  <c:v>9</c:v>
                </c:pt>
                <c:pt idx="7203">
                  <c:v>9</c:v>
                </c:pt>
                <c:pt idx="7204">
                  <c:v>9</c:v>
                </c:pt>
                <c:pt idx="7205">
                  <c:v>9</c:v>
                </c:pt>
                <c:pt idx="7206">
                  <c:v>9</c:v>
                </c:pt>
                <c:pt idx="7207">
                  <c:v>9</c:v>
                </c:pt>
                <c:pt idx="7208">
                  <c:v>9</c:v>
                </c:pt>
                <c:pt idx="7209">
                  <c:v>9</c:v>
                </c:pt>
                <c:pt idx="7210">
                  <c:v>9</c:v>
                </c:pt>
                <c:pt idx="7211">
                  <c:v>9</c:v>
                </c:pt>
                <c:pt idx="7212">
                  <c:v>9</c:v>
                </c:pt>
                <c:pt idx="7213">
                  <c:v>9</c:v>
                </c:pt>
                <c:pt idx="7214">
                  <c:v>9</c:v>
                </c:pt>
                <c:pt idx="7215">
                  <c:v>9</c:v>
                </c:pt>
                <c:pt idx="7216">
                  <c:v>9</c:v>
                </c:pt>
                <c:pt idx="7217">
                  <c:v>9</c:v>
                </c:pt>
                <c:pt idx="7218">
                  <c:v>9</c:v>
                </c:pt>
                <c:pt idx="7219">
                  <c:v>9</c:v>
                </c:pt>
                <c:pt idx="7220">
                  <c:v>9</c:v>
                </c:pt>
                <c:pt idx="7221">
                  <c:v>9</c:v>
                </c:pt>
                <c:pt idx="7222">
                  <c:v>9</c:v>
                </c:pt>
                <c:pt idx="7223">
                  <c:v>9</c:v>
                </c:pt>
                <c:pt idx="7224">
                  <c:v>9</c:v>
                </c:pt>
                <c:pt idx="7225">
                  <c:v>9</c:v>
                </c:pt>
                <c:pt idx="7226">
                  <c:v>9</c:v>
                </c:pt>
                <c:pt idx="7227">
                  <c:v>9</c:v>
                </c:pt>
                <c:pt idx="7228">
                  <c:v>9</c:v>
                </c:pt>
                <c:pt idx="7229">
                  <c:v>9</c:v>
                </c:pt>
                <c:pt idx="7230">
                  <c:v>9</c:v>
                </c:pt>
                <c:pt idx="7231">
                  <c:v>9</c:v>
                </c:pt>
                <c:pt idx="7232">
                  <c:v>9</c:v>
                </c:pt>
                <c:pt idx="7233">
                  <c:v>9</c:v>
                </c:pt>
                <c:pt idx="7234">
                  <c:v>9</c:v>
                </c:pt>
                <c:pt idx="7235">
                  <c:v>9</c:v>
                </c:pt>
                <c:pt idx="7236">
                  <c:v>9</c:v>
                </c:pt>
                <c:pt idx="7237">
                  <c:v>9</c:v>
                </c:pt>
                <c:pt idx="7238">
                  <c:v>9</c:v>
                </c:pt>
                <c:pt idx="7239">
                  <c:v>9</c:v>
                </c:pt>
                <c:pt idx="7240">
                  <c:v>9</c:v>
                </c:pt>
                <c:pt idx="7241">
                  <c:v>9</c:v>
                </c:pt>
                <c:pt idx="7242">
                  <c:v>9</c:v>
                </c:pt>
                <c:pt idx="7243">
                  <c:v>9</c:v>
                </c:pt>
                <c:pt idx="7244">
                  <c:v>9</c:v>
                </c:pt>
                <c:pt idx="7245">
                  <c:v>9</c:v>
                </c:pt>
                <c:pt idx="7246">
                  <c:v>9</c:v>
                </c:pt>
                <c:pt idx="7247">
                  <c:v>9</c:v>
                </c:pt>
                <c:pt idx="7248">
                  <c:v>9</c:v>
                </c:pt>
                <c:pt idx="7249">
                  <c:v>9</c:v>
                </c:pt>
                <c:pt idx="7250">
                  <c:v>9</c:v>
                </c:pt>
                <c:pt idx="7251">
                  <c:v>9</c:v>
                </c:pt>
                <c:pt idx="7252">
                  <c:v>9</c:v>
                </c:pt>
                <c:pt idx="7253">
                  <c:v>9</c:v>
                </c:pt>
                <c:pt idx="7254">
                  <c:v>9</c:v>
                </c:pt>
                <c:pt idx="7255">
                  <c:v>9</c:v>
                </c:pt>
                <c:pt idx="7256">
                  <c:v>9</c:v>
                </c:pt>
                <c:pt idx="7257">
                  <c:v>9</c:v>
                </c:pt>
                <c:pt idx="7258">
                  <c:v>9</c:v>
                </c:pt>
                <c:pt idx="7259">
                  <c:v>9</c:v>
                </c:pt>
                <c:pt idx="7260">
                  <c:v>9</c:v>
                </c:pt>
                <c:pt idx="7261">
                  <c:v>9</c:v>
                </c:pt>
                <c:pt idx="7262">
                  <c:v>9</c:v>
                </c:pt>
                <c:pt idx="7263">
                  <c:v>9</c:v>
                </c:pt>
                <c:pt idx="7264">
                  <c:v>9</c:v>
                </c:pt>
                <c:pt idx="7265">
                  <c:v>9</c:v>
                </c:pt>
                <c:pt idx="7266">
                  <c:v>9</c:v>
                </c:pt>
                <c:pt idx="7267">
                  <c:v>9</c:v>
                </c:pt>
                <c:pt idx="7268">
                  <c:v>9</c:v>
                </c:pt>
                <c:pt idx="7269">
                  <c:v>9</c:v>
                </c:pt>
                <c:pt idx="7270">
                  <c:v>9</c:v>
                </c:pt>
                <c:pt idx="7271">
                  <c:v>9</c:v>
                </c:pt>
                <c:pt idx="7272">
                  <c:v>9</c:v>
                </c:pt>
                <c:pt idx="7273">
                  <c:v>9</c:v>
                </c:pt>
                <c:pt idx="7274">
                  <c:v>9</c:v>
                </c:pt>
                <c:pt idx="7275">
                  <c:v>9</c:v>
                </c:pt>
                <c:pt idx="7276">
                  <c:v>9</c:v>
                </c:pt>
                <c:pt idx="7277">
                  <c:v>9</c:v>
                </c:pt>
                <c:pt idx="7278">
                  <c:v>9</c:v>
                </c:pt>
                <c:pt idx="7279">
                  <c:v>9</c:v>
                </c:pt>
                <c:pt idx="7280">
                  <c:v>9</c:v>
                </c:pt>
                <c:pt idx="7281">
                  <c:v>9</c:v>
                </c:pt>
                <c:pt idx="7282">
                  <c:v>9</c:v>
                </c:pt>
                <c:pt idx="7283">
                  <c:v>9</c:v>
                </c:pt>
                <c:pt idx="7284">
                  <c:v>9</c:v>
                </c:pt>
                <c:pt idx="7285">
                  <c:v>9</c:v>
                </c:pt>
                <c:pt idx="7286">
                  <c:v>9</c:v>
                </c:pt>
                <c:pt idx="7287">
                  <c:v>9</c:v>
                </c:pt>
                <c:pt idx="7288">
                  <c:v>9</c:v>
                </c:pt>
                <c:pt idx="7289">
                  <c:v>9</c:v>
                </c:pt>
                <c:pt idx="7290">
                  <c:v>9</c:v>
                </c:pt>
                <c:pt idx="7291">
                  <c:v>9</c:v>
                </c:pt>
                <c:pt idx="7292">
                  <c:v>9</c:v>
                </c:pt>
                <c:pt idx="7293">
                  <c:v>9</c:v>
                </c:pt>
                <c:pt idx="7294">
                  <c:v>9</c:v>
                </c:pt>
                <c:pt idx="7295">
                  <c:v>9</c:v>
                </c:pt>
                <c:pt idx="7296">
                  <c:v>9</c:v>
                </c:pt>
                <c:pt idx="7297">
                  <c:v>9</c:v>
                </c:pt>
                <c:pt idx="7298">
                  <c:v>9</c:v>
                </c:pt>
                <c:pt idx="7299">
                  <c:v>9</c:v>
                </c:pt>
                <c:pt idx="7300">
                  <c:v>9</c:v>
                </c:pt>
                <c:pt idx="7301">
                  <c:v>9</c:v>
                </c:pt>
                <c:pt idx="7302">
                  <c:v>9</c:v>
                </c:pt>
                <c:pt idx="7303">
                  <c:v>9</c:v>
                </c:pt>
                <c:pt idx="7304">
                  <c:v>9</c:v>
                </c:pt>
                <c:pt idx="7305">
                  <c:v>9</c:v>
                </c:pt>
                <c:pt idx="7306">
                  <c:v>9</c:v>
                </c:pt>
                <c:pt idx="7307">
                  <c:v>9</c:v>
                </c:pt>
                <c:pt idx="7308">
                  <c:v>9</c:v>
                </c:pt>
                <c:pt idx="7309">
                  <c:v>9</c:v>
                </c:pt>
                <c:pt idx="7310">
                  <c:v>9</c:v>
                </c:pt>
                <c:pt idx="7311">
                  <c:v>9</c:v>
                </c:pt>
                <c:pt idx="7312">
                  <c:v>9</c:v>
                </c:pt>
                <c:pt idx="7313">
                  <c:v>9</c:v>
                </c:pt>
                <c:pt idx="7314">
                  <c:v>9</c:v>
                </c:pt>
                <c:pt idx="7315">
                  <c:v>9</c:v>
                </c:pt>
                <c:pt idx="7316">
                  <c:v>9</c:v>
                </c:pt>
                <c:pt idx="7317">
                  <c:v>9</c:v>
                </c:pt>
                <c:pt idx="7318">
                  <c:v>9</c:v>
                </c:pt>
                <c:pt idx="7319">
                  <c:v>9</c:v>
                </c:pt>
                <c:pt idx="7320">
                  <c:v>9</c:v>
                </c:pt>
                <c:pt idx="7321">
                  <c:v>9</c:v>
                </c:pt>
                <c:pt idx="7322">
                  <c:v>9</c:v>
                </c:pt>
                <c:pt idx="7323">
                  <c:v>9</c:v>
                </c:pt>
                <c:pt idx="7324">
                  <c:v>9</c:v>
                </c:pt>
                <c:pt idx="7325">
                  <c:v>9</c:v>
                </c:pt>
                <c:pt idx="7326">
                  <c:v>9</c:v>
                </c:pt>
                <c:pt idx="7327">
                  <c:v>9</c:v>
                </c:pt>
                <c:pt idx="7328">
                  <c:v>9</c:v>
                </c:pt>
                <c:pt idx="7329">
                  <c:v>9</c:v>
                </c:pt>
                <c:pt idx="7330">
                  <c:v>9</c:v>
                </c:pt>
                <c:pt idx="7331">
                  <c:v>9</c:v>
                </c:pt>
                <c:pt idx="7332">
                  <c:v>9</c:v>
                </c:pt>
                <c:pt idx="7333">
                  <c:v>9</c:v>
                </c:pt>
                <c:pt idx="7334">
                  <c:v>9</c:v>
                </c:pt>
                <c:pt idx="7335">
                  <c:v>9</c:v>
                </c:pt>
                <c:pt idx="7336">
                  <c:v>9</c:v>
                </c:pt>
                <c:pt idx="7337">
                  <c:v>9</c:v>
                </c:pt>
                <c:pt idx="7338">
                  <c:v>9</c:v>
                </c:pt>
                <c:pt idx="7339">
                  <c:v>9</c:v>
                </c:pt>
                <c:pt idx="7340">
                  <c:v>9</c:v>
                </c:pt>
                <c:pt idx="7341">
                  <c:v>9</c:v>
                </c:pt>
                <c:pt idx="7342">
                  <c:v>9</c:v>
                </c:pt>
                <c:pt idx="7343">
                  <c:v>9</c:v>
                </c:pt>
                <c:pt idx="7344">
                  <c:v>9</c:v>
                </c:pt>
                <c:pt idx="7345">
                  <c:v>9</c:v>
                </c:pt>
                <c:pt idx="7346">
                  <c:v>9</c:v>
                </c:pt>
                <c:pt idx="7347">
                  <c:v>9</c:v>
                </c:pt>
                <c:pt idx="7348">
                  <c:v>9</c:v>
                </c:pt>
                <c:pt idx="7349">
                  <c:v>9</c:v>
                </c:pt>
                <c:pt idx="7350">
                  <c:v>9</c:v>
                </c:pt>
                <c:pt idx="7351">
                  <c:v>9</c:v>
                </c:pt>
                <c:pt idx="7352">
                  <c:v>9</c:v>
                </c:pt>
                <c:pt idx="7353">
                  <c:v>9</c:v>
                </c:pt>
                <c:pt idx="7354">
                  <c:v>9</c:v>
                </c:pt>
                <c:pt idx="7355">
                  <c:v>9</c:v>
                </c:pt>
                <c:pt idx="7356">
                  <c:v>9</c:v>
                </c:pt>
                <c:pt idx="7357">
                  <c:v>9</c:v>
                </c:pt>
                <c:pt idx="7358">
                  <c:v>9</c:v>
                </c:pt>
                <c:pt idx="7359">
                  <c:v>9</c:v>
                </c:pt>
                <c:pt idx="7360">
                  <c:v>9</c:v>
                </c:pt>
                <c:pt idx="7361">
                  <c:v>9</c:v>
                </c:pt>
                <c:pt idx="7362">
                  <c:v>9</c:v>
                </c:pt>
                <c:pt idx="7363">
                  <c:v>9</c:v>
                </c:pt>
                <c:pt idx="7364">
                  <c:v>9</c:v>
                </c:pt>
                <c:pt idx="7365">
                  <c:v>9</c:v>
                </c:pt>
                <c:pt idx="7366">
                  <c:v>9</c:v>
                </c:pt>
                <c:pt idx="7367">
                  <c:v>9</c:v>
                </c:pt>
                <c:pt idx="7368">
                  <c:v>9</c:v>
                </c:pt>
                <c:pt idx="7369">
                  <c:v>9</c:v>
                </c:pt>
                <c:pt idx="7370">
                  <c:v>9</c:v>
                </c:pt>
                <c:pt idx="7371">
                  <c:v>9</c:v>
                </c:pt>
                <c:pt idx="7372">
                  <c:v>9</c:v>
                </c:pt>
                <c:pt idx="7373">
                  <c:v>9</c:v>
                </c:pt>
                <c:pt idx="7374">
                  <c:v>9</c:v>
                </c:pt>
                <c:pt idx="7375">
                  <c:v>9</c:v>
                </c:pt>
                <c:pt idx="7376">
                  <c:v>9</c:v>
                </c:pt>
                <c:pt idx="7377">
                  <c:v>9</c:v>
                </c:pt>
                <c:pt idx="7378">
                  <c:v>9</c:v>
                </c:pt>
                <c:pt idx="7379">
                  <c:v>9</c:v>
                </c:pt>
                <c:pt idx="7380">
                  <c:v>9</c:v>
                </c:pt>
                <c:pt idx="7381">
                  <c:v>9</c:v>
                </c:pt>
                <c:pt idx="7382">
                  <c:v>9</c:v>
                </c:pt>
                <c:pt idx="7383">
                  <c:v>9</c:v>
                </c:pt>
                <c:pt idx="7384">
                  <c:v>9</c:v>
                </c:pt>
                <c:pt idx="7385">
                  <c:v>9</c:v>
                </c:pt>
                <c:pt idx="7386">
                  <c:v>9</c:v>
                </c:pt>
                <c:pt idx="7387">
                  <c:v>9</c:v>
                </c:pt>
                <c:pt idx="7388">
                  <c:v>9</c:v>
                </c:pt>
                <c:pt idx="7389">
                  <c:v>9</c:v>
                </c:pt>
                <c:pt idx="7390">
                  <c:v>9</c:v>
                </c:pt>
                <c:pt idx="7391">
                  <c:v>9</c:v>
                </c:pt>
                <c:pt idx="7392">
                  <c:v>9</c:v>
                </c:pt>
                <c:pt idx="7393">
                  <c:v>9</c:v>
                </c:pt>
                <c:pt idx="7394">
                  <c:v>9</c:v>
                </c:pt>
                <c:pt idx="7395">
                  <c:v>9</c:v>
                </c:pt>
                <c:pt idx="7396">
                  <c:v>9</c:v>
                </c:pt>
                <c:pt idx="7397">
                  <c:v>9</c:v>
                </c:pt>
                <c:pt idx="7398">
                  <c:v>9</c:v>
                </c:pt>
                <c:pt idx="7399">
                  <c:v>9</c:v>
                </c:pt>
                <c:pt idx="7400">
                  <c:v>9</c:v>
                </c:pt>
                <c:pt idx="7401">
                  <c:v>9</c:v>
                </c:pt>
                <c:pt idx="7402">
                  <c:v>9</c:v>
                </c:pt>
                <c:pt idx="7403">
                  <c:v>9</c:v>
                </c:pt>
                <c:pt idx="7404">
                  <c:v>9</c:v>
                </c:pt>
                <c:pt idx="7405">
                  <c:v>9</c:v>
                </c:pt>
                <c:pt idx="7406">
                  <c:v>9</c:v>
                </c:pt>
                <c:pt idx="7407">
                  <c:v>9</c:v>
                </c:pt>
                <c:pt idx="7408">
                  <c:v>9</c:v>
                </c:pt>
                <c:pt idx="7409">
                  <c:v>9</c:v>
                </c:pt>
                <c:pt idx="7410">
                  <c:v>9</c:v>
                </c:pt>
                <c:pt idx="7411">
                  <c:v>9</c:v>
                </c:pt>
                <c:pt idx="7412">
                  <c:v>9</c:v>
                </c:pt>
                <c:pt idx="7413">
                  <c:v>9</c:v>
                </c:pt>
                <c:pt idx="7414">
                  <c:v>9</c:v>
                </c:pt>
                <c:pt idx="7415">
                  <c:v>9</c:v>
                </c:pt>
                <c:pt idx="7416">
                  <c:v>9</c:v>
                </c:pt>
                <c:pt idx="7417">
                  <c:v>9</c:v>
                </c:pt>
                <c:pt idx="7418">
                  <c:v>9</c:v>
                </c:pt>
                <c:pt idx="7419">
                  <c:v>9</c:v>
                </c:pt>
                <c:pt idx="7420">
                  <c:v>9</c:v>
                </c:pt>
                <c:pt idx="7421">
                  <c:v>9</c:v>
                </c:pt>
                <c:pt idx="7422">
                  <c:v>9</c:v>
                </c:pt>
                <c:pt idx="7423">
                  <c:v>9</c:v>
                </c:pt>
                <c:pt idx="7424">
                  <c:v>9</c:v>
                </c:pt>
                <c:pt idx="7425">
                  <c:v>9</c:v>
                </c:pt>
                <c:pt idx="7426">
                  <c:v>9</c:v>
                </c:pt>
                <c:pt idx="7427">
                  <c:v>9</c:v>
                </c:pt>
                <c:pt idx="7428">
                  <c:v>9</c:v>
                </c:pt>
                <c:pt idx="7429">
                  <c:v>9</c:v>
                </c:pt>
                <c:pt idx="7430">
                  <c:v>9</c:v>
                </c:pt>
                <c:pt idx="7431">
                  <c:v>9</c:v>
                </c:pt>
                <c:pt idx="7432">
                  <c:v>9</c:v>
                </c:pt>
                <c:pt idx="7433">
                  <c:v>9</c:v>
                </c:pt>
                <c:pt idx="7434">
                  <c:v>9</c:v>
                </c:pt>
                <c:pt idx="7435">
                  <c:v>9</c:v>
                </c:pt>
                <c:pt idx="7436">
                  <c:v>9</c:v>
                </c:pt>
                <c:pt idx="7437">
                  <c:v>9</c:v>
                </c:pt>
                <c:pt idx="7438">
                  <c:v>9</c:v>
                </c:pt>
                <c:pt idx="7439">
                  <c:v>9</c:v>
                </c:pt>
                <c:pt idx="7440">
                  <c:v>9</c:v>
                </c:pt>
                <c:pt idx="7441">
                  <c:v>9</c:v>
                </c:pt>
                <c:pt idx="7442">
                  <c:v>9</c:v>
                </c:pt>
                <c:pt idx="7443">
                  <c:v>9</c:v>
                </c:pt>
                <c:pt idx="7444">
                  <c:v>9</c:v>
                </c:pt>
                <c:pt idx="7445">
                  <c:v>9</c:v>
                </c:pt>
                <c:pt idx="7446">
                  <c:v>9</c:v>
                </c:pt>
                <c:pt idx="7447">
                  <c:v>9</c:v>
                </c:pt>
                <c:pt idx="7448">
                  <c:v>9</c:v>
                </c:pt>
                <c:pt idx="7449">
                  <c:v>9</c:v>
                </c:pt>
                <c:pt idx="7450">
                  <c:v>9</c:v>
                </c:pt>
                <c:pt idx="7451">
                  <c:v>9</c:v>
                </c:pt>
                <c:pt idx="7452">
                  <c:v>9</c:v>
                </c:pt>
                <c:pt idx="7453">
                  <c:v>9</c:v>
                </c:pt>
                <c:pt idx="7454">
                  <c:v>9</c:v>
                </c:pt>
                <c:pt idx="7455">
                  <c:v>9</c:v>
                </c:pt>
                <c:pt idx="7456">
                  <c:v>9</c:v>
                </c:pt>
                <c:pt idx="7457">
                  <c:v>9</c:v>
                </c:pt>
                <c:pt idx="7458">
                  <c:v>9</c:v>
                </c:pt>
                <c:pt idx="7459">
                  <c:v>9</c:v>
                </c:pt>
                <c:pt idx="7460">
                  <c:v>9</c:v>
                </c:pt>
                <c:pt idx="7461">
                  <c:v>9</c:v>
                </c:pt>
                <c:pt idx="7462">
                  <c:v>9</c:v>
                </c:pt>
                <c:pt idx="7463">
                  <c:v>9</c:v>
                </c:pt>
                <c:pt idx="7464">
                  <c:v>9</c:v>
                </c:pt>
                <c:pt idx="7465">
                  <c:v>9</c:v>
                </c:pt>
                <c:pt idx="7466">
                  <c:v>9</c:v>
                </c:pt>
                <c:pt idx="7467">
                  <c:v>9</c:v>
                </c:pt>
                <c:pt idx="7468">
                  <c:v>9</c:v>
                </c:pt>
                <c:pt idx="7469">
                  <c:v>9</c:v>
                </c:pt>
                <c:pt idx="7470">
                  <c:v>9</c:v>
                </c:pt>
                <c:pt idx="7471">
                  <c:v>9</c:v>
                </c:pt>
                <c:pt idx="7472">
                  <c:v>9</c:v>
                </c:pt>
                <c:pt idx="7473">
                  <c:v>9</c:v>
                </c:pt>
                <c:pt idx="7474">
                  <c:v>9</c:v>
                </c:pt>
                <c:pt idx="7475">
                  <c:v>9</c:v>
                </c:pt>
                <c:pt idx="7476">
                  <c:v>9</c:v>
                </c:pt>
                <c:pt idx="7477">
                  <c:v>9</c:v>
                </c:pt>
                <c:pt idx="7478">
                  <c:v>9</c:v>
                </c:pt>
                <c:pt idx="7479">
                  <c:v>9</c:v>
                </c:pt>
                <c:pt idx="7480">
                  <c:v>9</c:v>
                </c:pt>
                <c:pt idx="7481">
                  <c:v>9</c:v>
                </c:pt>
                <c:pt idx="7482">
                  <c:v>9</c:v>
                </c:pt>
                <c:pt idx="7483">
                  <c:v>9</c:v>
                </c:pt>
                <c:pt idx="7484">
                  <c:v>9</c:v>
                </c:pt>
                <c:pt idx="7485">
                  <c:v>9</c:v>
                </c:pt>
                <c:pt idx="7486">
                  <c:v>9</c:v>
                </c:pt>
                <c:pt idx="7487">
                  <c:v>9</c:v>
                </c:pt>
                <c:pt idx="7488">
                  <c:v>9</c:v>
                </c:pt>
                <c:pt idx="7489">
                  <c:v>9</c:v>
                </c:pt>
                <c:pt idx="7490">
                  <c:v>9</c:v>
                </c:pt>
                <c:pt idx="7491">
                  <c:v>9</c:v>
                </c:pt>
                <c:pt idx="7492">
                  <c:v>9</c:v>
                </c:pt>
                <c:pt idx="7493">
                  <c:v>9</c:v>
                </c:pt>
                <c:pt idx="7494">
                  <c:v>9</c:v>
                </c:pt>
                <c:pt idx="7495">
                  <c:v>9</c:v>
                </c:pt>
                <c:pt idx="7496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D-4C9A-ADD2-10FA57F1F1FF}"/>
            </c:ext>
          </c:extLst>
        </c:ser>
        <c:ser>
          <c:idx val="1"/>
          <c:order val="1"/>
          <c:tx>
            <c:strRef>
              <c:f>transpose!$C$1</c:f>
              <c:strCache>
                <c:ptCount val="1"/>
                <c:pt idx="0">
                  <c:v>F2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transpose!$C$2:$C$7653</c:f>
              <c:numCache>
                <c:formatCode>General</c:formatCode>
                <c:ptCount val="7652"/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449">
                  <c:v>4</c:v>
                </c:pt>
                <c:pt idx="3450">
                  <c:v>4</c:v>
                </c:pt>
                <c:pt idx="3451">
                  <c:v>4</c:v>
                </c:pt>
                <c:pt idx="3452">
                  <c:v>4</c:v>
                </c:pt>
                <c:pt idx="3453">
                  <c:v>4</c:v>
                </c:pt>
                <c:pt idx="3454">
                  <c:v>4</c:v>
                </c:pt>
                <c:pt idx="3455">
                  <c:v>4</c:v>
                </c:pt>
                <c:pt idx="3456">
                  <c:v>4</c:v>
                </c:pt>
                <c:pt idx="3457">
                  <c:v>4</c:v>
                </c:pt>
                <c:pt idx="3458">
                  <c:v>4</c:v>
                </c:pt>
                <c:pt idx="3459">
                  <c:v>4</c:v>
                </c:pt>
                <c:pt idx="3460">
                  <c:v>4</c:v>
                </c:pt>
                <c:pt idx="3461">
                  <c:v>4</c:v>
                </c:pt>
                <c:pt idx="3462">
                  <c:v>4</c:v>
                </c:pt>
                <c:pt idx="3463">
                  <c:v>4</c:v>
                </c:pt>
                <c:pt idx="3464">
                  <c:v>4</c:v>
                </c:pt>
                <c:pt idx="3465">
                  <c:v>4</c:v>
                </c:pt>
                <c:pt idx="3466">
                  <c:v>4</c:v>
                </c:pt>
                <c:pt idx="3467">
                  <c:v>4</c:v>
                </c:pt>
                <c:pt idx="3468">
                  <c:v>4</c:v>
                </c:pt>
                <c:pt idx="3469">
                  <c:v>4</c:v>
                </c:pt>
                <c:pt idx="3470">
                  <c:v>4</c:v>
                </c:pt>
                <c:pt idx="3471">
                  <c:v>4</c:v>
                </c:pt>
                <c:pt idx="3472">
                  <c:v>4</c:v>
                </c:pt>
                <c:pt idx="3473">
                  <c:v>4</c:v>
                </c:pt>
                <c:pt idx="3474">
                  <c:v>4</c:v>
                </c:pt>
                <c:pt idx="3475">
                  <c:v>4</c:v>
                </c:pt>
                <c:pt idx="3476">
                  <c:v>4</c:v>
                </c:pt>
                <c:pt idx="3477">
                  <c:v>4</c:v>
                </c:pt>
                <c:pt idx="3478">
                  <c:v>4</c:v>
                </c:pt>
                <c:pt idx="3479">
                  <c:v>4</c:v>
                </c:pt>
                <c:pt idx="3480">
                  <c:v>4</c:v>
                </c:pt>
                <c:pt idx="3481">
                  <c:v>4</c:v>
                </c:pt>
                <c:pt idx="3482">
                  <c:v>4</c:v>
                </c:pt>
                <c:pt idx="3483">
                  <c:v>4</c:v>
                </c:pt>
                <c:pt idx="3484">
                  <c:v>4</c:v>
                </c:pt>
                <c:pt idx="3485">
                  <c:v>4</c:v>
                </c:pt>
                <c:pt idx="3486">
                  <c:v>4</c:v>
                </c:pt>
                <c:pt idx="3487">
                  <c:v>4</c:v>
                </c:pt>
                <c:pt idx="3488">
                  <c:v>4</c:v>
                </c:pt>
                <c:pt idx="3489">
                  <c:v>4</c:v>
                </c:pt>
                <c:pt idx="3490">
                  <c:v>4</c:v>
                </c:pt>
                <c:pt idx="3491">
                  <c:v>4</c:v>
                </c:pt>
                <c:pt idx="3492">
                  <c:v>4</c:v>
                </c:pt>
                <c:pt idx="3493">
                  <c:v>4</c:v>
                </c:pt>
                <c:pt idx="3494">
                  <c:v>4</c:v>
                </c:pt>
                <c:pt idx="3495">
                  <c:v>4</c:v>
                </c:pt>
                <c:pt idx="3496">
                  <c:v>4</c:v>
                </c:pt>
                <c:pt idx="3497">
                  <c:v>4</c:v>
                </c:pt>
                <c:pt idx="3498">
                  <c:v>4</c:v>
                </c:pt>
                <c:pt idx="3499">
                  <c:v>4</c:v>
                </c:pt>
                <c:pt idx="3500">
                  <c:v>4</c:v>
                </c:pt>
                <c:pt idx="3501">
                  <c:v>4</c:v>
                </c:pt>
                <c:pt idx="3502">
                  <c:v>4</c:v>
                </c:pt>
                <c:pt idx="3503">
                  <c:v>4</c:v>
                </c:pt>
                <c:pt idx="3504">
                  <c:v>4</c:v>
                </c:pt>
                <c:pt idx="3505">
                  <c:v>4</c:v>
                </c:pt>
                <c:pt idx="3506">
                  <c:v>4</c:v>
                </c:pt>
                <c:pt idx="3507">
                  <c:v>4</c:v>
                </c:pt>
                <c:pt idx="3508">
                  <c:v>4</c:v>
                </c:pt>
                <c:pt idx="3509">
                  <c:v>4</c:v>
                </c:pt>
                <c:pt idx="3510">
                  <c:v>4</c:v>
                </c:pt>
                <c:pt idx="3511">
                  <c:v>4</c:v>
                </c:pt>
                <c:pt idx="3512">
                  <c:v>4</c:v>
                </c:pt>
                <c:pt idx="3513">
                  <c:v>4</c:v>
                </c:pt>
                <c:pt idx="3514">
                  <c:v>4</c:v>
                </c:pt>
                <c:pt idx="3515">
                  <c:v>4</c:v>
                </c:pt>
                <c:pt idx="3516">
                  <c:v>4</c:v>
                </c:pt>
                <c:pt idx="3517">
                  <c:v>4</c:v>
                </c:pt>
                <c:pt idx="3518">
                  <c:v>4</c:v>
                </c:pt>
                <c:pt idx="3519">
                  <c:v>4</c:v>
                </c:pt>
                <c:pt idx="3520">
                  <c:v>4</c:v>
                </c:pt>
                <c:pt idx="3521">
                  <c:v>4</c:v>
                </c:pt>
                <c:pt idx="3522">
                  <c:v>4</c:v>
                </c:pt>
                <c:pt idx="3523">
                  <c:v>4</c:v>
                </c:pt>
                <c:pt idx="3524">
                  <c:v>4</c:v>
                </c:pt>
                <c:pt idx="3525">
                  <c:v>4</c:v>
                </c:pt>
                <c:pt idx="3526">
                  <c:v>4</c:v>
                </c:pt>
                <c:pt idx="3527">
                  <c:v>4</c:v>
                </c:pt>
                <c:pt idx="3528">
                  <c:v>4</c:v>
                </c:pt>
                <c:pt idx="3529">
                  <c:v>4</c:v>
                </c:pt>
                <c:pt idx="3530">
                  <c:v>4</c:v>
                </c:pt>
                <c:pt idx="3531">
                  <c:v>4</c:v>
                </c:pt>
                <c:pt idx="3532">
                  <c:v>4</c:v>
                </c:pt>
                <c:pt idx="3533">
                  <c:v>4</c:v>
                </c:pt>
                <c:pt idx="3534">
                  <c:v>4</c:v>
                </c:pt>
                <c:pt idx="3535">
                  <c:v>4</c:v>
                </c:pt>
                <c:pt idx="3536">
                  <c:v>4</c:v>
                </c:pt>
                <c:pt idx="3537">
                  <c:v>4</c:v>
                </c:pt>
                <c:pt idx="3538">
                  <c:v>4</c:v>
                </c:pt>
                <c:pt idx="3539">
                  <c:v>4</c:v>
                </c:pt>
                <c:pt idx="3540">
                  <c:v>4</c:v>
                </c:pt>
                <c:pt idx="3541">
                  <c:v>4</c:v>
                </c:pt>
                <c:pt idx="3542">
                  <c:v>4</c:v>
                </c:pt>
                <c:pt idx="3543">
                  <c:v>4</c:v>
                </c:pt>
                <c:pt idx="3544">
                  <c:v>4</c:v>
                </c:pt>
                <c:pt idx="3545">
                  <c:v>4</c:v>
                </c:pt>
                <c:pt idx="3546">
                  <c:v>4</c:v>
                </c:pt>
                <c:pt idx="3547">
                  <c:v>4</c:v>
                </c:pt>
                <c:pt idx="3548">
                  <c:v>4</c:v>
                </c:pt>
                <c:pt idx="3549">
                  <c:v>4</c:v>
                </c:pt>
                <c:pt idx="3550">
                  <c:v>4</c:v>
                </c:pt>
                <c:pt idx="3551">
                  <c:v>4</c:v>
                </c:pt>
                <c:pt idx="3552">
                  <c:v>4</c:v>
                </c:pt>
                <c:pt idx="3553">
                  <c:v>4</c:v>
                </c:pt>
                <c:pt idx="3554">
                  <c:v>4</c:v>
                </c:pt>
                <c:pt idx="3555">
                  <c:v>4</c:v>
                </c:pt>
                <c:pt idx="3556">
                  <c:v>4</c:v>
                </c:pt>
                <c:pt idx="3557">
                  <c:v>4</c:v>
                </c:pt>
                <c:pt idx="3558">
                  <c:v>4</c:v>
                </c:pt>
                <c:pt idx="3559">
                  <c:v>4</c:v>
                </c:pt>
                <c:pt idx="3560">
                  <c:v>4</c:v>
                </c:pt>
                <c:pt idx="3561">
                  <c:v>4</c:v>
                </c:pt>
                <c:pt idx="3562">
                  <c:v>4</c:v>
                </c:pt>
                <c:pt idx="3563">
                  <c:v>4</c:v>
                </c:pt>
                <c:pt idx="3564">
                  <c:v>4</c:v>
                </c:pt>
                <c:pt idx="3565">
                  <c:v>4</c:v>
                </c:pt>
                <c:pt idx="3566">
                  <c:v>4</c:v>
                </c:pt>
                <c:pt idx="3567">
                  <c:v>4</c:v>
                </c:pt>
                <c:pt idx="3568">
                  <c:v>4</c:v>
                </c:pt>
                <c:pt idx="3569">
                  <c:v>4</c:v>
                </c:pt>
                <c:pt idx="3570">
                  <c:v>4</c:v>
                </c:pt>
                <c:pt idx="3571">
                  <c:v>4</c:v>
                </c:pt>
                <c:pt idx="3572">
                  <c:v>4</c:v>
                </c:pt>
                <c:pt idx="3573">
                  <c:v>4</c:v>
                </c:pt>
                <c:pt idx="3574">
                  <c:v>4</c:v>
                </c:pt>
                <c:pt idx="3575">
                  <c:v>4</c:v>
                </c:pt>
                <c:pt idx="3576">
                  <c:v>4</c:v>
                </c:pt>
                <c:pt idx="3577">
                  <c:v>4</c:v>
                </c:pt>
                <c:pt idx="3578">
                  <c:v>4</c:v>
                </c:pt>
                <c:pt idx="3579">
                  <c:v>4</c:v>
                </c:pt>
                <c:pt idx="3580">
                  <c:v>4</c:v>
                </c:pt>
                <c:pt idx="3581">
                  <c:v>4</c:v>
                </c:pt>
                <c:pt idx="3582">
                  <c:v>4</c:v>
                </c:pt>
                <c:pt idx="3583">
                  <c:v>4</c:v>
                </c:pt>
                <c:pt idx="3584">
                  <c:v>4</c:v>
                </c:pt>
                <c:pt idx="3585">
                  <c:v>4</c:v>
                </c:pt>
                <c:pt idx="3586">
                  <c:v>4</c:v>
                </c:pt>
                <c:pt idx="3587">
                  <c:v>4</c:v>
                </c:pt>
                <c:pt idx="3588">
                  <c:v>4</c:v>
                </c:pt>
                <c:pt idx="3589">
                  <c:v>4</c:v>
                </c:pt>
                <c:pt idx="3590">
                  <c:v>4</c:v>
                </c:pt>
                <c:pt idx="3591">
                  <c:v>4</c:v>
                </c:pt>
                <c:pt idx="3592">
                  <c:v>4</c:v>
                </c:pt>
                <c:pt idx="3593">
                  <c:v>4</c:v>
                </c:pt>
                <c:pt idx="3594">
                  <c:v>4</c:v>
                </c:pt>
                <c:pt idx="3595">
                  <c:v>4</c:v>
                </c:pt>
                <c:pt idx="3596">
                  <c:v>4</c:v>
                </c:pt>
                <c:pt idx="3597">
                  <c:v>4</c:v>
                </c:pt>
                <c:pt idx="3598">
                  <c:v>4</c:v>
                </c:pt>
                <c:pt idx="3599">
                  <c:v>4</c:v>
                </c:pt>
                <c:pt idx="3600">
                  <c:v>4</c:v>
                </c:pt>
                <c:pt idx="3601">
                  <c:v>4</c:v>
                </c:pt>
                <c:pt idx="3602">
                  <c:v>4</c:v>
                </c:pt>
                <c:pt idx="3603">
                  <c:v>4</c:v>
                </c:pt>
                <c:pt idx="3604">
                  <c:v>4</c:v>
                </c:pt>
                <c:pt idx="3605">
                  <c:v>4</c:v>
                </c:pt>
                <c:pt idx="3606">
                  <c:v>4</c:v>
                </c:pt>
                <c:pt idx="3607">
                  <c:v>4</c:v>
                </c:pt>
                <c:pt idx="3608">
                  <c:v>4</c:v>
                </c:pt>
                <c:pt idx="3609">
                  <c:v>4</c:v>
                </c:pt>
                <c:pt idx="3610">
                  <c:v>4</c:v>
                </c:pt>
                <c:pt idx="3611">
                  <c:v>4</c:v>
                </c:pt>
                <c:pt idx="3612">
                  <c:v>4</c:v>
                </c:pt>
                <c:pt idx="3613">
                  <c:v>4</c:v>
                </c:pt>
                <c:pt idx="3614">
                  <c:v>4</c:v>
                </c:pt>
                <c:pt idx="3615">
                  <c:v>4</c:v>
                </c:pt>
                <c:pt idx="3616">
                  <c:v>4</c:v>
                </c:pt>
                <c:pt idx="3617">
                  <c:v>4</c:v>
                </c:pt>
                <c:pt idx="3618">
                  <c:v>4</c:v>
                </c:pt>
                <c:pt idx="3619">
                  <c:v>4</c:v>
                </c:pt>
                <c:pt idx="3620">
                  <c:v>4</c:v>
                </c:pt>
                <c:pt idx="3621">
                  <c:v>4</c:v>
                </c:pt>
                <c:pt idx="3622">
                  <c:v>4</c:v>
                </c:pt>
                <c:pt idx="3623">
                  <c:v>4</c:v>
                </c:pt>
                <c:pt idx="3624">
                  <c:v>4</c:v>
                </c:pt>
                <c:pt idx="3625">
                  <c:v>4</c:v>
                </c:pt>
                <c:pt idx="3626">
                  <c:v>4</c:v>
                </c:pt>
                <c:pt idx="3627">
                  <c:v>4</c:v>
                </c:pt>
                <c:pt idx="3628">
                  <c:v>4</c:v>
                </c:pt>
                <c:pt idx="3629">
                  <c:v>4</c:v>
                </c:pt>
                <c:pt idx="3630">
                  <c:v>4</c:v>
                </c:pt>
                <c:pt idx="3631">
                  <c:v>4</c:v>
                </c:pt>
                <c:pt idx="3632">
                  <c:v>4</c:v>
                </c:pt>
                <c:pt idx="3633">
                  <c:v>4</c:v>
                </c:pt>
                <c:pt idx="3634">
                  <c:v>4</c:v>
                </c:pt>
                <c:pt idx="3635">
                  <c:v>4</c:v>
                </c:pt>
                <c:pt idx="3636">
                  <c:v>4</c:v>
                </c:pt>
                <c:pt idx="3637">
                  <c:v>4</c:v>
                </c:pt>
                <c:pt idx="3638">
                  <c:v>4</c:v>
                </c:pt>
                <c:pt idx="3639">
                  <c:v>4</c:v>
                </c:pt>
                <c:pt idx="3640">
                  <c:v>4</c:v>
                </c:pt>
                <c:pt idx="3641">
                  <c:v>4</c:v>
                </c:pt>
                <c:pt idx="3642">
                  <c:v>4</c:v>
                </c:pt>
                <c:pt idx="3643">
                  <c:v>4</c:v>
                </c:pt>
                <c:pt idx="3644">
                  <c:v>4</c:v>
                </c:pt>
                <c:pt idx="3645">
                  <c:v>4</c:v>
                </c:pt>
                <c:pt idx="3646">
                  <c:v>4</c:v>
                </c:pt>
                <c:pt idx="3647">
                  <c:v>4</c:v>
                </c:pt>
                <c:pt idx="3648">
                  <c:v>4</c:v>
                </c:pt>
                <c:pt idx="3649">
                  <c:v>4</c:v>
                </c:pt>
                <c:pt idx="3650">
                  <c:v>4</c:v>
                </c:pt>
                <c:pt idx="3651">
                  <c:v>4</c:v>
                </c:pt>
                <c:pt idx="3652">
                  <c:v>4</c:v>
                </c:pt>
                <c:pt idx="3653">
                  <c:v>4</c:v>
                </c:pt>
                <c:pt idx="3654">
                  <c:v>4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4</c:v>
                </c:pt>
                <c:pt idx="3659">
                  <c:v>4</c:v>
                </c:pt>
                <c:pt idx="3660">
                  <c:v>4</c:v>
                </c:pt>
                <c:pt idx="3661">
                  <c:v>4</c:v>
                </c:pt>
                <c:pt idx="3662">
                  <c:v>4</c:v>
                </c:pt>
                <c:pt idx="3663">
                  <c:v>4</c:v>
                </c:pt>
                <c:pt idx="3664">
                  <c:v>4</c:v>
                </c:pt>
                <c:pt idx="3665">
                  <c:v>4</c:v>
                </c:pt>
                <c:pt idx="3666">
                  <c:v>4</c:v>
                </c:pt>
                <c:pt idx="3667">
                  <c:v>4</c:v>
                </c:pt>
                <c:pt idx="3668">
                  <c:v>4</c:v>
                </c:pt>
                <c:pt idx="3669">
                  <c:v>4</c:v>
                </c:pt>
                <c:pt idx="3670">
                  <c:v>4</c:v>
                </c:pt>
                <c:pt idx="3671">
                  <c:v>4</c:v>
                </c:pt>
                <c:pt idx="3672">
                  <c:v>4</c:v>
                </c:pt>
                <c:pt idx="3673">
                  <c:v>4</c:v>
                </c:pt>
                <c:pt idx="3674">
                  <c:v>4</c:v>
                </c:pt>
                <c:pt idx="3675">
                  <c:v>4</c:v>
                </c:pt>
                <c:pt idx="3676">
                  <c:v>4</c:v>
                </c:pt>
                <c:pt idx="3677">
                  <c:v>4</c:v>
                </c:pt>
                <c:pt idx="3678">
                  <c:v>4</c:v>
                </c:pt>
                <c:pt idx="3679">
                  <c:v>4</c:v>
                </c:pt>
                <c:pt idx="3680">
                  <c:v>4</c:v>
                </c:pt>
                <c:pt idx="3681">
                  <c:v>4</c:v>
                </c:pt>
                <c:pt idx="3682">
                  <c:v>4</c:v>
                </c:pt>
                <c:pt idx="3683">
                  <c:v>4</c:v>
                </c:pt>
                <c:pt idx="3684">
                  <c:v>4</c:v>
                </c:pt>
                <c:pt idx="3685">
                  <c:v>4</c:v>
                </c:pt>
                <c:pt idx="3686">
                  <c:v>4</c:v>
                </c:pt>
                <c:pt idx="3687">
                  <c:v>4</c:v>
                </c:pt>
                <c:pt idx="3688">
                  <c:v>4</c:v>
                </c:pt>
                <c:pt idx="3689">
                  <c:v>4</c:v>
                </c:pt>
                <c:pt idx="3690">
                  <c:v>4</c:v>
                </c:pt>
                <c:pt idx="3691">
                  <c:v>4</c:v>
                </c:pt>
                <c:pt idx="3692">
                  <c:v>4</c:v>
                </c:pt>
                <c:pt idx="3693">
                  <c:v>4</c:v>
                </c:pt>
                <c:pt idx="3694">
                  <c:v>4</c:v>
                </c:pt>
                <c:pt idx="3695">
                  <c:v>4</c:v>
                </c:pt>
                <c:pt idx="3696">
                  <c:v>4</c:v>
                </c:pt>
                <c:pt idx="3697">
                  <c:v>4</c:v>
                </c:pt>
                <c:pt idx="3698">
                  <c:v>4</c:v>
                </c:pt>
                <c:pt idx="3699">
                  <c:v>4</c:v>
                </c:pt>
                <c:pt idx="3700">
                  <c:v>4</c:v>
                </c:pt>
                <c:pt idx="3701">
                  <c:v>4</c:v>
                </c:pt>
                <c:pt idx="3702">
                  <c:v>4</c:v>
                </c:pt>
                <c:pt idx="3703">
                  <c:v>4</c:v>
                </c:pt>
                <c:pt idx="3704">
                  <c:v>4</c:v>
                </c:pt>
                <c:pt idx="3705">
                  <c:v>4</c:v>
                </c:pt>
                <c:pt idx="3706">
                  <c:v>4</c:v>
                </c:pt>
                <c:pt idx="3707">
                  <c:v>4</c:v>
                </c:pt>
                <c:pt idx="3708">
                  <c:v>4</c:v>
                </c:pt>
                <c:pt idx="3709">
                  <c:v>4</c:v>
                </c:pt>
                <c:pt idx="3710">
                  <c:v>4</c:v>
                </c:pt>
                <c:pt idx="3711">
                  <c:v>4</c:v>
                </c:pt>
                <c:pt idx="3712">
                  <c:v>4</c:v>
                </c:pt>
                <c:pt idx="3713">
                  <c:v>4</c:v>
                </c:pt>
                <c:pt idx="3714">
                  <c:v>4</c:v>
                </c:pt>
                <c:pt idx="3715">
                  <c:v>4</c:v>
                </c:pt>
                <c:pt idx="3716">
                  <c:v>4</c:v>
                </c:pt>
                <c:pt idx="3717">
                  <c:v>4</c:v>
                </c:pt>
                <c:pt idx="3718">
                  <c:v>4</c:v>
                </c:pt>
                <c:pt idx="3719">
                  <c:v>4</c:v>
                </c:pt>
                <c:pt idx="3720">
                  <c:v>4</c:v>
                </c:pt>
                <c:pt idx="3721">
                  <c:v>4</c:v>
                </c:pt>
                <c:pt idx="3722">
                  <c:v>4</c:v>
                </c:pt>
                <c:pt idx="3723">
                  <c:v>4</c:v>
                </c:pt>
                <c:pt idx="3724">
                  <c:v>4</c:v>
                </c:pt>
                <c:pt idx="3725">
                  <c:v>4</c:v>
                </c:pt>
                <c:pt idx="3726">
                  <c:v>4</c:v>
                </c:pt>
                <c:pt idx="3727">
                  <c:v>4</c:v>
                </c:pt>
                <c:pt idx="3728">
                  <c:v>4</c:v>
                </c:pt>
                <c:pt idx="3729">
                  <c:v>4</c:v>
                </c:pt>
                <c:pt idx="3730">
                  <c:v>4</c:v>
                </c:pt>
                <c:pt idx="3731">
                  <c:v>4</c:v>
                </c:pt>
                <c:pt idx="3732">
                  <c:v>4</c:v>
                </c:pt>
                <c:pt idx="3733">
                  <c:v>4</c:v>
                </c:pt>
                <c:pt idx="3734">
                  <c:v>4</c:v>
                </c:pt>
                <c:pt idx="3735">
                  <c:v>4</c:v>
                </c:pt>
                <c:pt idx="3736">
                  <c:v>4</c:v>
                </c:pt>
                <c:pt idx="3737">
                  <c:v>4</c:v>
                </c:pt>
                <c:pt idx="3738">
                  <c:v>4</c:v>
                </c:pt>
                <c:pt idx="3739">
                  <c:v>4</c:v>
                </c:pt>
                <c:pt idx="3740">
                  <c:v>4</c:v>
                </c:pt>
                <c:pt idx="3741">
                  <c:v>4</c:v>
                </c:pt>
                <c:pt idx="3742">
                  <c:v>4</c:v>
                </c:pt>
                <c:pt idx="3743">
                  <c:v>4</c:v>
                </c:pt>
                <c:pt idx="3744">
                  <c:v>4</c:v>
                </c:pt>
                <c:pt idx="3745">
                  <c:v>4</c:v>
                </c:pt>
                <c:pt idx="3746">
                  <c:v>4</c:v>
                </c:pt>
                <c:pt idx="3747">
                  <c:v>4</c:v>
                </c:pt>
                <c:pt idx="3748">
                  <c:v>4</c:v>
                </c:pt>
                <c:pt idx="3749">
                  <c:v>4</c:v>
                </c:pt>
                <c:pt idx="3750">
                  <c:v>4</c:v>
                </c:pt>
                <c:pt idx="3751">
                  <c:v>4</c:v>
                </c:pt>
                <c:pt idx="3752">
                  <c:v>4</c:v>
                </c:pt>
                <c:pt idx="3753">
                  <c:v>4</c:v>
                </c:pt>
                <c:pt idx="3754">
                  <c:v>4</c:v>
                </c:pt>
                <c:pt idx="3755">
                  <c:v>4</c:v>
                </c:pt>
                <c:pt idx="3756">
                  <c:v>4</c:v>
                </c:pt>
                <c:pt idx="3757">
                  <c:v>4</c:v>
                </c:pt>
                <c:pt idx="3758">
                  <c:v>4</c:v>
                </c:pt>
                <c:pt idx="3759">
                  <c:v>4</c:v>
                </c:pt>
                <c:pt idx="3760">
                  <c:v>4</c:v>
                </c:pt>
                <c:pt idx="3761">
                  <c:v>4</c:v>
                </c:pt>
                <c:pt idx="3762">
                  <c:v>4</c:v>
                </c:pt>
                <c:pt idx="3763">
                  <c:v>4</c:v>
                </c:pt>
                <c:pt idx="3764">
                  <c:v>4</c:v>
                </c:pt>
                <c:pt idx="3765">
                  <c:v>4</c:v>
                </c:pt>
                <c:pt idx="3766">
                  <c:v>4</c:v>
                </c:pt>
                <c:pt idx="3767">
                  <c:v>4</c:v>
                </c:pt>
                <c:pt idx="3768">
                  <c:v>4</c:v>
                </c:pt>
                <c:pt idx="3769">
                  <c:v>4</c:v>
                </c:pt>
                <c:pt idx="3770">
                  <c:v>4</c:v>
                </c:pt>
                <c:pt idx="3771">
                  <c:v>4</c:v>
                </c:pt>
                <c:pt idx="3772">
                  <c:v>4</c:v>
                </c:pt>
                <c:pt idx="3773">
                  <c:v>4</c:v>
                </c:pt>
                <c:pt idx="3774">
                  <c:v>4</c:v>
                </c:pt>
                <c:pt idx="3775">
                  <c:v>4</c:v>
                </c:pt>
                <c:pt idx="3776">
                  <c:v>4</c:v>
                </c:pt>
                <c:pt idx="3777">
                  <c:v>4</c:v>
                </c:pt>
                <c:pt idx="3778">
                  <c:v>4</c:v>
                </c:pt>
                <c:pt idx="3779">
                  <c:v>4</c:v>
                </c:pt>
                <c:pt idx="3780">
                  <c:v>4</c:v>
                </c:pt>
                <c:pt idx="3781">
                  <c:v>4</c:v>
                </c:pt>
                <c:pt idx="3782">
                  <c:v>4</c:v>
                </c:pt>
                <c:pt idx="3783">
                  <c:v>4</c:v>
                </c:pt>
                <c:pt idx="3784">
                  <c:v>4</c:v>
                </c:pt>
                <c:pt idx="3785">
                  <c:v>4</c:v>
                </c:pt>
                <c:pt idx="3786">
                  <c:v>4</c:v>
                </c:pt>
                <c:pt idx="3787">
                  <c:v>4</c:v>
                </c:pt>
                <c:pt idx="3788">
                  <c:v>4</c:v>
                </c:pt>
                <c:pt idx="3789">
                  <c:v>4</c:v>
                </c:pt>
                <c:pt idx="3790">
                  <c:v>4</c:v>
                </c:pt>
                <c:pt idx="3791">
                  <c:v>4</c:v>
                </c:pt>
                <c:pt idx="3792">
                  <c:v>4</c:v>
                </c:pt>
                <c:pt idx="3793">
                  <c:v>4</c:v>
                </c:pt>
                <c:pt idx="3794">
                  <c:v>4</c:v>
                </c:pt>
                <c:pt idx="3795">
                  <c:v>4</c:v>
                </c:pt>
                <c:pt idx="3796">
                  <c:v>4</c:v>
                </c:pt>
                <c:pt idx="3797">
                  <c:v>4</c:v>
                </c:pt>
                <c:pt idx="4329">
                  <c:v>5</c:v>
                </c:pt>
                <c:pt idx="4330">
                  <c:v>5</c:v>
                </c:pt>
                <c:pt idx="4331">
                  <c:v>5</c:v>
                </c:pt>
                <c:pt idx="4332">
                  <c:v>5</c:v>
                </c:pt>
                <c:pt idx="4333">
                  <c:v>5</c:v>
                </c:pt>
                <c:pt idx="4334">
                  <c:v>5</c:v>
                </c:pt>
                <c:pt idx="4335">
                  <c:v>5</c:v>
                </c:pt>
                <c:pt idx="4336">
                  <c:v>5</c:v>
                </c:pt>
                <c:pt idx="4337">
                  <c:v>5</c:v>
                </c:pt>
                <c:pt idx="4338">
                  <c:v>5</c:v>
                </c:pt>
                <c:pt idx="4339">
                  <c:v>5</c:v>
                </c:pt>
                <c:pt idx="4340">
                  <c:v>5</c:v>
                </c:pt>
                <c:pt idx="4341">
                  <c:v>5</c:v>
                </c:pt>
                <c:pt idx="4342">
                  <c:v>5</c:v>
                </c:pt>
                <c:pt idx="4343">
                  <c:v>5</c:v>
                </c:pt>
                <c:pt idx="4344">
                  <c:v>5</c:v>
                </c:pt>
                <c:pt idx="4345">
                  <c:v>5</c:v>
                </c:pt>
                <c:pt idx="4346">
                  <c:v>5</c:v>
                </c:pt>
                <c:pt idx="4347">
                  <c:v>5</c:v>
                </c:pt>
                <c:pt idx="4348">
                  <c:v>5</c:v>
                </c:pt>
                <c:pt idx="4349">
                  <c:v>5</c:v>
                </c:pt>
                <c:pt idx="4350">
                  <c:v>5</c:v>
                </c:pt>
                <c:pt idx="4351">
                  <c:v>5</c:v>
                </c:pt>
                <c:pt idx="4352">
                  <c:v>5</c:v>
                </c:pt>
                <c:pt idx="4353">
                  <c:v>5</c:v>
                </c:pt>
                <c:pt idx="4354">
                  <c:v>5</c:v>
                </c:pt>
                <c:pt idx="4355">
                  <c:v>5</c:v>
                </c:pt>
                <c:pt idx="4356">
                  <c:v>5</c:v>
                </c:pt>
                <c:pt idx="4357">
                  <c:v>5</c:v>
                </c:pt>
                <c:pt idx="4358">
                  <c:v>5</c:v>
                </c:pt>
                <c:pt idx="4359">
                  <c:v>5</c:v>
                </c:pt>
                <c:pt idx="4360">
                  <c:v>5</c:v>
                </c:pt>
                <c:pt idx="4361">
                  <c:v>5</c:v>
                </c:pt>
                <c:pt idx="4362">
                  <c:v>5</c:v>
                </c:pt>
                <c:pt idx="4363">
                  <c:v>5</c:v>
                </c:pt>
                <c:pt idx="4364">
                  <c:v>5</c:v>
                </c:pt>
                <c:pt idx="4365">
                  <c:v>5</c:v>
                </c:pt>
                <c:pt idx="4366">
                  <c:v>5</c:v>
                </c:pt>
                <c:pt idx="4367">
                  <c:v>5</c:v>
                </c:pt>
                <c:pt idx="4368">
                  <c:v>5</c:v>
                </c:pt>
                <c:pt idx="4369">
                  <c:v>5</c:v>
                </c:pt>
                <c:pt idx="4370">
                  <c:v>5</c:v>
                </c:pt>
                <c:pt idx="4371">
                  <c:v>5</c:v>
                </c:pt>
                <c:pt idx="4372">
                  <c:v>5</c:v>
                </c:pt>
                <c:pt idx="4373">
                  <c:v>5</c:v>
                </c:pt>
                <c:pt idx="4374">
                  <c:v>5</c:v>
                </c:pt>
                <c:pt idx="4375">
                  <c:v>5</c:v>
                </c:pt>
                <c:pt idx="4376">
                  <c:v>5</c:v>
                </c:pt>
                <c:pt idx="4377">
                  <c:v>5</c:v>
                </c:pt>
                <c:pt idx="4378">
                  <c:v>5</c:v>
                </c:pt>
                <c:pt idx="4379">
                  <c:v>5</c:v>
                </c:pt>
                <c:pt idx="4380">
                  <c:v>5</c:v>
                </c:pt>
                <c:pt idx="4381">
                  <c:v>5</c:v>
                </c:pt>
                <c:pt idx="4382">
                  <c:v>5</c:v>
                </c:pt>
                <c:pt idx="4383">
                  <c:v>5</c:v>
                </c:pt>
                <c:pt idx="4384">
                  <c:v>5</c:v>
                </c:pt>
                <c:pt idx="4385">
                  <c:v>5</c:v>
                </c:pt>
                <c:pt idx="4386">
                  <c:v>5</c:v>
                </c:pt>
                <c:pt idx="4387">
                  <c:v>5</c:v>
                </c:pt>
                <c:pt idx="4388">
                  <c:v>5</c:v>
                </c:pt>
                <c:pt idx="4389">
                  <c:v>5</c:v>
                </c:pt>
                <c:pt idx="4390">
                  <c:v>5</c:v>
                </c:pt>
                <c:pt idx="4391">
                  <c:v>5</c:v>
                </c:pt>
                <c:pt idx="4392">
                  <c:v>5</c:v>
                </c:pt>
                <c:pt idx="4393">
                  <c:v>5</c:v>
                </c:pt>
                <c:pt idx="4394">
                  <c:v>5</c:v>
                </c:pt>
                <c:pt idx="4395">
                  <c:v>5</c:v>
                </c:pt>
                <c:pt idx="4396">
                  <c:v>5</c:v>
                </c:pt>
                <c:pt idx="4397">
                  <c:v>5</c:v>
                </c:pt>
                <c:pt idx="4398">
                  <c:v>5</c:v>
                </c:pt>
                <c:pt idx="4399">
                  <c:v>5</c:v>
                </c:pt>
                <c:pt idx="4400">
                  <c:v>5</c:v>
                </c:pt>
                <c:pt idx="4401">
                  <c:v>5</c:v>
                </c:pt>
                <c:pt idx="4402">
                  <c:v>5</c:v>
                </c:pt>
                <c:pt idx="4403">
                  <c:v>5</c:v>
                </c:pt>
                <c:pt idx="4404">
                  <c:v>5</c:v>
                </c:pt>
                <c:pt idx="4405">
                  <c:v>5</c:v>
                </c:pt>
                <c:pt idx="4406">
                  <c:v>5</c:v>
                </c:pt>
                <c:pt idx="4407">
                  <c:v>5</c:v>
                </c:pt>
                <c:pt idx="4408">
                  <c:v>5</c:v>
                </c:pt>
                <c:pt idx="4409">
                  <c:v>5</c:v>
                </c:pt>
                <c:pt idx="4410">
                  <c:v>5</c:v>
                </c:pt>
                <c:pt idx="4411">
                  <c:v>5</c:v>
                </c:pt>
                <c:pt idx="4412">
                  <c:v>5</c:v>
                </c:pt>
                <c:pt idx="4413">
                  <c:v>5</c:v>
                </c:pt>
                <c:pt idx="4414">
                  <c:v>5</c:v>
                </c:pt>
                <c:pt idx="4415">
                  <c:v>5</c:v>
                </c:pt>
                <c:pt idx="4416">
                  <c:v>5</c:v>
                </c:pt>
                <c:pt idx="4417">
                  <c:v>5</c:v>
                </c:pt>
                <c:pt idx="4418">
                  <c:v>5</c:v>
                </c:pt>
                <c:pt idx="4419">
                  <c:v>5</c:v>
                </c:pt>
                <c:pt idx="4420">
                  <c:v>5</c:v>
                </c:pt>
                <c:pt idx="4421">
                  <c:v>5</c:v>
                </c:pt>
                <c:pt idx="4422">
                  <c:v>5</c:v>
                </c:pt>
                <c:pt idx="4423">
                  <c:v>5</c:v>
                </c:pt>
                <c:pt idx="4424">
                  <c:v>5</c:v>
                </c:pt>
                <c:pt idx="4425">
                  <c:v>5</c:v>
                </c:pt>
                <c:pt idx="4426">
                  <c:v>5</c:v>
                </c:pt>
                <c:pt idx="4427">
                  <c:v>5</c:v>
                </c:pt>
                <c:pt idx="4428">
                  <c:v>5</c:v>
                </c:pt>
                <c:pt idx="4429">
                  <c:v>5</c:v>
                </c:pt>
                <c:pt idx="4430">
                  <c:v>5</c:v>
                </c:pt>
                <c:pt idx="4431">
                  <c:v>5</c:v>
                </c:pt>
                <c:pt idx="4432">
                  <c:v>5</c:v>
                </c:pt>
                <c:pt idx="4433">
                  <c:v>5</c:v>
                </c:pt>
                <c:pt idx="4434">
                  <c:v>5</c:v>
                </c:pt>
                <c:pt idx="4435">
                  <c:v>5</c:v>
                </c:pt>
                <c:pt idx="4436">
                  <c:v>5</c:v>
                </c:pt>
                <c:pt idx="4437">
                  <c:v>5</c:v>
                </c:pt>
                <c:pt idx="4438">
                  <c:v>5</c:v>
                </c:pt>
                <c:pt idx="4439">
                  <c:v>5</c:v>
                </c:pt>
                <c:pt idx="4440">
                  <c:v>5</c:v>
                </c:pt>
                <c:pt idx="4441">
                  <c:v>5</c:v>
                </c:pt>
                <c:pt idx="4442">
                  <c:v>5</c:v>
                </c:pt>
                <c:pt idx="4443">
                  <c:v>5</c:v>
                </c:pt>
                <c:pt idx="4444">
                  <c:v>5</c:v>
                </c:pt>
                <c:pt idx="4445">
                  <c:v>5</c:v>
                </c:pt>
                <c:pt idx="4446">
                  <c:v>5</c:v>
                </c:pt>
                <c:pt idx="4447">
                  <c:v>5</c:v>
                </c:pt>
                <c:pt idx="4448">
                  <c:v>5</c:v>
                </c:pt>
                <c:pt idx="4449">
                  <c:v>5</c:v>
                </c:pt>
                <c:pt idx="4450">
                  <c:v>5</c:v>
                </c:pt>
                <c:pt idx="4451">
                  <c:v>5</c:v>
                </c:pt>
                <c:pt idx="4452">
                  <c:v>5</c:v>
                </c:pt>
                <c:pt idx="4453">
                  <c:v>5</c:v>
                </c:pt>
                <c:pt idx="4454">
                  <c:v>5</c:v>
                </c:pt>
                <c:pt idx="4455">
                  <c:v>5</c:v>
                </c:pt>
                <c:pt idx="4456">
                  <c:v>5</c:v>
                </c:pt>
                <c:pt idx="4457">
                  <c:v>5</c:v>
                </c:pt>
                <c:pt idx="4458">
                  <c:v>5</c:v>
                </c:pt>
                <c:pt idx="4459">
                  <c:v>5</c:v>
                </c:pt>
                <c:pt idx="4460">
                  <c:v>5</c:v>
                </c:pt>
                <c:pt idx="4461">
                  <c:v>5</c:v>
                </c:pt>
                <c:pt idx="4462">
                  <c:v>5</c:v>
                </c:pt>
                <c:pt idx="4463">
                  <c:v>5</c:v>
                </c:pt>
                <c:pt idx="4464">
                  <c:v>5</c:v>
                </c:pt>
                <c:pt idx="4465">
                  <c:v>5</c:v>
                </c:pt>
                <c:pt idx="4466">
                  <c:v>5</c:v>
                </c:pt>
                <c:pt idx="4467">
                  <c:v>5</c:v>
                </c:pt>
                <c:pt idx="4468">
                  <c:v>5</c:v>
                </c:pt>
                <c:pt idx="4469">
                  <c:v>5</c:v>
                </c:pt>
                <c:pt idx="4470">
                  <c:v>5</c:v>
                </c:pt>
                <c:pt idx="4471">
                  <c:v>5</c:v>
                </c:pt>
                <c:pt idx="4472">
                  <c:v>5</c:v>
                </c:pt>
                <c:pt idx="4473">
                  <c:v>5</c:v>
                </c:pt>
                <c:pt idx="4474">
                  <c:v>5</c:v>
                </c:pt>
                <c:pt idx="4475">
                  <c:v>5</c:v>
                </c:pt>
                <c:pt idx="4476">
                  <c:v>5</c:v>
                </c:pt>
                <c:pt idx="4477">
                  <c:v>5</c:v>
                </c:pt>
                <c:pt idx="4478">
                  <c:v>5</c:v>
                </c:pt>
                <c:pt idx="4479">
                  <c:v>5</c:v>
                </c:pt>
                <c:pt idx="4480">
                  <c:v>5</c:v>
                </c:pt>
                <c:pt idx="4481">
                  <c:v>5</c:v>
                </c:pt>
                <c:pt idx="4482">
                  <c:v>5</c:v>
                </c:pt>
                <c:pt idx="4483">
                  <c:v>5</c:v>
                </c:pt>
                <c:pt idx="4484">
                  <c:v>5</c:v>
                </c:pt>
                <c:pt idx="4485">
                  <c:v>5</c:v>
                </c:pt>
                <c:pt idx="4486">
                  <c:v>5</c:v>
                </c:pt>
                <c:pt idx="4487">
                  <c:v>5</c:v>
                </c:pt>
                <c:pt idx="4488">
                  <c:v>5</c:v>
                </c:pt>
                <c:pt idx="4489">
                  <c:v>5</c:v>
                </c:pt>
                <c:pt idx="4490">
                  <c:v>5</c:v>
                </c:pt>
                <c:pt idx="4491">
                  <c:v>5</c:v>
                </c:pt>
                <c:pt idx="4492">
                  <c:v>5</c:v>
                </c:pt>
                <c:pt idx="4493">
                  <c:v>5</c:v>
                </c:pt>
                <c:pt idx="4494">
                  <c:v>5</c:v>
                </c:pt>
                <c:pt idx="4495">
                  <c:v>5</c:v>
                </c:pt>
                <c:pt idx="4496">
                  <c:v>5</c:v>
                </c:pt>
                <c:pt idx="4497">
                  <c:v>5</c:v>
                </c:pt>
                <c:pt idx="4498">
                  <c:v>5</c:v>
                </c:pt>
                <c:pt idx="4499">
                  <c:v>5</c:v>
                </c:pt>
                <c:pt idx="4500">
                  <c:v>5</c:v>
                </c:pt>
                <c:pt idx="4501">
                  <c:v>5</c:v>
                </c:pt>
                <c:pt idx="4502">
                  <c:v>5</c:v>
                </c:pt>
                <c:pt idx="4503">
                  <c:v>5</c:v>
                </c:pt>
                <c:pt idx="4504">
                  <c:v>5</c:v>
                </c:pt>
                <c:pt idx="4505">
                  <c:v>5</c:v>
                </c:pt>
                <c:pt idx="4506">
                  <c:v>5</c:v>
                </c:pt>
                <c:pt idx="4507">
                  <c:v>5</c:v>
                </c:pt>
                <c:pt idx="4508">
                  <c:v>5</c:v>
                </c:pt>
                <c:pt idx="4509">
                  <c:v>5</c:v>
                </c:pt>
                <c:pt idx="4510">
                  <c:v>5</c:v>
                </c:pt>
                <c:pt idx="4511">
                  <c:v>5</c:v>
                </c:pt>
                <c:pt idx="4512">
                  <c:v>5</c:v>
                </c:pt>
                <c:pt idx="4513">
                  <c:v>5</c:v>
                </c:pt>
                <c:pt idx="4514">
                  <c:v>5</c:v>
                </c:pt>
                <c:pt idx="4515">
                  <c:v>5</c:v>
                </c:pt>
                <c:pt idx="4516">
                  <c:v>5</c:v>
                </c:pt>
                <c:pt idx="4517">
                  <c:v>5</c:v>
                </c:pt>
                <c:pt idx="4518">
                  <c:v>5</c:v>
                </c:pt>
                <c:pt idx="4519">
                  <c:v>5</c:v>
                </c:pt>
                <c:pt idx="4520">
                  <c:v>5</c:v>
                </c:pt>
                <c:pt idx="4521">
                  <c:v>5</c:v>
                </c:pt>
                <c:pt idx="4522">
                  <c:v>5</c:v>
                </c:pt>
                <c:pt idx="4523">
                  <c:v>5</c:v>
                </c:pt>
                <c:pt idx="4524">
                  <c:v>5</c:v>
                </c:pt>
                <c:pt idx="4525">
                  <c:v>5</c:v>
                </c:pt>
                <c:pt idx="4526">
                  <c:v>5</c:v>
                </c:pt>
                <c:pt idx="4527">
                  <c:v>5</c:v>
                </c:pt>
                <c:pt idx="4528">
                  <c:v>5</c:v>
                </c:pt>
                <c:pt idx="4529">
                  <c:v>5</c:v>
                </c:pt>
                <c:pt idx="4530">
                  <c:v>5</c:v>
                </c:pt>
                <c:pt idx="4531">
                  <c:v>5</c:v>
                </c:pt>
                <c:pt idx="4532">
                  <c:v>5</c:v>
                </c:pt>
                <c:pt idx="4533">
                  <c:v>5</c:v>
                </c:pt>
                <c:pt idx="4534">
                  <c:v>5</c:v>
                </c:pt>
                <c:pt idx="4535">
                  <c:v>5</c:v>
                </c:pt>
                <c:pt idx="4536">
                  <c:v>5</c:v>
                </c:pt>
                <c:pt idx="4537">
                  <c:v>5</c:v>
                </c:pt>
                <c:pt idx="4538">
                  <c:v>5</c:v>
                </c:pt>
                <c:pt idx="4539">
                  <c:v>5</c:v>
                </c:pt>
                <c:pt idx="4540">
                  <c:v>5</c:v>
                </c:pt>
                <c:pt idx="4541">
                  <c:v>5</c:v>
                </c:pt>
                <c:pt idx="4542">
                  <c:v>5</c:v>
                </c:pt>
                <c:pt idx="4543">
                  <c:v>5</c:v>
                </c:pt>
                <c:pt idx="4544">
                  <c:v>5</c:v>
                </c:pt>
                <c:pt idx="4545">
                  <c:v>5</c:v>
                </c:pt>
                <c:pt idx="4546">
                  <c:v>5</c:v>
                </c:pt>
                <c:pt idx="4547">
                  <c:v>5</c:v>
                </c:pt>
                <c:pt idx="4548">
                  <c:v>5</c:v>
                </c:pt>
                <c:pt idx="4549">
                  <c:v>5</c:v>
                </c:pt>
                <c:pt idx="4550">
                  <c:v>5</c:v>
                </c:pt>
                <c:pt idx="4551">
                  <c:v>5</c:v>
                </c:pt>
                <c:pt idx="4552">
                  <c:v>5</c:v>
                </c:pt>
                <c:pt idx="4553">
                  <c:v>5</c:v>
                </c:pt>
                <c:pt idx="4554">
                  <c:v>5</c:v>
                </c:pt>
                <c:pt idx="4555">
                  <c:v>5</c:v>
                </c:pt>
                <c:pt idx="4556">
                  <c:v>5</c:v>
                </c:pt>
                <c:pt idx="4557">
                  <c:v>5</c:v>
                </c:pt>
                <c:pt idx="4558">
                  <c:v>5</c:v>
                </c:pt>
                <c:pt idx="4559">
                  <c:v>5</c:v>
                </c:pt>
                <c:pt idx="4560">
                  <c:v>5</c:v>
                </c:pt>
                <c:pt idx="4561">
                  <c:v>5</c:v>
                </c:pt>
                <c:pt idx="4562">
                  <c:v>5</c:v>
                </c:pt>
                <c:pt idx="4563">
                  <c:v>5</c:v>
                </c:pt>
                <c:pt idx="4564">
                  <c:v>5</c:v>
                </c:pt>
                <c:pt idx="4565">
                  <c:v>5</c:v>
                </c:pt>
                <c:pt idx="4566">
                  <c:v>5</c:v>
                </c:pt>
                <c:pt idx="4567">
                  <c:v>5</c:v>
                </c:pt>
                <c:pt idx="4568">
                  <c:v>5</c:v>
                </c:pt>
                <c:pt idx="4569">
                  <c:v>5</c:v>
                </c:pt>
                <c:pt idx="4570">
                  <c:v>5</c:v>
                </c:pt>
                <c:pt idx="4571">
                  <c:v>5</c:v>
                </c:pt>
                <c:pt idx="4572">
                  <c:v>5</c:v>
                </c:pt>
                <c:pt idx="4573">
                  <c:v>5</c:v>
                </c:pt>
                <c:pt idx="4574">
                  <c:v>5</c:v>
                </c:pt>
                <c:pt idx="4575">
                  <c:v>5</c:v>
                </c:pt>
                <c:pt idx="4576">
                  <c:v>5</c:v>
                </c:pt>
                <c:pt idx="4577">
                  <c:v>5</c:v>
                </c:pt>
                <c:pt idx="4578">
                  <c:v>5</c:v>
                </c:pt>
                <c:pt idx="4579">
                  <c:v>5</c:v>
                </c:pt>
                <c:pt idx="4580">
                  <c:v>5</c:v>
                </c:pt>
                <c:pt idx="4581">
                  <c:v>5</c:v>
                </c:pt>
                <c:pt idx="4582">
                  <c:v>5</c:v>
                </c:pt>
                <c:pt idx="4583">
                  <c:v>5</c:v>
                </c:pt>
                <c:pt idx="4584">
                  <c:v>5</c:v>
                </c:pt>
                <c:pt idx="4585">
                  <c:v>5</c:v>
                </c:pt>
                <c:pt idx="4586">
                  <c:v>5</c:v>
                </c:pt>
                <c:pt idx="4587">
                  <c:v>5</c:v>
                </c:pt>
                <c:pt idx="4588">
                  <c:v>5</c:v>
                </c:pt>
                <c:pt idx="4589">
                  <c:v>5</c:v>
                </c:pt>
                <c:pt idx="4590">
                  <c:v>5</c:v>
                </c:pt>
                <c:pt idx="4591">
                  <c:v>5</c:v>
                </c:pt>
                <c:pt idx="4592">
                  <c:v>5</c:v>
                </c:pt>
                <c:pt idx="4593">
                  <c:v>5</c:v>
                </c:pt>
                <c:pt idx="4594">
                  <c:v>5</c:v>
                </c:pt>
                <c:pt idx="4595">
                  <c:v>5</c:v>
                </c:pt>
                <c:pt idx="4596">
                  <c:v>5</c:v>
                </c:pt>
                <c:pt idx="4597">
                  <c:v>5</c:v>
                </c:pt>
                <c:pt idx="4598">
                  <c:v>5</c:v>
                </c:pt>
                <c:pt idx="4599">
                  <c:v>5</c:v>
                </c:pt>
                <c:pt idx="4600">
                  <c:v>5</c:v>
                </c:pt>
                <c:pt idx="4601">
                  <c:v>5</c:v>
                </c:pt>
                <c:pt idx="4602">
                  <c:v>5</c:v>
                </c:pt>
                <c:pt idx="4603">
                  <c:v>5</c:v>
                </c:pt>
                <c:pt idx="4604">
                  <c:v>5</c:v>
                </c:pt>
                <c:pt idx="4605">
                  <c:v>5</c:v>
                </c:pt>
                <c:pt idx="4606">
                  <c:v>5</c:v>
                </c:pt>
                <c:pt idx="4607">
                  <c:v>5</c:v>
                </c:pt>
                <c:pt idx="4608">
                  <c:v>5</c:v>
                </c:pt>
                <c:pt idx="4609">
                  <c:v>5</c:v>
                </c:pt>
                <c:pt idx="4610">
                  <c:v>5</c:v>
                </c:pt>
                <c:pt idx="4611">
                  <c:v>5</c:v>
                </c:pt>
                <c:pt idx="4612">
                  <c:v>5</c:v>
                </c:pt>
                <c:pt idx="4613">
                  <c:v>5</c:v>
                </c:pt>
                <c:pt idx="4614">
                  <c:v>5</c:v>
                </c:pt>
                <c:pt idx="4615">
                  <c:v>5</c:v>
                </c:pt>
                <c:pt idx="4616">
                  <c:v>5</c:v>
                </c:pt>
                <c:pt idx="4617">
                  <c:v>5</c:v>
                </c:pt>
                <c:pt idx="4618">
                  <c:v>5</c:v>
                </c:pt>
                <c:pt idx="4619">
                  <c:v>5</c:v>
                </c:pt>
                <c:pt idx="4620">
                  <c:v>5</c:v>
                </c:pt>
                <c:pt idx="4621">
                  <c:v>5</c:v>
                </c:pt>
                <c:pt idx="4622">
                  <c:v>5</c:v>
                </c:pt>
                <c:pt idx="4623">
                  <c:v>5</c:v>
                </c:pt>
                <c:pt idx="4624">
                  <c:v>5</c:v>
                </c:pt>
                <c:pt idx="4625">
                  <c:v>5</c:v>
                </c:pt>
                <c:pt idx="4626">
                  <c:v>5</c:v>
                </c:pt>
                <c:pt idx="4627">
                  <c:v>5</c:v>
                </c:pt>
                <c:pt idx="4628">
                  <c:v>5</c:v>
                </c:pt>
                <c:pt idx="4629">
                  <c:v>5</c:v>
                </c:pt>
                <c:pt idx="4630">
                  <c:v>5</c:v>
                </c:pt>
                <c:pt idx="4631">
                  <c:v>5</c:v>
                </c:pt>
                <c:pt idx="4632">
                  <c:v>5</c:v>
                </c:pt>
                <c:pt idx="4633">
                  <c:v>5</c:v>
                </c:pt>
                <c:pt idx="4634">
                  <c:v>5</c:v>
                </c:pt>
                <c:pt idx="4635">
                  <c:v>5</c:v>
                </c:pt>
                <c:pt idx="4636">
                  <c:v>5</c:v>
                </c:pt>
                <c:pt idx="4637">
                  <c:v>5</c:v>
                </c:pt>
                <c:pt idx="4638">
                  <c:v>5</c:v>
                </c:pt>
                <c:pt idx="4639">
                  <c:v>5</c:v>
                </c:pt>
                <c:pt idx="4640">
                  <c:v>5</c:v>
                </c:pt>
                <c:pt idx="4641">
                  <c:v>5</c:v>
                </c:pt>
                <c:pt idx="4642">
                  <c:v>5</c:v>
                </c:pt>
                <c:pt idx="4643">
                  <c:v>5</c:v>
                </c:pt>
                <c:pt idx="4644">
                  <c:v>5</c:v>
                </c:pt>
                <c:pt idx="4645">
                  <c:v>5</c:v>
                </c:pt>
                <c:pt idx="4646">
                  <c:v>5</c:v>
                </c:pt>
                <c:pt idx="4647">
                  <c:v>5</c:v>
                </c:pt>
                <c:pt idx="4648">
                  <c:v>5</c:v>
                </c:pt>
                <c:pt idx="4649">
                  <c:v>5</c:v>
                </c:pt>
                <c:pt idx="4650">
                  <c:v>5</c:v>
                </c:pt>
                <c:pt idx="4651">
                  <c:v>5</c:v>
                </c:pt>
                <c:pt idx="4652">
                  <c:v>5</c:v>
                </c:pt>
                <c:pt idx="4653">
                  <c:v>5</c:v>
                </c:pt>
                <c:pt idx="4654">
                  <c:v>5</c:v>
                </c:pt>
                <c:pt idx="4655">
                  <c:v>5</c:v>
                </c:pt>
                <c:pt idx="4656">
                  <c:v>5</c:v>
                </c:pt>
                <c:pt idx="4657">
                  <c:v>5</c:v>
                </c:pt>
                <c:pt idx="4658">
                  <c:v>5</c:v>
                </c:pt>
                <c:pt idx="4659">
                  <c:v>5</c:v>
                </c:pt>
                <c:pt idx="4660">
                  <c:v>5</c:v>
                </c:pt>
                <c:pt idx="4661">
                  <c:v>5</c:v>
                </c:pt>
                <c:pt idx="4662">
                  <c:v>5</c:v>
                </c:pt>
                <c:pt idx="4663">
                  <c:v>5</c:v>
                </c:pt>
                <c:pt idx="4664">
                  <c:v>5</c:v>
                </c:pt>
                <c:pt idx="4665">
                  <c:v>5</c:v>
                </c:pt>
                <c:pt idx="4666">
                  <c:v>5</c:v>
                </c:pt>
                <c:pt idx="4667">
                  <c:v>5</c:v>
                </c:pt>
                <c:pt idx="4668">
                  <c:v>5</c:v>
                </c:pt>
                <c:pt idx="4669">
                  <c:v>5</c:v>
                </c:pt>
                <c:pt idx="4670">
                  <c:v>5</c:v>
                </c:pt>
                <c:pt idx="4671">
                  <c:v>5</c:v>
                </c:pt>
                <c:pt idx="4672">
                  <c:v>5</c:v>
                </c:pt>
                <c:pt idx="4673">
                  <c:v>5</c:v>
                </c:pt>
                <c:pt idx="4674">
                  <c:v>5</c:v>
                </c:pt>
                <c:pt idx="4675">
                  <c:v>5</c:v>
                </c:pt>
                <c:pt idx="4676">
                  <c:v>5</c:v>
                </c:pt>
                <c:pt idx="4677">
                  <c:v>5</c:v>
                </c:pt>
                <c:pt idx="4678">
                  <c:v>5</c:v>
                </c:pt>
                <c:pt idx="4679">
                  <c:v>5</c:v>
                </c:pt>
                <c:pt idx="4680">
                  <c:v>5</c:v>
                </c:pt>
                <c:pt idx="4681">
                  <c:v>5</c:v>
                </c:pt>
                <c:pt idx="4682">
                  <c:v>5</c:v>
                </c:pt>
                <c:pt idx="4683">
                  <c:v>5</c:v>
                </c:pt>
                <c:pt idx="4684">
                  <c:v>5</c:v>
                </c:pt>
                <c:pt idx="4685">
                  <c:v>5</c:v>
                </c:pt>
                <c:pt idx="4686">
                  <c:v>5</c:v>
                </c:pt>
                <c:pt idx="4687">
                  <c:v>5</c:v>
                </c:pt>
                <c:pt idx="4688">
                  <c:v>5</c:v>
                </c:pt>
                <c:pt idx="4689">
                  <c:v>5</c:v>
                </c:pt>
                <c:pt idx="4690">
                  <c:v>5</c:v>
                </c:pt>
                <c:pt idx="4691">
                  <c:v>5</c:v>
                </c:pt>
                <c:pt idx="4692">
                  <c:v>5</c:v>
                </c:pt>
                <c:pt idx="4693">
                  <c:v>5</c:v>
                </c:pt>
                <c:pt idx="5219">
                  <c:v>6</c:v>
                </c:pt>
                <c:pt idx="5220">
                  <c:v>6</c:v>
                </c:pt>
                <c:pt idx="5221">
                  <c:v>6</c:v>
                </c:pt>
                <c:pt idx="5222">
                  <c:v>6</c:v>
                </c:pt>
                <c:pt idx="5223">
                  <c:v>6</c:v>
                </c:pt>
                <c:pt idx="5224">
                  <c:v>6</c:v>
                </c:pt>
                <c:pt idx="5225">
                  <c:v>6</c:v>
                </c:pt>
                <c:pt idx="5226">
                  <c:v>6</c:v>
                </c:pt>
                <c:pt idx="5227">
                  <c:v>6</c:v>
                </c:pt>
                <c:pt idx="5228">
                  <c:v>6</c:v>
                </c:pt>
                <c:pt idx="5229">
                  <c:v>6</c:v>
                </c:pt>
                <c:pt idx="5230">
                  <c:v>6</c:v>
                </c:pt>
                <c:pt idx="5231">
                  <c:v>6</c:v>
                </c:pt>
                <c:pt idx="5232">
                  <c:v>6</c:v>
                </c:pt>
                <c:pt idx="5233">
                  <c:v>6</c:v>
                </c:pt>
                <c:pt idx="5234">
                  <c:v>6</c:v>
                </c:pt>
                <c:pt idx="5235">
                  <c:v>6</c:v>
                </c:pt>
                <c:pt idx="5236">
                  <c:v>6</c:v>
                </c:pt>
                <c:pt idx="5237">
                  <c:v>6</c:v>
                </c:pt>
                <c:pt idx="5238">
                  <c:v>6</c:v>
                </c:pt>
                <c:pt idx="5239">
                  <c:v>6</c:v>
                </c:pt>
                <c:pt idx="5240">
                  <c:v>6</c:v>
                </c:pt>
                <c:pt idx="5241">
                  <c:v>6</c:v>
                </c:pt>
                <c:pt idx="5242">
                  <c:v>6</c:v>
                </c:pt>
                <c:pt idx="5243">
                  <c:v>6</c:v>
                </c:pt>
                <c:pt idx="5244">
                  <c:v>6</c:v>
                </c:pt>
                <c:pt idx="5245">
                  <c:v>6</c:v>
                </c:pt>
                <c:pt idx="5246">
                  <c:v>6</c:v>
                </c:pt>
                <c:pt idx="5247">
                  <c:v>6</c:v>
                </c:pt>
                <c:pt idx="5248">
                  <c:v>6</c:v>
                </c:pt>
                <c:pt idx="5249">
                  <c:v>6</c:v>
                </c:pt>
                <c:pt idx="5250">
                  <c:v>6</c:v>
                </c:pt>
                <c:pt idx="5251">
                  <c:v>6</c:v>
                </c:pt>
                <c:pt idx="5252">
                  <c:v>6</c:v>
                </c:pt>
                <c:pt idx="5253">
                  <c:v>6</c:v>
                </c:pt>
                <c:pt idx="5254">
                  <c:v>6</c:v>
                </c:pt>
                <c:pt idx="5255">
                  <c:v>6</c:v>
                </c:pt>
                <c:pt idx="5256">
                  <c:v>6</c:v>
                </c:pt>
                <c:pt idx="5257">
                  <c:v>6</c:v>
                </c:pt>
                <c:pt idx="5258">
                  <c:v>6</c:v>
                </c:pt>
                <c:pt idx="5259">
                  <c:v>6</c:v>
                </c:pt>
                <c:pt idx="5260">
                  <c:v>6</c:v>
                </c:pt>
                <c:pt idx="5261">
                  <c:v>6</c:v>
                </c:pt>
                <c:pt idx="5262">
                  <c:v>6</c:v>
                </c:pt>
                <c:pt idx="5263">
                  <c:v>6</c:v>
                </c:pt>
                <c:pt idx="5264">
                  <c:v>6</c:v>
                </c:pt>
                <c:pt idx="5265">
                  <c:v>6</c:v>
                </c:pt>
                <c:pt idx="5266">
                  <c:v>6</c:v>
                </c:pt>
                <c:pt idx="5267">
                  <c:v>6</c:v>
                </c:pt>
                <c:pt idx="5268">
                  <c:v>6</c:v>
                </c:pt>
                <c:pt idx="5269">
                  <c:v>6</c:v>
                </c:pt>
                <c:pt idx="5270">
                  <c:v>6</c:v>
                </c:pt>
                <c:pt idx="5271">
                  <c:v>6</c:v>
                </c:pt>
                <c:pt idx="5272">
                  <c:v>6</c:v>
                </c:pt>
                <c:pt idx="5273">
                  <c:v>6</c:v>
                </c:pt>
                <c:pt idx="5274">
                  <c:v>6</c:v>
                </c:pt>
                <c:pt idx="5275">
                  <c:v>6</c:v>
                </c:pt>
                <c:pt idx="5276">
                  <c:v>6</c:v>
                </c:pt>
                <c:pt idx="5277">
                  <c:v>6</c:v>
                </c:pt>
                <c:pt idx="5278">
                  <c:v>6</c:v>
                </c:pt>
                <c:pt idx="5279">
                  <c:v>6</c:v>
                </c:pt>
                <c:pt idx="5280">
                  <c:v>6</c:v>
                </c:pt>
                <c:pt idx="5281">
                  <c:v>6</c:v>
                </c:pt>
                <c:pt idx="5282">
                  <c:v>6</c:v>
                </c:pt>
                <c:pt idx="5283">
                  <c:v>6</c:v>
                </c:pt>
                <c:pt idx="5284">
                  <c:v>6</c:v>
                </c:pt>
                <c:pt idx="5285">
                  <c:v>6</c:v>
                </c:pt>
                <c:pt idx="5286">
                  <c:v>6</c:v>
                </c:pt>
                <c:pt idx="5287">
                  <c:v>6</c:v>
                </c:pt>
                <c:pt idx="5288">
                  <c:v>6</c:v>
                </c:pt>
                <c:pt idx="5289">
                  <c:v>6</c:v>
                </c:pt>
                <c:pt idx="5290">
                  <c:v>6</c:v>
                </c:pt>
                <c:pt idx="5291">
                  <c:v>6</c:v>
                </c:pt>
                <c:pt idx="5292">
                  <c:v>6</c:v>
                </c:pt>
                <c:pt idx="5293">
                  <c:v>6</c:v>
                </c:pt>
                <c:pt idx="5294">
                  <c:v>6</c:v>
                </c:pt>
                <c:pt idx="5295">
                  <c:v>6</c:v>
                </c:pt>
                <c:pt idx="5296">
                  <c:v>6</c:v>
                </c:pt>
                <c:pt idx="5297">
                  <c:v>6</c:v>
                </c:pt>
                <c:pt idx="5298">
                  <c:v>6</c:v>
                </c:pt>
                <c:pt idx="5299">
                  <c:v>6</c:v>
                </c:pt>
                <c:pt idx="5300">
                  <c:v>6</c:v>
                </c:pt>
                <c:pt idx="5301">
                  <c:v>6</c:v>
                </c:pt>
                <c:pt idx="5302">
                  <c:v>6</c:v>
                </c:pt>
                <c:pt idx="5303">
                  <c:v>6</c:v>
                </c:pt>
                <c:pt idx="5304">
                  <c:v>6</c:v>
                </c:pt>
                <c:pt idx="5305">
                  <c:v>6</c:v>
                </c:pt>
                <c:pt idx="5306">
                  <c:v>6</c:v>
                </c:pt>
                <c:pt idx="5307">
                  <c:v>6</c:v>
                </c:pt>
                <c:pt idx="5308">
                  <c:v>6</c:v>
                </c:pt>
                <c:pt idx="5309">
                  <c:v>6</c:v>
                </c:pt>
                <c:pt idx="5310">
                  <c:v>6</c:v>
                </c:pt>
                <c:pt idx="5311">
                  <c:v>6</c:v>
                </c:pt>
                <c:pt idx="5312">
                  <c:v>6</c:v>
                </c:pt>
                <c:pt idx="5313">
                  <c:v>6</c:v>
                </c:pt>
                <c:pt idx="5314">
                  <c:v>6</c:v>
                </c:pt>
                <c:pt idx="5315">
                  <c:v>6</c:v>
                </c:pt>
                <c:pt idx="5316">
                  <c:v>6</c:v>
                </c:pt>
                <c:pt idx="5317">
                  <c:v>6</c:v>
                </c:pt>
                <c:pt idx="5318">
                  <c:v>6</c:v>
                </c:pt>
                <c:pt idx="5319">
                  <c:v>6</c:v>
                </c:pt>
                <c:pt idx="5320">
                  <c:v>6</c:v>
                </c:pt>
                <c:pt idx="5321">
                  <c:v>6</c:v>
                </c:pt>
                <c:pt idx="5322">
                  <c:v>6</c:v>
                </c:pt>
                <c:pt idx="5323">
                  <c:v>6</c:v>
                </c:pt>
                <c:pt idx="5324">
                  <c:v>6</c:v>
                </c:pt>
                <c:pt idx="5325">
                  <c:v>6</c:v>
                </c:pt>
                <c:pt idx="5326">
                  <c:v>6</c:v>
                </c:pt>
                <c:pt idx="5327">
                  <c:v>6</c:v>
                </c:pt>
                <c:pt idx="5328">
                  <c:v>6</c:v>
                </c:pt>
                <c:pt idx="5329">
                  <c:v>6</c:v>
                </c:pt>
                <c:pt idx="5330">
                  <c:v>6</c:v>
                </c:pt>
                <c:pt idx="5331">
                  <c:v>6</c:v>
                </c:pt>
                <c:pt idx="5332">
                  <c:v>6</c:v>
                </c:pt>
                <c:pt idx="5333">
                  <c:v>6</c:v>
                </c:pt>
                <c:pt idx="5334">
                  <c:v>6</c:v>
                </c:pt>
                <c:pt idx="5335">
                  <c:v>6</c:v>
                </c:pt>
                <c:pt idx="5336">
                  <c:v>6</c:v>
                </c:pt>
                <c:pt idx="5337">
                  <c:v>6</c:v>
                </c:pt>
                <c:pt idx="5338">
                  <c:v>6</c:v>
                </c:pt>
                <c:pt idx="5339">
                  <c:v>6</c:v>
                </c:pt>
                <c:pt idx="5340">
                  <c:v>6</c:v>
                </c:pt>
                <c:pt idx="5341">
                  <c:v>6</c:v>
                </c:pt>
                <c:pt idx="5342">
                  <c:v>6</c:v>
                </c:pt>
                <c:pt idx="5343">
                  <c:v>6</c:v>
                </c:pt>
                <c:pt idx="5344">
                  <c:v>6</c:v>
                </c:pt>
                <c:pt idx="5345">
                  <c:v>6</c:v>
                </c:pt>
                <c:pt idx="5346">
                  <c:v>6</c:v>
                </c:pt>
                <c:pt idx="5347">
                  <c:v>6</c:v>
                </c:pt>
                <c:pt idx="5348">
                  <c:v>6</c:v>
                </c:pt>
                <c:pt idx="5349">
                  <c:v>6</c:v>
                </c:pt>
                <c:pt idx="5350">
                  <c:v>6</c:v>
                </c:pt>
                <c:pt idx="5351">
                  <c:v>6</c:v>
                </c:pt>
                <c:pt idx="5352">
                  <c:v>6</c:v>
                </c:pt>
                <c:pt idx="5353">
                  <c:v>6</c:v>
                </c:pt>
                <c:pt idx="5354">
                  <c:v>6</c:v>
                </c:pt>
                <c:pt idx="5355">
                  <c:v>6</c:v>
                </c:pt>
                <c:pt idx="5356">
                  <c:v>6</c:v>
                </c:pt>
                <c:pt idx="5357">
                  <c:v>6</c:v>
                </c:pt>
                <c:pt idx="5358">
                  <c:v>6</c:v>
                </c:pt>
                <c:pt idx="5359">
                  <c:v>6</c:v>
                </c:pt>
                <c:pt idx="5360">
                  <c:v>6</c:v>
                </c:pt>
                <c:pt idx="5361">
                  <c:v>6</c:v>
                </c:pt>
                <c:pt idx="5362">
                  <c:v>6</c:v>
                </c:pt>
                <c:pt idx="5363">
                  <c:v>6</c:v>
                </c:pt>
                <c:pt idx="5364">
                  <c:v>6</c:v>
                </c:pt>
                <c:pt idx="5365">
                  <c:v>6</c:v>
                </c:pt>
                <c:pt idx="5366">
                  <c:v>6</c:v>
                </c:pt>
                <c:pt idx="5367">
                  <c:v>6</c:v>
                </c:pt>
                <c:pt idx="5368">
                  <c:v>6</c:v>
                </c:pt>
                <c:pt idx="5369">
                  <c:v>6</c:v>
                </c:pt>
                <c:pt idx="5370">
                  <c:v>6</c:v>
                </c:pt>
                <c:pt idx="5371">
                  <c:v>6</c:v>
                </c:pt>
                <c:pt idx="5372">
                  <c:v>6</c:v>
                </c:pt>
                <c:pt idx="5373">
                  <c:v>6</c:v>
                </c:pt>
                <c:pt idx="5374">
                  <c:v>6</c:v>
                </c:pt>
                <c:pt idx="5375">
                  <c:v>6</c:v>
                </c:pt>
                <c:pt idx="5376">
                  <c:v>6</c:v>
                </c:pt>
                <c:pt idx="5377">
                  <c:v>6</c:v>
                </c:pt>
                <c:pt idx="5378">
                  <c:v>6</c:v>
                </c:pt>
                <c:pt idx="5379">
                  <c:v>6</c:v>
                </c:pt>
                <c:pt idx="5380">
                  <c:v>6</c:v>
                </c:pt>
                <c:pt idx="5381">
                  <c:v>6</c:v>
                </c:pt>
                <c:pt idx="5382">
                  <c:v>6</c:v>
                </c:pt>
                <c:pt idx="5383">
                  <c:v>6</c:v>
                </c:pt>
                <c:pt idx="5384">
                  <c:v>6</c:v>
                </c:pt>
                <c:pt idx="5385">
                  <c:v>6</c:v>
                </c:pt>
                <c:pt idx="5386">
                  <c:v>6</c:v>
                </c:pt>
                <c:pt idx="5387">
                  <c:v>6</c:v>
                </c:pt>
                <c:pt idx="5388">
                  <c:v>6</c:v>
                </c:pt>
                <c:pt idx="5389">
                  <c:v>6</c:v>
                </c:pt>
                <c:pt idx="5390">
                  <c:v>6</c:v>
                </c:pt>
                <c:pt idx="5391">
                  <c:v>6</c:v>
                </c:pt>
                <c:pt idx="5392">
                  <c:v>6</c:v>
                </c:pt>
                <c:pt idx="5393">
                  <c:v>6</c:v>
                </c:pt>
                <c:pt idx="5394">
                  <c:v>6</c:v>
                </c:pt>
                <c:pt idx="5395">
                  <c:v>6</c:v>
                </c:pt>
                <c:pt idx="5396">
                  <c:v>6</c:v>
                </c:pt>
                <c:pt idx="5397">
                  <c:v>6</c:v>
                </c:pt>
                <c:pt idx="5398">
                  <c:v>6</c:v>
                </c:pt>
                <c:pt idx="5399">
                  <c:v>6</c:v>
                </c:pt>
                <c:pt idx="5400">
                  <c:v>6</c:v>
                </c:pt>
                <c:pt idx="5401">
                  <c:v>6</c:v>
                </c:pt>
                <c:pt idx="5402">
                  <c:v>6</c:v>
                </c:pt>
                <c:pt idx="5403">
                  <c:v>6</c:v>
                </c:pt>
                <c:pt idx="5404">
                  <c:v>6</c:v>
                </c:pt>
                <c:pt idx="5405">
                  <c:v>6</c:v>
                </c:pt>
                <c:pt idx="5406">
                  <c:v>6</c:v>
                </c:pt>
                <c:pt idx="5407">
                  <c:v>6</c:v>
                </c:pt>
                <c:pt idx="5408">
                  <c:v>6</c:v>
                </c:pt>
                <c:pt idx="5409">
                  <c:v>6</c:v>
                </c:pt>
                <c:pt idx="5410">
                  <c:v>6</c:v>
                </c:pt>
                <c:pt idx="5411">
                  <c:v>6</c:v>
                </c:pt>
                <c:pt idx="5412">
                  <c:v>6</c:v>
                </c:pt>
                <c:pt idx="5413">
                  <c:v>6</c:v>
                </c:pt>
                <c:pt idx="5414">
                  <c:v>6</c:v>
                </c:pt>
                <c:pt idx="5415">
                  <c:v>6</c:v>
                </c:pt>
                <c:pt idx="5416">
                  <c:v>6</c:v>
                </c:pt>
                <c:pt idx="5417">
                  <c:v>6</c:v>
                </c:pt>
                <c:pt idx="5418">
                  <c:v>6</c:v>
                </c:pt>
                <c:pt idx="5419">
                  <c:v>6</c:v>
                </c:pt>
                <c:pt idx="5420">
                  <c:v>6</c:v>
                </c:pt>
                <c:pt idx="5421">
                  <c:v>6</c:v>
                </c:pt>
                <c:pt idx="5422">
                  <c:v>6</c:v>
                </c:pt>
                <c:pt idx="5423">
                  <c:v>6</c:v>
                </c:pt>
                <c:pt idx="5424">
                  <c:v>6</c:v>
                </c:pt>
                <c:pt idx="5425">
                  <c:v>6</c:v>
                </c:pt>
                <c:pt idx="5426">
                  <c:v>6</c:v>
                </c:pt>
                <c:pt idx="5427">
                  <c:v>6</c:v>
                </c:pt>
                <c:pt idx="5428">
                  <c:v>6</c:v>
                </c:pt>
                <c:pt idx="5429">
                  <c:v>6</c:v>
                </c:pt>
                <c:pt idx="5430">
                  <c:v>6</c:v>
                </c:pt>
                <c:pt idx="5431">
                  <c:v>6</c:v>
                </c:pt>
                <c:pt idx="5432">
                  <c:v>6</c:v>
                </c:pt>
                <c:pt idx="5433">
                  <c:v>6</c:v>
                </c:pt>
                <c:pt idx="5434">
                  <c:v>6</c:v>
                </c:pt>
                <c:pt idx="5435">
                  <c:v>6</c:v>
                </c:pt>
                <c:pt idx="5436">
                  <c:v>6</c:v>
                </c:pt>
                <c:pt idx="5437">
                  <c:v>6</c:v>
                </c:pt>
                <c:pt idx="5438">
                  <c:v>6</c:v>
                </c:pt>
                <c:pt idx="5439">
                  <c:v>6</c:v>
                </c:pt>
                <c:pt idx="5440">
                  <c:v>6</c:v>
                </c:pt>
                <c:pt idx="5441">
                  <c:v>6</c:v>
                </c:pt>
                <c:pt idx="5442">
                  <c:v>6</c:v>
                </c:pt>
                <c:pt idx="5443">
                  <c:v>6</c:v>
                </c:pt>
                <c:pt idx="5444">
                  <c:v>6</c:v>
                </c:pt>
                <c:pt idx="5445">
                  <c:v>6</c:v>
                </c:pt>
                <c:pt idx="5446">
                  <c:v>6</c:v>
                </c:pt>
                <c:pt idx="5447">
                  <c:v>6</c:v>
                </c:pt>
                <c:pt idx="5448">
                  <c:v>6</c:v>
                </c:pt>
                <c:pt idx="5449">
                  <c:v>6</c:v>
                </c:pt>
                <c:pt idx="5450">
                  <c:v>6</c:v>
                </c:pt>
                <c:pt idx="5451">
                  <c:v>6</c:v>
                </c:pt>
                <c:pt idx="5452">
                  <c:v>6</c:v>
                </c:pt>
                <c:pt idx="5453">
                  <c:v>6</c:v>
                </c:pt>
                <c:pt idx="5454">
                  <c:v>6</c:v>
                </c:pt>
                <c:pt idx="5455">
                  <c:v>6</c:v>
                </c:pt>
                <c:pt idx="5456">
                  <c:v>6</c:v>
                </c:pt>
                <c:pt idx="5457">
                  <c:v>6</c:v>
                </c:pt>
                <c:pt idx="5458">
                  <c:v>6</c:v>
                </c:pt>
                <c:pt idx="5459">
                  <c:v>6</c:v>
                </c:pt>
                <c:pt idx="5460">
                  <c:v>6</c:v>
                </c:pt>
                <c:pt idx="5461">
                  <c:v>6</c:v>
                </c:pt>
                <c:pt idx="5462">
                  <c:v>6</c:v>
                </c:pt>
                <c:pt idx="5463">
                  <c:v>6</c:v>
                </c:pt>
                <c:pt idx="5464">
                  <c:v>6</c:v>
                </c:pt>
                <c:pt idx="5465">
                  <c:v>6</c:v>
                </c:pt>
                <c:pt idx="5466">
                  <c:v>6</c:v>
                </c:pt>
                <c:pt idx="5467">
                  <c:v>6</c:v>
                </c:pt>
                <c:pt idx="5468">
                  <c:v>6</c:v>
                </c:pt>
                <c:pt idx="5469">
                  <c:v>6</c:v>
                </c:pt>
                <c:pt idx="5470">
                  <c:v>6</c:v>
                </c:pt>
                <c:pt idx="5471">
                  <c:v>6</c:v>
                </c:pt>
                <c:pt idx="5472">
                  <c:v>6</c:v>
                </c:pt>
                <c:pt idx="5473">
                  <c:v>6</c:v>
                </c:pt>
                <c:pt idx="5474">
                  <c:v>6</c:v>
                </c:pt>
                <c:pt idx="5475">
                  <c:v>6</c:v>
                </c:pt>
                <c:pt idx="5476">
                  <c:v>6</c:v>
                </c:pt>
                <c:pt idx="5477">
                  <c:v>6</c:v>
                </c:pt>
                <c:pt idx="5478">
                  <c:v>6</c:v>
                </c:pt>
                <c:pt idx="5479">
                  <c:v>6</c:v>
                </c:pt>
                <c:pt idx="5480">
                  <c:v>6</c:v>
                </c:pt>
                <c:pt idx="5481">
                  <c:v>6</c:v>
                </c:pt>
                <c:pt idx="5482">
                  <c:v>6</c:v>
                </c:pt>
                <c:pt idx="5483">
                  <c:v>6</c:v>
                </c:pt>
                <c:pt idx="5484">
                  <c:v>6</c:v>
                </c:pt>
                <c:pt idx="5485">
                  <c:v>6</c:v>
                </c:pt>
                <c:pt idx="5486">
                  <c:v>6</c:v>
                </c:pt>
                <c:pt idx="5487">
                  <c:v>6</c:v>
                </c:pt>
                <c:pt idx="5488">
                  <c:v>6</c:v>
                </c:pt>
                <c:pt idx="5489">
                  <c:v>6</c:v>
                </c:pt>
                <c:pt idx="5490">
                  <c:v>6</c:v>
                </c:pt>
                <c:pt idx="5491">
                  <c:v>6</c:v>
                </c:pt>
                <c:pt idx="5492">
                  <c:v>6</c:v>
                </c:pt>
                <c:pt idx="5493">
                  <c:v>6</c:v>
                </c:pt>
                <c:pt idx="5494">
                  <c:v>6</c:v>
                </c:pt>
                <c:pt idx="5495">
                  <c:v>6</c:v>
                </c:pt>
                <c:pt idx="5496">
                  <c:v>6</c:v>
                </c:pt>
                <c:pt idx="5497">
                  <c:v>6</c:v>
                </c:pt>
                <c:pt idx="5498">
                  <c:v>6</c:v>
                </c:pt>
                <c:pt idx="5499">
                  <c:v>6</c:v>
                </c:pt>
                <c:pt idx="5500">
                  <c:v>6</c:v>
                </c:pt>
                <c:pt idx="5501">
                  <c:v>6</c:v>
                </c:pt>
                <c:pt idx="5502">
                  <c:v>6</c:v>
                </c:pt>
                <c:pt idx="5503">
                  <c:v>6</c:v>
                </c:pt>
                <c:pt idx="5504">
                  <c:v>6</c:v>
                </c:pt>
                <c:pt idx="5505">
                  <c:v>6</c:v>
                </c:pt>
                <c:pt idx="5506">
                  <c:v>6</c:v>
                </c:pt>
                <c:pt idx="5507">
                  <c:v>6</c:v>
                </c:pt>
                <c:pt idx="5508">
                  <c:v>6</c:v>
                </c:pt>
                <c:pt idx="5509">
                  <c:v>6</c:v>
                </c:pt>
                <c:pt idx="5510">
                  <c:v>6</c:v>
                </c:pt>
                <c:pt idx="5511">
                  <c:v>6</c:v>
                </c:pt>
                <c:pt idx="5512">
                  <c:v>6</c:v>
                </c:pt>
                <c:pt idx="5513">
                  <c:v>6</c:v>
                </c:pt>
                <c:pt idx="5514">
                  <c:v>6</c:v>
                </c:pt>
                <c:pt idx="5515">
                  <c:v>6</c:v>
                </c:pt>
                <c:pt idx="5516">
                  <c:v>6</c:v>
                </c:pt>
                <c:pt idx="5517">
                  <c:v>6</c:v>
                </c:pt>
                <c:pt idx="5518">
                  <c:v>6</c:v>
                </c:pt>
                <c:pt idx="5519">
                  <c:v>6</c:v>
                </c:pt>
                <c:pt idx="5520">
                  <c:v>6</c:v>
                </c:pt>
                <c:pt idx="5521">
                  <c:v>6</c:v>
                </c:pt>
                <c:pt idx="5522">
                  <c:v>6</c:v>
                </c:pt>
                <c:pt idx="5523">
                  <c:v>6</c:v>
                </c:pt>
                <c:pt idx="5524">
                  <c:v>6</c:v>
                </c:pt>
                <c:pt idx="5525">
                  <c:v>6</c:v>
                </c:pt>
                <c:pt idx="5526">
                  <c:v>6</c:v>
                </c:pt>
                <c:pt idx="5527">
                  <c:v>6</c:v>
                </c:pt>
                <c:pt idx="5528">
                  <c:v>6</c:v>
                </c:pt>
                <c:pt idx="5529">
                  <c:v>6</c:v>
                </c:pt>
                <c:pt idx="5530">
                  <c:v>6</c:v>
                </c:pt>
                <c:pt idx="5531">
                  <c:v>6</c:v>
                </c:pt>
                <c:pt idx="5532">
                  <c:v>6</c:v>
                </c:pt>
                <c:pt idx="5533">
                  <c:v>6</c:v>
                </c:pt>
                <c:pt idx="5534">
                  <c:v>6</c:v>
                </c:pt>
                <c:pt idx="5535">
                  <c:v>6</c:v>
                </c:pt>
                <c:pt idx="5536">
                  <c:v>6</c:v>
                </c:pt>
                <c:pt idx="5537">
                  <c:v>6</c:v>
                </c:pt>
                <c:pt idx="5538">
                  <c:v>6</c:v>
                </c:pt>
                <c:pt idx="5539">
                  <c:v>6</c:v>
                </c:pt>
                <c:pt idx="5540">
                  <c:v>6</c:v>
                </c:pt>
                <c:pt idx="5541">
                  <c:v>6</c:v>
                </c:pt>
                <c:pt idx="5542">
                  <c:v>6</c:v>
                </c:pt>
                <c:pt idx="5543">
                  <c:v>6</c:v>
                </c:pt>
                <c:pt idx="5544">
                  <c:v>6</c:v>
                </c:pt>
                <c:pt idx="5545">
                  <c:v>6</c:v>
                </c:pt>
                <c:pt idx="5546">
                  <c:v>6</c:v>
                </c:pt>
                <c:pt idx="5547">
                  <c:v>6</c:v>
                </c:pt>
                <c:pt idx="5548">
                  <c:v>6</c:v>
                </c:pt>
                <c:pt idx="5549">
                  <c:v>6</c:v>
                </c:pt>
                <c:pt idx="5550">
                  <c:v>6</c:v>
                </c:pt>
                <c:pt idx="5551">
                  <c:v>6</c:v>
                </c:pt>
                <c:pt idx="5552">
                  <c:v>6</c:v>
                </c:pt>
                <c:pt idx="5553">
                  <c:v>6</c:v>
                </c:pt>
                <c:pt idx="5554">
                  <c:v>6</c:v>
                </c:pt>
                <c:pt idx="5555">
                  <c:v>6</c:v>
                </c:pt>
                <c:pt idx="5556">
                  <c:v>6</c:v>
                </c:pt>
                <c:pt idx="5557">
                  <c:v>6</c:v>
                </c:pt>
                <c:pt idx="5558">
                  <c:v>6</c:v>
                </c:pt>
                <c:pt idx="5559">
                  <c:v>6</c:v>
                </c:pt>
                <c:pt idx="5560">
                  <c:v>6</c:v>
                </c:pt>
                <c:pt idx="5561">
                  <c:v>6</c:v>
                </c:pt>
                <c:pt idx="5562">
                  <c:v>6</c:v>
                </c:pt>
                <c:pt idx="5563">
                  <c:v>6</c:v>
                </c:pt>
                <c:pt idx="5564">
                  <c:v>6</c:v>
                </c:pt>
                <c:pt idx="5565">
                  <c:v>6</c:v>
                </c:pt>
                <c:pt idx="5566">
                  <c:v>6</c:v>
                </c:pt>
                <c:pt idx="5567">
                  <c:v>6</c:v>
                </c:pt>
                <c:pt idx="5568">
                  <c:v>6</c:v>
                </c:pt>
                <c:pt idx="5569">
                  <c:v>6</c:v>
                </c:pt>
                <c:pt idx="5570">
                  <c:v>6</c:v>
                </c:pt>
                <c:pt idx="5571">
                  <c:v>6</c:v>
                </c:pt>
                <c:pt idx="5572">
                  <c:v>6</c:v>
                </c:pt>
                <c:pt idx="5573">
                  <c:v>6</c:v>
                </c:pt>
                <c:pt idx="5574">
                  <c:v>6</c:v>
                </c:pt>
                <c:pt idx="5575">
                  <c:v>6</c:v>
                </c:pt>
                <c:pt idx="5576">
                  <c:v>6</c:v>
                </c:pt>
                <c:pt idx="5577">
                  <c:v>6</c:v>
                </c:pt>
                <c:pt idx="5578">
                  <c:v>6</c:v>
                </c:pt>
                <c:pt idx="5579">
                  <c:v>6</c:v>
                </c:pt>
                <c:pt idx="5580">
                  <c:v>6</c:v>
                </c:pt>
                <c:pt idx="5581">
                  <c:v>6</c:v>
                </c:pt>
                <c:pt idx="5582">
                  <c:v>6</c:v>
                </c:pt>
                <c:pt idx="5583">
                  <c:v>6</c:v>
                </c:pt>
                <c:pt idx="5584">
                  <c:v>6</c:v>
                </c:pt>
                <c:pt idx="5585">
                  <c:v>6</c:v>
                </c:pt>
                <c:pt idx="6097">
                  <c:v>7</c:v>
                </c:pt>
                <c:pt idx="6098">
                  <c:v>7</c:v>
                </c:pt>
                <c:pt idx="6099">
                  <c:v>7</c:v>
                </c:pt>
                <c:pt idx="6100">
                  <c:v>7</c:v>
                </c:pt>
                <c:pt idx="6101">
                  <c:v>7</c:v>
                </c:pt>
                <c:pt idx="6102">
                  <c:v>7</c:v>
                </c:pt>
                <c:pt idx="6103">
                  <c:v>7</c:v>
                </c:pt>
                <c:pt idx="6104">
                  <c:v>7</c:v>
                </c:pt>
                <c:pt idx="6105">
                  <c:v>7</c:v>
                </c:pt>
                <c:pt idx="6106">
                  <c:v>7</c:v>
                </c:pt>
                <c:pt idx="6107">
                  <c:v>7</c:v>
                </c:pt>
                <c:pt idx="6108">
                  <c:v>7</c:v>
                </c:pt>
                <c:pt idx="6109">
                  <c:v>7</c:v>
                </c:pt>
                <c:pt idx="6110">
                  <c:v>7</c:v>
                </c:pt>
                <c:pt idx="6111">
                  <c:v>7</c:v>
                </c:pt>
                <c:pt idx="6112">
                  <c:v>7</c:v>
                </c:pt>
                <c:pt idx="6113">
                  <c:v>7</c:v>
                </c:pt>
                <c:pt idx="6114">
                  <c:v>7</c:v>
                </c:pt>
                <c:pt idx="6115">
                  <c:v>7</c:v>
                </c:pt>
                <c:pt idx="6116">
                  <c:v>7</c:v>
                </c:pt>
                <c:pt idx="6117">
                  <c:v>7</c:v>
                </c:pt>
                <c:pt idx="6118">
                  <c:v>7</c:v>
                </c:pt>
                <c:pt idx="6119">
                  <c:v>7</c:v>
                </c:pt>
                <c:pt idx="6120">
                  <c:v>7</c:v>
                </c:pt>
                <c:pt idx="6121">
                  <c:v>7</c:v>
                </c:pt>
                <c:pt idx="6122">
                  <c:v>7</c:v>
                </c:pt>
                <c:pt idx="6123">
                  <c:v>7</c:v>
                </c:pt>
                <c:pt idx="6124">
                  <c:v>7</c:v>
                </c:pt>
                <c:pt idx="6125">
                  <c:v>7</c:v>
                </c:pt>
                <c:pt idx="6126">
                  <c:v>7</c:v>
                </c:pt>
                <c:pt idx="6127">
                  <c:v>7</c:v>
                </c:pt>
                <c:pt idx="6128">
                  <c:v>7</c:v>
                </c:pt>
                <c:pt idx="6129">
                  <c:v>7</c:v>
                </c:pt>
                <c:pt idx="6130">
                  <c:v>7</c:v>
                </c:pt>
                <c:pt idx="6131">
                  <c:v>7</c:v>
                </c:pt>
                <c:pt idx="6132">
                  <c:v>7</c:v>
                </c:pt>
                <c:pt idx="6133">
                  <c:v>7</c:v>
                </c:pt>
                <c:pt idx="6134">
                  <c:v>7</c:v>
                </c:pt>
                <c:pt idx="6135">
                  <c:v>7</c:v>
                </c:pt>
                <c:pt idx="6136">
                  <c:v>7</c:v>
                </c:pt>
                <c:pt idx="6137">
                  <c:v>7</c:v>
                </c:pt>
                <c:pt idx="6138">
                  <c:v>7</c:v>
                </c:pt>
                <c:pt idx="6139">
                  <c:v>7</c:v>
                </c:pt>
                <c:pt idx="6140">
                  <c:v>7</c:v>
                </c:pt>
                <c:pt idx="6141">
                  <c:v>7</c:v>
                </c:pt>
                <c:pt idx="6142">
                  <c:v>7</c:v>
                </c:pt>
                <c:pt idx="6143">
                  <c:v>7</c:v>
                </c:pt>
                <c:pt idx="6144">
                  <c:v>7</c:v>
                </c:pt>
                <c:pt idx="6145">
                  <c:v>7</c:v>
                </c:pt>
                <c:pt idx="6146">
                  <c:v>7</c:v>
                </c:pt>
                <c:pt idx="6147">
                  <c:v>7</c:v>
                </c:pt>
                <c:pt idx="6148">
                  <c:v>7</c:v>
                </c:pt>
                <c:pt idx="6149">
                  <c:v>7</c:v>
                </c:pt>
                <c:pt idx="6150">
                  <c:v>7</c:v>
                </c:pt>
                <c:pt idx="6151">
                  <c:v>7</c:v>
                </c:pt>
                <c:pt idx="6152">
                  <c:v>7</c:v>
                </c:pt>
                <c:pt idx="6153">
                  <c:v>7</c:v>
                </c:pt>
                <c:pt idx="6154">
                  <c:v>7</c:v>
                </c:pt>
                <c:pt idx="6155">
                  <c:v>7</c:v>
                </c:pt>
                <c:pt idx="6156">
                  <c:v>7</c:v>
                </c:pt>
                <c:pt idx="6157">
                  <c:v>7</c:v>
                </c:pt>
                <c:pt idx="6158">
                  <c:v>7</c:v>
                </c:pt>
                <c:pt idx="6159">
                  <c:v>7</c:v>
                </c:pt>
                <c:pt idx="6160">
                  <c:v>7</c:v>
                </c:pt>
                <c:pt idx="6161">
                  <c:v>7</c:v>
                </c:pt>
                <c:pt idx="6162">
                  <c:v>7</c:v>
                </c:pt>
                <c:pt idx="6163">
                  <c:v>7</c:v>
                </c:pt>
                <c:pt idx="6164">
                  <c:v>7</c:v>
                </c:pt>
                <c:pt idx="6165">
                  <c:v>7</c:v>
                </c:pt>
                <c:pt idx="6166">
                  <c:v>7</c:v>
                </c:pt>
                <c:pt idx="6167">
                  <c:v>7</c:v>
                </c:pt>
                <c:pt idx="6168">
                  <c:v>7</c:v>
                </c:pt>
                <c:pt idx="6169">
                  <c:v>7</c:v>
                </c:pt>
                <c:pt idx="6170">
                  <c:v>7</c:v>
                </c:pt>
                <c:pt idx="6171">
                  <c:v>7</c:v>
                </c:pt>
                <c:pt idx="6172">
                  <c:v>7</c:v>
                </c:pt>
                <c:pt idx="6173">
                  <c:v>7</c:v>
                </c:pt>
                <c:pt idx="6174">
                  <c:v>7</c:v>
                </c:pt>
                <c:pt idx="6175">
                  <c:v>7</c:v>
                </c:pt>
                <c:pt idx="6176">
                  <c:v>7</c:v>
                </c:pt>
                <c:pt idx="6177">
                  <c:v>7</c:v>
                </c:pt>
                <c:pt idx="6178">
                  <c:v>7</c:v>
                </c:pt>
                <c:pt idx="6179">
                  <c:v>7</c:v>
                </c:pt>
                <c:pt idx="6180">
                  <c:v>7</c:v>
                </c:pt>
                <c:pt idx="6181">
                  <c:v>7</c:v>
                </c:pt>
                <c:pt idx="6182">
                  <c:v>7</c:v>
                </c:pt>
                <c:pt idx="6183">
                  <c:v>7</c:v>
                </c:pt>
                <c:pt idx="6184">
                  <c:v>7</c:v>
                </c:pt>
                <c:pt idx="6185">
                  <c:v>7</c:v>
                </c:pt>
                <c:pt idx="6186">
                  <c:v>7</c:v>
                </c:pt>
                <c:pt idx="6187">
                  <c:v>7</c:v>
                </c:pt>
                <c:pt idx="6188">
                  <c:v>7</c:v>
                </c:pt>
                <c:pt idx="6189">
                  <c:v>7</c:v>
                </c:pt>
                <c:pt idx="6190">
                  <c:v>7</c:v>
                </c:pt>
                <c:pt idx="6191">
                  <c:v>7</c:v>
                </c:pt>
                <c:pt idx="6192">
                  <c:v>7</c:v>
                </c:pt>
                <c:pt idx="6193">
                  <c:v>7</c:v>
                </c:pt>
                <c:pt idx="6194">
                  <c:v>7</c:v>
                </c:pt>
                <c:pt idx="6195">
                  <c:v>7</c:v>
                </c:pt>
                <c:pt idx="6196">
                  <c:v>7</c:v>
                </c:pt>
                <c:pt idx="6197">
                  <c:v>7</c:v>
                </c:pt>
                <c:pt idx="6198">
                  <c:v>7</c:v>
                </c:pt>
                <c:pt idx="6728">
                  <c:v>8</c:v>
                </c:pt>
                <c:pt idx="6729">
                  <c:v>8</c:v>
                </c:pt>
                <c:pt idx="6730">
                  <c:v>8</c:v>
                </c:pt>
                <c:pt idx="6731">
                  <c:v>8</c:v>
                </c:pt>
                <c:pt idx="6732">
                  <c:v>8</c:v>
                </c:pt>
                <c:pt idx="6733">
                  <c:v>8</c:v>
                </c:pt>
                <c:pt idx="6734">
                  <c:v>8</c:v>
                </c:pt>
                <c:pt idx="6735">
                  <c:v>8</c:v>
                </c:pt>
                <c:pt idx="6736">
                  <c:v>8</c:v>
                </c:pt>
                <c:pt idx="6737">
                  <c:v>8</c:v>
                </c:pt>
                <c:pt idx="6738">
                  <c:v>8</c:v>
                </c:pt>
                <c:pt idx="6739">
                  <c:v>8</c:v>
                </c:pt>
                <c:pt idx="6740">
                  <c:v>8</c:v>
                </c:pt>
                <c:pt idx="6741">
                  <c:v>8</c:v>
                </c:pt>
                <c:pt idx="6742">
                  <c:v>8</c:v>
                </c:pt>
                <c:pt idx="6743">
                  <c:v>8</c:v>
                </c:pt>
                <c:pt idx="6744">
                  <c:v>8</c:v>
                </c:pt>
                <c:pt idx="6745">
                  <c:v>8</c:v>
                </c:pt>
                <c:pt idx="6746">
                  <c:v>8</c:v>
                </c:pt>
                <c:pt idx="6747">
                  <c:v>8</c:v>
                </c:pt>
                <c:pt idx="6748">
                  <c:v>8</c:v>
                </c:pt>
                <c:pt idx="6749">
                  <c:v>8</c:v>
                </c:pt>
                <c:pt idx="6750">
                  <c:v>8</c:v>
                </c:pt>
                <c:pt idx="6751">
                  <c:v>8</c:v>
                </c:pt>
                <c:pt idx="6752">
                  <c:v>8</c:v>
                </c:pt>
                <c:pt idx="6753">
                  <c:v>8</c:v>
                </c:pt>
                <c:pt idx="6754">
                  <c:v>8</c:v>
                </c:pt>
                <c:pt idx="6755">
                  <c:v>8</c:v>
                </c:pt>
                <c:pt idx="6756">
                  <c:v>8</c:v>
                </c:pt>
                <c:pt idx="6757">
                  <c:v>8</c:v>
                </c:pt>
                <c:pt idx="6758">
                  <c:v>8</c:v>
                </c:pt>
                <c:pt idx="6759">
                  <c:v>8</c:v>
                </c:pt>
                <c:pt idx="6760">
                  <c:v>8</c:v>
                </c:pt>
                <c:pt idx="6761">
                  <c:v>8</c:v>
                </c:pt>
                <c:pt idx="6762">
                  <c:v>8</c:v>
                </c:pt>
                <c:pt idx="6763">
                  <c:v>8</c:v>
                </c:pt>
                <c:pt idx="6764">
                  <c:v>8</c:v>
                </c:pt>
                <c:pt idx="6765">
                  <c:v>8</c:v>
                </c:pt>
                <c:pt idx="6766">
                  <c:v>8</c:v>
                </c:pt>
                <c:pt idx="6767">
                  <c:v>8</c:v>
                </c:pt>
                <c:pt idx="6768">
                  <c:v>8</c:v>
                </c:pt>
                <c:pt idx="6769">
                  <c:v>8</c:v>
                </c:pt>
                <c:pt idx="6770">
                  <c:v>8</c:v>
                </c:pt>
                <c:pt idx="6771">
                  <c:v>8</c:v>
                </c:pt>
                <c:pt idx="6772">
                  <c:v>8</c:v>
                </c:pt>
                <c:pt idx="6773">
                  <c:v>8</c:v>
                </c:pt>
                <c:pt idx="6774">
                  <c:v>8</c:v>
                </c:pt>
                <c:pt idx="6775">
                  <c:v>8</c:v>
                </c:pt>
                <c:pt idx="6776">
                  <c:v>8</c:v>
                </c:pt>
                <c:pt idx="6777">
                  <c:v>8</c:v>
                </c:pt>
                <c:pt idx="6778">
                  <c:v>8</c:v>
                </c:pt>
                <c:pt idx="6779">
                  <c:v>8</c:v>
                </c:pt>
                <c:pt idx="6780">
                  <c:v>8</c:v>
                </c:pt>
                <c:pt idx="6781">
                  <c:v>8</c:v>
                </c:pt>
                <c:pt idx="6782">
                  <c:v>8</c:v>
                </c:pt>
                <c:pt idx="6783">
                  <c:v>8</c:v>
                </c:pt>
                <c:pt idx="6784">
                  <c:v>8</c:v>
                </c:pt>
                <c:pt idx="6785">
                  <c:v>8</c:v>
                </c:pt>
                <c:pt idx="6786">
                  <c:v>8</c:v>
                </c:pt>
                <c:pt idx="6787">
                  <c:v>8</c:v>
                </c:pt>
                <c:pt idx="6788">
                  <c:v>8</c:v>
                </c:pt>
                <c:pt idx="6789">
                  <c:v>8</c:v>
                </c:pt>
                <c:pt idx="6790">
                  <c:v>8</c:v>
                </c:pt>
                <c:pt idx="6791">
                  <c:v>8</c:v>
                </c:pt>
                <c:pt idx="6792">
                  <c:v>8</c:v>
                </c:pt>
                <c:pt idx="6793">
                  <c:v>8</c:v>
                </c:pt>
                <c:pt idx="6794">
                  <c:v>8</c:v>
                </c:pt>
                <c:pt idx="6795">
                  <c:v>8</c:v>
                </c:pt>
                <c:pt idx="6796">
                  <c:v>8</c:v>
                </c:pt>
                <c:pt idx="6797">
                  <c:v>8</c:v>
                </c:pt>
                <c:pt idx="6798">
                  <c:v>8</c:v>
                </c:pt>
                <c:pt idx="6799">
                  <c:v>8</c:v>
                </c:pt>
                <c:pt idx="6800">
                  <c:v>8</c:v>
                </c:pt>
                <c:pt idx="6801">
                  <c:v>8</c:v>
                </c:pt>
                <c:pt idx="6802">
                  <c:v>8</c:v>
                </c:pt>
                <c:pt idx="6803">
                  <c:v>8</c:v>
                </c:pt>
                <c:pt idx="6804">
                  <c:v>8</c:v>
                </c:pt>
                <c:pt idx="6805">
                  <c:v>8</c:v>
                </c:pt>
                <c:pt idx="6806">
                  <c:v>8</c:v>
                </c:pt>
                <c:pt idx="6807">
                  <c:v>8</c:v>
                </c:pt>
                <c:pt idx="6808">
                  <c:v>8</c:v>
                </c:pt>
                <c:pt idx="6809">
                  <c:v>8</c:v>
                </c:pt>
                <c:pt idx="6810">
                  <c:v>8</c:v>
                </c:pt>
                <c:pt idx="6811">
                  <c:v>8</c:v>
                </c:pt>
                <c:pt idx="6812">
                  <c:v>8</c:v>
                </c:pt>
                <c:pt idx="6813">
                  <c:v>8</c:v>
                </c:pt>
                <c:pt idx="6814">
                  <c:v>8</c:v>
                </c:pt>
                <c:pt idx="6815">
                  <c:v>8</c:v>
                </c:pt>
                <c:pt idx="6816">
                  <c:v>8</c:v>
                </c:pt>
                <c:pt idx="6817">
                  <c:v>8</c:v>
                </c:pt>
                <c:pt idx="6818">
                  <c:v>8</c:v>
                </c:pt>
                <c:pt idx="6819">
                  <c:v>8</c:v>
                </c:pt>
                <c:pt idx="6820">
                  <c:v>8</c:v>
                </c:pt>
                <c:pt idx="6821">
                  <c:v>8</c:v>
                </c:pt>
                <c:pt idx="6822">
                  <c:v>8</c:v>
                </c:pt>
                <c:pt idx="6823">
                  <c:v>8</c:v>
                </c:pt>
                <c:pt idx="6824">
                  <c:v>8</c:v>
                </c:pt>
                <c:pt idx="6825">
                  <c:v>8</c:v>
                </c:pt>
                <c:pt idx="6826">
                  <c:v>8</c:v>
                </c:pt>
                <c:pt idx="6827">
                  <c:v>8</c:v>
                </c:pt>
                <c:pt idx="6828">
                  <c:v>8</c:v>
                </c:pt>
                <c:pt idx="6829">
                  <c:v>8</c:v>
                </c:pt>
                <c:pt idx="6830">
                  <c:v>8</c:v>
                </c:pt>
                <c:pt idx="6831">
                  <c:v>8</c:v>
                </c:pt>
                <c:pt idx="6832">
                  <c:v>8</c:v>
                </c:pt>
                <c:pt idx="6833">
                  <c:v>8</c:v>
                </c:pt>
                <c:pt idx="6834">
                  <c:v>8</c:v>
                </c:pt>
                <c:pt idx="6835">
                  <c:v>8</c:v>
                </c:pt>
                <c:pt idx="6836">
                  <c:v>8</c:v>
                </c:pt>
                <c:pt idx="6837">
                  <c:v>8</c:v>
                </c:pt>
                <c:pt idx="6838">
                  <c:v>8</c:v>
                </c:pt>
                <c:pt idx="6839">
                  <c:v>8</c:v>
                </c:pt>
                <c:pt idx="6840">
                  <c:v>8</c:v>
                </c:pt>
                <c:pt idx="6841">
                  <c:v>8</c:v>
                </c:pt>
                <c:pt idx="6842">
                  <c:v>8</c:v>
                </c:pt>
                <c:pt idx="6843">
                  <c:v>8</c:v>
                </c:pt>
                <c:pt idx="6844">
                  <c:v>8</c:v>
                </c:pt>
                <c:pt idx="6845">
                  <c:v>8</c:v>
                </c:pt>
                <c:pt idx="6846">
                  <c:v>8</c:v>
                </c:pt>
                <c:pt idx="6847">
                  <c:v>8</c:v>
                </c:pt>
                <c:pt idx="6848">
                  <c:v>8</c:v>
                </c:pt>
                <c:pt idx="6849">
                  <c:v>8</c:v>
                </c:pt>
                <c:pt idx="6850">
                  <c:v>8</c:v>
                </c:pt>
                <c:pt idx="6851">
                  <c:v>8</c:v>
                </c:pt>
                <c:pt idx="6852">
                  <c:v>8</c:v>
                </c:pt>
                <c:pt idx="6853">
                  <c:v>8</c:v>
                </c:pt>
                <c:pt idx="6854">
                  <c:v>8</c:v>
                </c:pt>
                <c:pt idx="6855">
                  <c:v>8</c:v>
                </c:pt>
                <c:pt idx="6856">
                  <c:v>8</c:v>
                </c:pt>
                <c:pt idx="6857">
                  <c:v>8</c:v>
                </c:pt>
                <c:pt idx="6858">
                  <c:v>8</c:v>
                </c:pt>
                <c:pt idx="6859">
                  <c:v>8</c:v>
                </c:pt>
                <c:pt idx="6860">
                  <c:v>8</c:v>
                </c:pt>
                <c:pt idx="6861">
                  <c:v>8</c:v>
                </c:pt>
                <c:pt idx="6862">
                  <c:v>8</c:v>
                </c:pt>
                <c:pt idx="6863">
                  <c:v>8</c:v>
                </c:pt>
                <c:pt idx="6864">
                  <c:v>8</c:v>
                </c:pt>
                <c:pt idx="6865">
                  <c:v>8</c:v>
                </c:pt>
                <c:pt idx="6866">
                  <c:v>8</c:v>
                </c:pt>
                <c:pt idx="7108">
                  <c:v>9</c:v>
                </c:pt>
                <c:pt idx="7109">
                  <c:v>9</c:v>
                </c:pt>
                <c:pt idx="7110">
                  <c:v>9</c:v>
                </c:pt>
                <c:pt idx="7111">
                  <c:v>9</c:v>
                </c:pt>
                <c:pt idx="7112">
                  <c:v>9</c:v>
                </c:pt>
                <c:pt idx="7113">
                  <c:v>9</c:v>
                </c:pt>
                <c:pt idx="7114">
                  <c:v>9</c:v>
                </c:pt>
                <c:pt idx="7115">
                  <c:v>9</c:v>
                </c:pt>
                <c:pt idx="7116">
                  <c:v>9</c:v>
                </c:pt>
                <c:pt idx="7117">
                  <c:v>9</c:v>
                </c:pt>
                <c:pt idx="7118">
                  <c:v>9</c:v>
                </c:pt>
                <c:pt idx="7119">
                  <c:v>9</c:v>
                </c:pt>
                <c:pt idx="7120">
                  <c:v>9</c:v>
                </c:pt>
                <c:pt idx="7121">
                  <c:v>9</c:v>
                </c:pt>
                <c:pt idx="7122">
                  <c:v>9</c:v>
                </c:pt>
                <c:pt idx="7123">
                  <c:v>9</c:v>
                </c:pt>
                <c:pt idx="7124">
                  <c:v>9</c:v>
                </c:pt>
                <c:pt idx="7125">
                  <c:v>9</c:v>
                </c:pt>
                <c:pt idx="7126">
                  <c:v>9</c:v>
                </c:pt>
                <c:pt idx="7127">
                  <c:v>9</c:v>
                </c:pt>
                <c:pt idx="7128">
                  <c:v>9</c:v>
                </c:pt>
                <c:pt idx="7129">
                  <c:v>9</c:v>
                </c:pt>
                <c:pt idx="7130">
                  <c:v>9</c:v>
                </c:pt>
                <c:pt idx="7131">
                  <c:v>9</c:v>
                </c:pt>
                <c:pt idx="7132">
                  <c:v>9</c:v>
                </c:pt>
                <c:pt idx="7133">
                  <c:v>9</c:v>
                </c:pt>
                <c:pt idx="7134">
                  <c:v>9</c:v>
                </c:pt>
                <c:pt idx="7135">
                  <c:v>9</c:v>
                </c:pt>
                <c:pt idx="7136">
                  <c:v>9</c:v>
                </c:pt>
                <c:pt idx="7137">
                  <c:v>9</c:v>
                </c:pt>
                <c:pt idx="7138">
                  <c:v>9</c:v>
                </c:pt>
                <c:pt idx="7139">
                  <c:v>9</c:v>
                </c:pt>
                <c:pt idx="7140">
                  <c:v>9</c:v>
                </c:pt>
                <c:pt idx="7141">
                  <c:v>9</c:v>
                </c:pt>
                <c:pt idx="7142">
                  <c:v>9</c:v>
                </c:pt>
                <c:pt idx="7143">
                  <c:v>9</c:v>
                </c:pt>
                <c:pt idx="7144">
                  <c:v>9</c:v>
                </c:pt>
                <c:pt idx="7145">
                  <c:v>9</c:v>
                </c:pt>
                <c:pt idx="7146">
                  <c:v>9</c:v>
                </c:pt>
                <c:pt idx="7147">
                  <c:v>9</c:v>
                </c:pt>
                <c:pt idx="7148">
                  <c:v>9</c:v>
                </c:pt>
                <c:pt idx="7149">
                  <c:v>9</c:v>
                </c:pt>
                <c:pt idx="7150">
                  <c:v>9</c:v>
                </c:pt>
                <c:pt idx="7151">
                  <c:v>9</c:v>
                </c:pt>
                <c:pt idx="7152">
                  <c:v>9</c:v>
                </c:pt>
                <c:pt idx="7153">
                  <c:v>9</c:v>
                </c:pt>
                <c:pt idx="7154">
                  <c:v>9</c:v>
                </c:pt>
                <c:pt idx="7155">
                  <c:v>9</c:v>
                </c:pt>
                <c:pt idx="7156">
                  <c:v>9</c:v>
                </c:pt>
                <c:pt idx="7157">
                  <c:v>9</c:v>
                </c:pt>
                <c:pt idx="7158">
                  <c:v>9</c:v>
                </c:pt>
                <c:pt idx="7159">
                  <c:v>9</c:v>
                </c:pt>
                <c:pt idx="7160">
                  <c:v>9</c:v>
                </c:pt>
                <c:pt idx="7161">
                  <c:v>9</c:v>
                </c:pt>
                <c:pt idx="7162">
                  <c:v>9</c:v>
                </c:pt>
                <c:pt idx="7163">
                  <c:v>9</c:v>
                </c:pt>
                <c:pt idx="7164">
                  <c:v>9</c:v>
                </c:pt>
                <c:pt idx="7165">
                  <c:v>9</c:v>
                </c:pt>
                <c:pt idx="7166">
                  <c:v>9</c:v>
                </c:pt>
                <c:pt idx="7167">
                  <c:v>9</c:v>
                </c:pt>
                <c:pt idx="7168">
                  <c:v>9</c:v>
                </c:pt>
                <c:pt idx="7169">
                  <c:v>9</c:v>
                </c:pt>
                <c:pt idx="7170">
                  <c:v>9</c:v>
                </c:pt>
                <c:pt idx="7171">
                  <c:v>9</c:v>
                </c:pt>
                <c:pt idx="7172">
                  <c:v>9</c:v>
                </c:pt>
                <c:pt idx="7173">
                  <c:v>9</c:v>
                </c:pt>
                <c:pt idx="7174">
                  <c:v>9</c:v>
                </c:pt>
                <c:pt idx="7175">
                  <c:v>9</c:v>
                </c:pt>
                <c:pt idx="7176">
                  <c:v>9</c:v>
                </c:pt>
                <c:pt idx="7177">
                  <c:v>9</c:v>
                </c:pt>
                <c:pt idx="7178">
                  <c:v>9</c:v>
                </c:pt>
                <c:pt idx="7179">
                  <c:v>9</c:v>
                </c:pt>
                <c:pt idx="7180">
                  <c:v>9</c:v>
                </c:pt>
                <c:pt idx="7181">
                  <c:v>9</c:v>
                </c:pt>
                <c:pt idx="7182">
                  <c:v>9</c:v>
                </c:pt>
                <c:pt idx="7183">
                  <c:v>9</c:v>
                </c:pt>
                <c:pt idx="7184">
                  <c:v>9</c:v>
                </c:pt>
                <c:pt idx="7185">
                  <c:v>9</c:v>
                </c:pt>
                <c:pt idx="7186">
                  <c:v>9</c:v>
                </c:pt>
                <c:pt idx="7187">
                  <c:v>9</c:v>
                </c:pt>
                <c:pt idx="7188">
                  <c:v>9</c:v>
                </c:pt>
                <c:pt idx="7189">
                  <c:v>9</c:v>
                </c:pt>
                <c:pt idx="7190">
                  <c:v>9</c:v>
                </c:pt>
                <c:pt idx="7191">
                  <c:v>9</c:v>
                </c:pt>
                <c:pt idx="7192">
                  <c:v>9</c:v>
                </c:pt>
                <c:pt idx="7193">
                  <c:v>9</c:v>
                </c:pt>
                <c:pt idx="7194">
                  <c:v>9</c:v>
                </c:pt>
                <c:pt idx="7195">
                  <c:v>9</c:v>
                </c:pt>
                <c:pt idx="7196">
                  <c:v>9</c:v>
                </c:pt>
                <c:pt idx="7197">
                  <c:v>9</c:v>
                </c:pt>
                <c:pt idx="7198">
                  <c:v>9</c:v>
                </c:pt>
                <c:pt idx="7199">
                  <c:v>9</c:v>
                </c:pt>
                <c:pt idx="7200">
                  <c:v>9</c:v>
                </c:pt>
                <c:pt idx="7201">
                  <c:v>9</c:v>
                </c:pt>
                <c:pt idx="7202">
                  <c:v>9</c:v>
                </c:pt>
                <c:pt idx="7203">
                  <c:v>9</c:v>
                </c:pt>
                <c:pt idx="7204">
                  <c:v>9</c:v>
                </c:pt>
                <c:pt idx="7205">
                  <c:v>9</c:v>
                </c:pt>
                <c:pt idx="7206">
                  <c:v>9</c:v>
                </c:pt>
                <c:pt idx="7207">
                  <c:v>9</c:v>
                </c:pt>
                <c:pt idx="7208">
                  <c:v>9</c:v>
                </c:pt>
                <c:pt idx="7209">
                  <c:v>9</c:v>
                </c:pt>
                <c:pt idx="7210">
                  <c:v>9</c:v>
                </c:pt>
                <c:pt idx="7211">
                  <c:v>9</c:v>
                </c:pt>
                <c:pt idx="7212">
                  <c:v>9</c:v>
                </c:pt>
                <c:pt idx="7213">
                  <c:v>9</c:v>
                </c:pt>
                <c:pt idx="7214">
                  <c:v>9</c:v>
                </c:pt>
                <c:pt idx="7215">
                  <c:v>9</c:v>
                </c:pt>
                <c:pt idx="7216">
                  <c:v>9</c:v>
                </c:pt>
                <c:pt idx="7217">
                  <c:v>9</c:v>
                </c:pt>
                <c:pt idx="7218">
                  <c:v>9</c:v>
                </c:pt>
                <c:pt idx="7219">
                  <c:v>9</c:v>
                </c:pt>
                <c:pt idx="7220">
                  <c:v>9</c:v>
                </c:pt>
                <c:pt idx="7221">
                  <c:v>9</c:v>
                </c:pt>
                <c:pt idx="7222">
                  <c:v>9</c:v>
                </c:pt>
                <c:pt idx="7223">
                  <c:v>9</c:v>
                </c:pt>
                <c:pt idx="7224">
                  <c:v>9</c:v>
                </c:pt>
                <c:pt idx="7225">
                  <c:v>9</c:v>
                </c:pt>
                <c:pt idx="7226">
                  <c:v>9</c:v>
                </c:pt>
                <c:pt idx="7227">
                  <c:v>9</c:v>
                </c:pt>
                <c:pt idx="7228">
                  <c:v>9</c:v>
                </c:pt>
                <c:pt idx="7229">
                  <c:v>9</c:v>
                </c:pt>
                <c:pt idx="7230">
                  <c:v>9</c:v>
                </c:pt>
                <c:pt idx="7231">
                  <c:v>9</c:v>
                </c:pt>
                <c:pt idx="7232">
                  <c:v>9</c:v>
                </c:pt>
                <c:pt idx="7233">
                  <c:v>9</c:v>
                </c:pt>
                <c:pt idx="7234">
                  <c:v>9</c:v>
                </c:pt>
                <c:pt idx="7235">
                  <c:v>9</c:v>
                </c:pt>
                <c:pt idx="7236">
                  <c:v>9</c:v>
                </c:pt>
                <c:pt idx="7237">
                  <c:v>9</c:v>
                </c:pt>
                <c:pt idx="7238">
                  <c:v>9</c:v>
                </c:pt>
                <c:pt idx="7239">
                  <c:v>9</c:v>
                </c:pt>
                <c:pt idx="7240">
                  <c:v>9</c:v>
                </c:pt>
                <c:pt idx="7241">
                  <c:v>9</c:v>
                </c:pt>
                <c:pt idx="7242">
                  <c:v>9</c:v>
                </c:pt>
                <c:pt idx="7243">
                  <c:v>9</c:v>
                </c:pt>
                <c:pt idx="7244">
                  <c:v>9</c:v>
                </c:pt>
                <c:pt idx="7245">
                  <c:v>9</c:v>
                </c:pt>
                <c:pt idx="7246">
                  <c:v>9</c:v>
                </c:pt>
                <c:pt idx="7247">
                  <c:v>9</c:v>
                </c:pt>
                <c:pt idx="7248">
                  <c:v>9</c:v>
                </c:pt>
                <c:pt idx="7249">
                  <c:v>9</c:v>
                </c:pt>
                <c:pt idx="7250">
                  <c:v>9</c:v>
                </c:pt>
                <c:pt idx="7251">
                  <c:v>9</c:v>
                </c:pt>
                <c:pt idx="7252">
                  <c:v>9</c:v>
                </c:pt>
                <c:pt idx="7253">
                  <c:v>9</c:v>
                </c:pt>
                <c:pt idx="7254">
                  <c:v>9</c:v>
                </c:pt>
                <c:pt idx="7255">
                  <c:v>9</c:v>
                </c:pt>
                <c:pt idx="7256">
                  <c:v>9</c:v>
                </c:pt>
                <c:pt idx="7257">
                  <c:v>9</c:v>
                </c:pt>
                <c:pt idx="7258">
                  <c:v>9</c:v>
                </c:pt>
                <c:pt idx="7259">
                  <c:v>9</c:v>
                </c:pt>
                <c:pt idx="7260">
                  <c:v>9</c:v>
                </c:pt>
                <c:pt idx="7261">
                  <c:v>9</c:v>
                </c:pt>
                <c:pt idx="7262">
                  <c:v>9</c:v>
                </c:pt>
                <c:pt idx="7263">
                  <c:v>9</c:v>
                </c:pt>
                <c:pt idx="7264">
                  <c:v>9</c:v>
                </c:pt>
                <c:pt idx="7265">
                  <c:v>9</c:v>
                </c:pt>
                <c:pt idx="7266">
                  <c:v>9</c:v>
                </c:pt>
                <c:pt idx="7267">
                  <c:v>9</c:v>
                </c:pt>
                <c:pt idx="7268">
                  <c:v>9</c:v>
                </c:pt>
                <c:pt idx="7269">
                  <c:v>9</c:v>
                </c:pt>
                <c:pt idx="7270">
                  <c:v>9</c:v>
                </c:pt>
                <c:pt idx="7271">
                  <c:v>9</c:v>
                </c:pt>
                <c:pt idx="7272">
                  <c:v>9</c:v>
                </c:pt>
                <c:pt idx="7273">
                  <c:v>9</c:v>
                </c:pt>
                <c:pt idx="7274">
                  <c:v>9</c:v>
                </c:pt>
                <c:pt idx="7275">
                  <c:v>9</c:v>
                </c:pt>
                <c:pt idx="7276">
                  <c:v>9</c:v>
                </c:pt>
                <c:pt idx="7277">
                  <c:v>9</c:v>
                </c:pt>
                <c:pt idx="7278">
                  <c:v>9</c:v>
                </c:pt>
                <c:pt idx="7279">
                  <c:v>9</c:v>
                </c:pt>
                <c:pt idx="7280">
                  <c:v>9</c:v>
                </c:pt>
                <c:pt idx="7281">
                  <c:v>9</c:v>
                </c:pt>
                <c:pt idx="7282">
                  <c:v>9</c:v>
                </c:pt>
                <c:pt idx="7283">
                  <c:v>9</c:v>
                </c:pt>
                <c:pt idx="7284">
                  <c:v>9</c:v>
                </c:pt>
                <c:pt idx="7285">
                  <c:v>9</c:v>
                </c:pt>
                <c:pt idx="7286">
                  <c:v>9</c:v>
                </c:pt>
                <c:pt idx="7287">
                  <c:v>9</c:v>
                </c:pt>
                <c:pt idx="7288">
                  <c:v>9</c:v>
                </c:pt>
                <c:pt idx="7289">
                  <c:v>9</c:v>
                </c:pt>
                <c:pt idx="7290">
                  <c:v>9</c:v>
                </c:pt>
                <c:pt idx="7291">
                  <c:v>9</c:v>
                </c:pt>
                <c:pt idx="7292">
                  <c:v>9</c:v>
                </c:pt>
                <c:pt idx="729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D-4C9A-ADD2-10FA57F1F1FF}"/>
            </c:ext>
          </c:extLst>
        </c:ser>
        <c:ser>
          <c:idx val="2"/>
          <c:order val="2"/>
          <c:tx>
            <c:v>F3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transpose!$D$2:$D$7653</c:f>
              <c:numCache>
                <c:formatCode>General</c:formatCode>
                <c:ptCount val="7652"/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766">
                  <c:v>4</c:v>
                </c:pt>
                <c:pt idx="3767">
                  <c:v>4</c:v>
                </c:pt>
                <c:pt idx="3768">
                  <c:v>4</c:v>
                </c:pt>
                <c:pt idx="3769">
                  <c:v>4</c:v>
                </c:pt>
                <c:pt idx="3770">
                  <c:v>4</c:v>
                </c:pt>
                <c:pt idx="3771">
                  <c:v>4</c:v>
                </c:pt>
                <c:pt idx="3772">
                  <c:v>4</c:v>
                </c:pt>
                <c:pt idx="3773">
                  <c:v>4</c:v>
                </c:pt>
                <c:pt idx="3774">
                  <c:v>4</c:v>
                </c:pt>
                <c:pt idx="3775">
                  <c:v>4</c:v>
                </c:pt>
                <c:pt idx="3776">
                  <c:v>4</c:v>
                </c:pt>
                <c:pt idx="3777">
                  <c:v>4</c:v>
                </c:pt>
                <c:pt idx="3778">
                  <c:v>4</c:v>
                </c:pt>
                <c:pt idx="3779">
                  <c:v>4</c:v>
                </c:pt>
                <c:pt idx="3780">
                  <c:v>4</c:v>
                </c:pt>
                <c:pt idx="3781">
                  <c:v>4</c:v>
                </c:pt>
                <c:pt idx="3782">
                  <c:v>4</c:v>
                </c:pt>
                <c:pt idx="3783">
                  <c:v>4</c:v>
                </c:pt>
                <c:pt idx="3784">
                  <c:v>4</c:v>
                </c:pt>
                <c:pt idx="3785">
                  <c:v>4</c:v>
                </c:pt>
                <c:pt idx="3786">
                  <c:v>4</c:v>
                </c:pt>
                <c:pt idx="3787">
                  <c:v>4</c:v>
                </c:pt>
                <c:pt idx="3788">
                  <c:v>4</c:v>
                </c:pt>
                <c:pt idx="3789">
                  <c:v>4</c:v>
                </c:pt>
                <c:pt idx="3790">
                  <c:v>4</c:v>
                </c:pt>
                <c:pt idx="3791">
                  <c:v>4</c:v>
                </c:pt>
                <c:pt idx="3792">
                  <c:v>4</c:v>
                </c:pt>
                <c:pt idx="3793">
                  <c:v>4</c:v>
                </c:pt>
                <c:pt idx="3794">
                  <c:v>4</c:v>
                </c:pt>
                <c:pt idx="3795">
                  <c:v>4</c:v>
                </c:pt>
                <c:pt idx="3796">
                  <c:v>4</c:v>
                </c:pt>
                <c:pt idx="3797">
                  <c:v>4</c:v>
                </c:pt>
                <c:pt idx="3798">
                  <c:v>4</c:v>
                </c:pt>
                <c:pt idx="3799">
                  <c:v>4</c:v>
                </c:pt>
                <c:pt idx="3800">
                  <c:v>4</c:v>
                </c:pt>
                <c:pt idx="3801">
                  <c:v>4</c:v>
                </c:pt>
                <c:pt idx="3802">
                  <c:v>4</c:v>
                </c:pt>
                <c:pt idx="3803">
                  <c:v>4</c:v>
                </c:pt>
                <c:pt idx="3804">
                  <c:v>4</c:v>
                </c:pt>
                <c:pt idx="3805">
                  <c:v>4</c:v>
                </c:pt>
                <c:pt idx="3806">
                  <c:v>4</c:v>
                </c:pt>
                <c:pt idx="3807">
                  <c:v>4</c:v>
                </c:pt>
                <c:pt idx="3808">
                  <c:v>4</c:v>
                </c:pt>
                <c:pt idx="3809">
                  <c:v>4</c:v>
                </c:pt>
                <c:pt idx="3810">
                  <c:v>4</c:v>
                </c:pt>
                <c:pt idx="3811">
                  <c:v>4</c:v>
                </c:pt>
                <c:pt idx="3812">
                  <c:v>4</c:v>
                </c:pt>
                <c:pt idx="3813">
                  <c:v>4</c:v>
                </c:pt>
                <c:pt idx="3814">
                  <c:v>4</c:v>
                </c:pt>
                <c:pt idx="3815">
                  <c:v>4</c:v>
                </c:pt>
                <c:pt idx="3816">
                  <c:v>4</c:v>
                </c:pt>
                <c:pt idx="3817">
                  <c:v>4</c:v>
                </c:pt>
                <c:pt idx="3818">
                  <c:v>4</c:v>
                </c:pt>
                <c:pt idx="3819">
                  <c:v>4</c:v>
                </c:pt>
                <c:pt idx="3820">
                  <c:v>4</c:v>
                </c:pt>
                <c:pt idx="3821">
                  <c:v>4</c:v>
                </c:pt>
                <c:pt idx="3822">
                  <c:v>4</c:v>
                </c:pt>
                <c:pt idx="3823">
                  <c:v>4</c:v>
                </c:pt>
                <c:pt idx="3824">
                  <c:v>4</c:v>
                </c:pt>
                <c:pt idx="3825">
                  <c:v>4</c:v>
                </c:pt>
                <c:pt idx="3826">
                  <c:v>4</c:v>
                </c:pt>
                <c:pt idx="3827">
                  <c:v>4</c:v>
                </c:pt>
                <c:pt idx="3828">
                  <c:v>4</c:v>
                </c:pt>
                <c:pt idx="3829">
                  <c:v>4</c:v>
                </c:pt>
                <c:pt idx="3830">
                  <c:v>4</c:v>
                </c:pt>
                <c:pt idx="3831">
                  <c:v>4</c:v>
                </c:pt>
                <c:pt idx="3832">
                  <c:v>4</c:v>
                </c:pt>
                <c:pt idx="3833">
                  <c:v>4</c:v>
                </c:pt>
                <c:pt idx="3834">
                  <c:v>4</c:v>
                </c:pt>
                <c:pt idx="3835">
                  <c:v>4</c:v>
                </c:pt>
                <c:pt idx="3836">
                  <c:v>4</c:v>
                </c:pt>
                <c:pt idx="3837">
                  <c:v>4</c:v>
                </c:pt>
                <c:pt idx="3838">
                  <c:v>4</c:v>
                </c:pt>
                <c:pt idx="3839">
                  <c:v>4</c:v>
                </c:pt>
                <c:pt idx="3840">
                  <c:v>4</c:v>
                </c:pt>
                <c:pt idx="3841">
                  <c:v>4</c:v>
                </c:pt>
                <c:pt idx="3842">
                  <c:v>4</c:v>
                </c:pt>
                <c:pt idx="3843">
                  <c:v>4</c:v>
                </c:pt>
                <c:pt idx="3844">
                  <c:v>4</c:v>
                </c:pt>
                <c:pt idx="3845">
                  <c:v>4</c:v>
                </c:pt>
                <c:pt idx="3846">
                  <c:v>4</c:v>
                </c:pt>
                <c:pt idx="3847">
                  <c:v>4</c:v>
                </c:pt>
                <c:pt idx="3848">
                  <c:v>4</c:v>
                </c:pt>
                <c:pt idx="3849">
                  <c:v>4</c:v>
                </c:pt>
                <c:pt idx="3850">
                  <c:v>4</c:v>
                </c:pt>
                <c:pt idx="3851">
                  <c:v>4</c:v>
                </c:pt>
                <c:pt idx="3852">
                  <c:v>4</c:v>
                </c:pt>
                <c:pt idx="3853">
                  <c:v>4</c:v>
                </c:pt>
                <c:pt idx="3854">
                  <c:v>4</c:v>
                </c:pt>
                <c:pt idx="3855">
                  <c:v>4</c:v>
                </c:pt>
                <c:pt idx="3856">
                  <c:v>4</c:v>
                </c:pt>
                <c:pt idx="3857">
                  <c:v>4</c:v>
                </c:pt>
                <c:pt idx="3858">
                  <c:v>4</c:v>
                </c:pt>
                <c:pt idx="3859">
                  <c:v>4</c:v>
                </c:pt>
                <c:pt idx="3860">
                  <c:v>4</c:v>
                </c:pt>
                <c:pt idx="3861">
                  <c:v>4</c:v>
                </c:pt>
                <c:pt idx="3862">
                  <c:v>4</c:v>
                </c:pt>
                <c:pt idx="3863">
                  <c:v>4</c:v>
                </c:pt>
                <c:pt idx="3864">
                  <c:v>4</c:v>
                </c:pt>
                <c:pt idx="3865">
                  <c:v>4</c:v>
                </c:pt>
                <c:pt idx="3866">
                  <c:v>4</c:v>
                </c:pt>
                <c:pt idx="3867">
                  <c:v>4</c:v>
                </c:pt>
                <c:pt idx="3868">
                  <c:v>4</c:v>
                </c:pt>
                <c:pt idx="3869">
                  <c:v>4</c:v>
                </c:pt>
                <c:pt idx="3870">
                  <c:v>4</c:v>
                </c:pt>
                <c:pt idx="3871">
                  <c:v>4</c:v>
                </c:pt>
                <c:pt idx="3872">
                  <c:v>4</c:v>
                </c:pt>
                <c:pt idx="3873">
                  <c:v>4</c:v>
                </c:pt>
                <c:pt idx="3874">
                  <c:v>4</c:v>
                </c:pt>
                <c:pt idx="3875">
                  <c:v>4</c:v>
                </c:pt>
                <c:pt idx="3876">
                  <c:v>4</c:v>
                </c:pt>
                <c:pt idx="3877">
                  <c:v>4</c:v>
                </c:pt>
                <c:pt idx="3878">
                  <c:v>4</c:v>
                </c:pt>
                <c:pt idx="3879">
                  <c:v>4</c:v>
                </c:pt>
                <c:pt idx="3880">
                  <c:v>4</c:v>
                </c:pt>
                <c:pt idx="3881">
                  <c:v>4</c:v>
                </c:pt>
                <c:pt idx="3882">
                  <c:v>4</c:v>
                </c:pt>
                <c:pt idx="3883">
                  <c:v>4</c:v>
                </c:pt>
                <c:pt idx="3884">
                  <c:v>4</c:v>
                </c:pt>
                <c:pt idx="3885">
                  <c:v>4</c:v>
                </c:pt>
                <c:pt idx="3886">
                  <c:v>4</c:v>
                </c:pt>
                <c:pt idx="3887">
                  <c:v>4</c:v>
                </c:pt>
                <c:pt idx="3888">
                  <c:v>4</c:v>
                </c:pt>
                <c:pt idx="3889">
                  <c:v>4</c:v>
                </c:pt>
                <c:pt idx="3890">
                  <c:v>4</c:v>
                </c:pt>
                <c:pt idx="3891">
                  <c:v>4</c:v>
                </c:pt>
                <c:pt idx="3892">
                  <c:v>4</c:v>
                </c:pt>
                <c:pt idx="3893">
                  <c:v>4</c:v>
                </c:pt>
                <c:pt idx="3894">
                  <c:v>4</c:v>
                </c:pt>
                <c:pt idx="3895">
                  <c:v>4</c:v>
                </c:pt>
                <c:pt idx="3896">
                  <c:v>4</c:v>
                </c:pt>
                <c:pt idx="3897">
                  <c:v>4</c:v>
                </c:pt>
                <c:pt idx="3898">
                  <c:v>4</c:v>
                </c:pt>
                <c:pt idx="3899">
                  <c:v>4</c:v>
                </c:pt>
                <c:pt idx="3900">
                  <c:v>4</c:v>
                </c:pt>
                <c:pt idx="3901">
                  <c:v>4</c:v>
                </c:pt>
                <c:pt idx="3902">
                  <c:v>4</c:v>
                </c:pt>
                <c:pt idx="3903">
                  <c:v>4</c:v>
                </c:pt>
                <c:pt idx="3904">
                  <c:v>4</c:v>
                </c:pt>
                <c:pt idx="3905">
                  <c:v>4</c:v>
                </c:pt>
                <c:pt idx="3906">
                  <c:v>4</c:v>
                </c:pt>
                <c:pt idx="3907">
                  <c:v>4</c:v>
                </c:pt>
                <c:pt idx="3908">
                  <c:v>4</c:v>
                </c:pt>
                <c:pt idx="3909">
                  <c:v>4</c:v>
                </c:pt>
                <c:pt idx="3910">
                  <c:v>4</c:v>
                </c:pt>
                <c:pt idx="3911">
                  <c:v>4</c:v>
                </c:pt>
                <c:pt idx="3912">
                  <c:v>4</c:v>
                </c:pt>
                <c:pt idx="3913">
                  <c:v>4</c:v>
                </c:pt>
                <c:pt idx="3914">
                  <c:v>4</c:v>
                </c:pt>
                <c:pt idx="3915">
                  <c:v>4</c:v>
                </c:pt>
                <c:pt idx="3916">
                  <c:v>4</c:v>
                </c:pt>
                <c:pt idx="3917">
                  <c:v>4</c:v>
                </c:pt>
                <c:pt idx="3918">
                  <c:v>4</c:v>
                </c:pt>
                <c:pt idx="3919">
                  <c:v>4</c:v>
                </c:pt>
                <c:pt idx="3920">
                  <c:v>4</c:v>
                </c:pt>
                <c:pt idx="3921">
                  <c:v>4</c:v>
                </c:pt>
                <c:pt idx="3922">
                  <c:v>4</c:v>
                </c:pt>
                <c:pt idx="3923">
                  <c:v>4</c:v>
                </c:pt>
                <c:pt idx="3924">
                  <c:v>4</c:v>
                </c:pt>
                <c:pt idx="3925">
                  <c:v>4</c:v>
                </c:pt>
                <c:pt idx="3926">
                  <c:v>4</c:v>
                </c:pt>
                <c:pt idx="3927">
                  <c:v>4</c:v>
                </c:pt>
                <c:pt idx="3928">
                  <c:v>4</c:v>
                </c:pt>
                <c:pt idx="3929">
                  <c:v>4</c:v>
                </c:pt>
                <c:pt idx="3930">
                  <c:v>4</c:v>
                </c:pt>
                <c:pt idx="3931">
                  <c:v>4</c:v>
                </c:pt>
                <c:pt idx="3932">
                  <c:v>4</c:v>
                </c:pt>
                <c:pt idx="3933">
                  <c:v>4</c:v>
                </c:pt>
                <c:pt idx="3934">
                  <c:v>4</c:v>
                </c:pt>
                <c:pt idx="3935">
                  <c:v>4</c:v>
                </c:pt>
                <c:pt idx="3936">
                  <c:v>4</c:v>
                </c:pt>
                <c:pt idx="3937">
                  <c:v>4</c:v>
                </c:pt>
                <c:pt idx="3938">
                  <c:v>4</c:v>
                </c:pt>
                <c:pt idx="3939">
                  <c:v>4</c:v>
                </c:pt>
                <c:pt idx="3940">
                  <c:v>4</c:v>
                </c:pt>
                <c:pt idx="3941">
                  <c:v>4</c:v>
                </c:pt>
                <c:pt idx="3942">
                  <c:v>4</c:v>
                </c:pt>
                <c:pt idx="3943">
                  <c:v>4</c:v>
                </c:pt>
                <c:pt idx="3944">
                  <c:v>4</c:v>
                </c:pt>
                <c:pt idx="3945">
                  <c:v>4</c:v>
                </c:pt>
                <c:pt idx="3946">
                  <c:v>4</c:v>
                </c:pt>
                <c:pt idx="3947">
                  <c:v>4</c:v>
                </c:pt>
                <c:pt idx="3948">
                  <c:v>4</c:v>
                </c:pt>
                <c:pt idx="3949">
                  <c:v>4</c:v>
                </c:pt>
                <c:pt idx="3950">
                  <c:v>4</c:v>
                </c:pt>
                <c:pt idx="3951">
                  <c:v>4</c:v>
                </c:pt>
                <c:pt idx="3952">
                  <c:v>4</c:v>
                </c:pt>
                <c:pt idx="3953">
                  <c:v>4</c:v>
                </c:pt>
                <c:pt idx="3954">
                  <c:v>4</c:v>
                </c:pt>
                <c:pt idx="3955">
                  <c:v>4</c:v>
                </c:pt>
                <c:pt idx="3956">
                  <c:v>4</c:v>
                </c:pt>
                <c:pt idx="3957">
                  <c:v>4</c:v>
                </c:pt>
                <c:pt idx="3958">
                  <c:v>4</c:v>
                </c:pt>
                <c:pt idx="3959">
                  <c:v>4</c:v>
                </c:pt>
                <c:pt idx="3960">
                  <c:v>4</c:v>
                </c:pt>
                <c:pt idx="3961">
                  <c:v>4</c:v>
                </c:pt>
                <c:pt idx="3962">
                  <c:v>4</c:v>
                </c:pt>
                <c:pt idx="3963">
                  <c:v>4</c:v>
                </c:pt>
                <c:pt idx="3964">
                  <c:v>4</c:v>
                </c:pt>
                <c:pt idx="3965">
                  <c:v>4</c:v>
                </c:pt>
                <c:pt idx="3966">
                  <c:v>4</c:v>
                </c:pt>
                <c:pt idx="3967">
                  <c:v>4</c:v>
                </c:pt>
                <c:pt idx="3968">
                  <c:v>4</c:v>
                </c:pt>
                <c:pt idx="3969">
                  <c:v>4</c:v>
                </c:pt>
                <c:pt idx="3970">
                  <c:v>4</c:v>
                </c:pt>
                <c:pt idx="4687">
                  <c:v>5</c:v>
                </c:pt>
                <c:pt idx="4688">
                  <c:v>5</c:v>
                </c:pt>
                <c:pt idx="4689">
                  <c:v>5</c:v>
                </c:pt>
                <c:pt idx="4690">
                  <c:v>5</c:v>
                </c:pt>
                <c:pt idx="4691">
                  <c:v>5</c:v>
                </c:pt>
                <c:pt idx="4692">
                  <c:v>5</c:v>
                </c:pt>
                <c:pt idx="4693">
                  <c:v>5</c:v>
                </c:pt>
                <c:pt idx="4694">
                  <c:v>5</c:v>
                </c:pt>
                <c:pt idx="4695">
                  <c:v>5</c:v>
                </c:pt>
                <c:pt idx="4696">
                  <c:v>5</c:v>
                </c:pt>
                <c:pt idx="4697">
                  <c:v>5</c:v>
                </c:pt>
                <c:pt idx="4698">
                  <c:v>5</c:v>
                </c:pt>
                <c:pt idx="4699">
                  <c:v>5</c:v>
                </c:pt>
                <c:pt idx="4700">
                  <c:v>5</c:v>
                </c:pt>
                <c:pt idx="4701">
                  <c:v>5</c:v>
                </c:pt>
                <c:pt idx="4702">
                  <c:v>5</c:v>
                </c:pt>
                <c:pt idx="4703">
                  <c:v>5</c:v>
                </c:pt>
                <c:pt idx="4704">
                  <c:v>5</c:v>
                </c:pt>
                <c:pt idx="4705">
                  <c:v>5</c:v>
                </c:pt>
                <c:pt idx="4706">
                  <c:v>5</c:v>
                </c:pt>
                <c:pt idx="4707">
                  <c:v>5</c:v>
                </c:pt>
                <c:pt idx="4708">
                  <c:v>5</c:v>
                </c:pt>
                <c:pt idx="4709">
                  <c:v>5</c:v>
                </c:pt>
                <c:pt idx="4710">
                  <c:v>5</c:v>
                </c:pt>
                <c:pt idx="4711">
                  <c:v>5</c:v>
                </c:pt>
                <c:pt idx="4712">
                  <c:v>5</c:v>
                </c:pt>
                <c:pt idx="4713">
                  <c:v>5</c:v>
                </c:pt>
                <c:pt idx="4714">
                  <c:v>5</c:v>
                </c:pt>
                <c:pt idx="4715">
                  <c:v>5</c:v>
                </c:pt>
                <c:pt idx="4716">
                  <c:v>5</c:v>
                </c:pt>
                <c:pt idx="4717">
                  <c:v>5</c:v>
                </c:pt>
                <c:pt idx="4718">
                  <c:v>5</c:v>
                </c:pt>
                <c:pt idx="4719">
                  <c:v>5</c:v>
                </c:pt>
                <c:pt idx="4720">
                  <c:v>5</c:v>
                </c:pt>
                <c:pt idx="4721">
                  <c:v>5</c:v>
                </c:pt>
                <c:pt idx="4722">
                  <c:v>5</c:v>
                </c:pt>
                <c:pt idx="4723">
                  <c:v>5</c:v>
                </c:pt>
                <c:pt idx="4724">
                  <c:v>5</c:v>
                </c:pt>
                <c:pt idx="4725">
                  <c:v>5</c:v>
                </c:pt>
                <c:pt idx="4726">
                  <c:v>5</c:v>
                </c:pt>
                <c:pt idx="4727">
                  <c:v>5</c:v>
                </c:pt>
                <c:pt idx="4728">
                  <c:v>5</c:v>
                </c:pt>
                <c:pt idx="4729">
                  <c:v>5</c:v>
                </c:pt>
                <c:pt idx="4730">
                  <c:v>5</c:v>
                </c:pt>
                <c:pt idx="4731">
                  <c:v>5</c:v>
                </c:pt>
                <c:pt idx="4732">
                  <c:v>5</c:v>
                </c:pt>
                <c:pt idx="4733">
                  <c:v>5</c:v>
                </c:pt>
                <c:pt idx="4734">
                  <c:v>5</c:v>
                </c:pt>
                <c:pt idx="4735">
                  <c:v>5</c:v>
                </c:pt>
                <c:pt idx="4736">
                  <c:v>5</c:v>
                </c:pt>
                <c:pt idx="4737">
                  <c:v>5</c:v>
                </c:pt>
                <c:pt idx="4738">
                  <c:v>5</c:v>
                </c:pt>
                <c:pt idx="4739">
                  <c:v>5</c:v>
                </c:pt>
                <c:pt idx="4740">
                  <c:v>5</c:v>
                </c:pt>
                <c:pt idx="4741">
                  <c:v>5</c:v>
                </c:pt>
                <c:pt idx="4742">
                  <c:v>5</c:v>
                </c:pt>
                <c:pt idx="4743">
                  <c:v>5</c:v>
                </c:pt>
                <c:pt idx="4744">
                  <c:v>5</c:v>
                </c:pt>
                <c:pt idx="4745">
                  <c:v>5</c:v>
                </c:pt>
                <c:pt idx="4746">
                  <c:v>5</c:v>
                </c:pt>
                <c:pt idx="4747">
                  <c:v>5</c:v>
                </c:pt>
                <c:pt idx="4748">
                  <c:v>5</c:v>
                </c:pt>
                <c:pt idx="4749">
                  <c:v>5</c:v>
                </c:pt>
                <c:pt idx="4750">
                  <c:v>5</c:v>
                </c:pt>
                <c:pt idx="4751">
                  <c:v>5</c:v>
                </c:pt>
                <c:pt idx="4752">
                  <c:v>5</c:v>
                </c:pt>
                <c:pt idx="4753">
                  <c:v>5</c:v>
                </c:pt>
                <c:pt idx="4754">
                  <c:v>5</c:v>
                </c:pt>
                <c:pt idx="4755">
                  <c:v>5</c:v>
                </c:pt>
                <c:pt idx="4756">
                  <c:v>5</c:v>
                </c:pt>
                <c:pt idx="4757">
                  <c:v>5</c:v>
                </c:pt>
                <c:pt idx="4758">
                  <c:v>5</c:v>
                </c:pt>
                <c:pt idx="4759">
                  <c:v>5</c:v>
                </c:pt>
                <c:pt idx="4760">
                  <c:v>5</c:v>
                </c:pt>
                <c:pt idx="4761">
                  <c:v>5</c:v>
                </c:pt>
                <c:pt idx="4762">
                  <c:v>5</c:v>
                </c:pt>
                <c:pt idx="4763">
                  <c:v>5</c:v>
                </c:pt>
                <c:pt idx="4764">
                  <c:v>5</c:v>
                </c:pt>
                <c:pt idx="4765">
                  <c:v>5</c:v>
                </c:pt>
                <c:pt idx="4766">
                  <c:v>5</c:v>
                </c:pt>
                <c:pt idx="4767">
                  <c:v>5</c:v>
                </c:pt>
                <c:pt idx="4768">
                  <c:v>5</c:v>
                </c:pt>
                <c:pt idx="4769">
                  <c:v>5</c:v>
                </c:pt>
                <c:pt idx="4770">
                  <c:v>5</c:v>
                </c:pt>
                <c:pt idx="4771">
                  <c:v>5</c:v>
                </c:pt>
                <c:pt idx="4772">
                  <c:v>5</c:v>
                </c:pt>
                <c:pt idx="4773">
                  <c:v>5</c:v>
                </c:pt>
                <c:pt idx="4774">
                  <c:v>5</c:v>
                </c:pt>
                <c:pt idx="4775">
                  <c:v>5</c:v>
                </c:pt>
                <c:pt idx="4776">
                  <c:v>5</c:v>
                </c:pt>
                <c:pt idx="4777">
                  <c:v>5</c:v>
                </c:pt>
                <c:pt idx="4778">
                  <c:v>5</c:v>
                </c:pt>
                <c:pt idx="4779">
                  <c:v>5</c:v>
                </c:pt>
                <c:pt idx="4780">
                  <c:v>5</c:v>
                </c:pt>
                <c:pt idx="4781">
                  <c:v>5</c:v>
                </c:pt>
                <c:pt idx="4782">
                  <c:v>5</c:v>
                </c:pt>
                <c:pt idx="4783">
                  <c:v>5</c:v>
                </c:pt>
                <c:pt idx="4784">
                  <c:v>5</c:v>
                </c:pt>
                <c:pt idx="4785">
                  <c:v>5</c:v>
                </c:pt>
                <c:pt idx="4786">
                  <c:v>5</c:v>
                </c:pt>
                <c:pt idx="4787">
                  <c:v>5</c:v>
                </c:pt>
                <c:pt idx="4788">
                  <c:v>5</c:v>
                </c:pt>
                <c:pt idx="4789">
                  <c:v>5</c:v>
                </c:pt>
                <c:pt idx="4790">
                  <c:v>5</c:v>
                </c:pt>
                <c:pt idx="4791">
                  <c:v>5</c:v>
                </c:pt>
                <c:pt idx="4792">
                  <c:v>5</c:v>
                </c:pt>
                <c:pt idx="4793">
                  <c:v>5</c:v>
                </c:pt>
                <c:pt idx="4794">
                  <c:v>5</c:v>
                </c:pt>
                <c:pt idx="4795">
                  <c:v>5</c:v>
                </c:pt>
                <c:pt idx="4796">
                  <c:v>5</c:v>
                </c:pt>
                <c:pt idx="4797">
                  <c:v>5</c:v>
                </c:pt>
                <c:pt idx="4798">
                  <c:v>5</c:v>
                </c:pt>
                <c:pt idx="4799">
                  <c:v>5</c:v>
                </c:pt>
                <c:pt idx="4800">
                  <c:v>5</c:v>
                </c:pt>
                <c:pt idx="4801">
                  <c:v>5</c:v>
                </c:pt>
                <c:pt idx="4802">
                  <c:v>5</c:v>
                </c:pt>
                <c:pt idx="4803">
                  <c:v>5</c:v>
                </c:pt>
                <c:pt idx="4804">
                  <c:v>5</c:v>
                </c:pt>
                <c:pt idx="4805">
                  <c:v>5</c:v>
                </c:pt>
                <c:pt idx="4806">
                  <c:v>5</c:v>
                </c:pt>
                <c:pt idx="4807">
                  <c:v>5</c:v>
                </c:pt>
                <c:pt idx="4808">
                  <c:v>5</c:v>
                </c:pt>
                <c:pt idx="4809">
                  <c:v>5</c:v>
                </c:pt>
                <c:pt idx="4810">
                  <c:v>5</c:v>
                </c:pt>
                <c:pt idx="4811">
                  <c:v>5</c:v>
                </c:pt>
                <c:pt idx="4812">
                  <c:v>5</c:v>
                </c:pt>
                <c:pt idx="4813">
                  <c:v>5</c:v>
                </c:pt>
                <c:pt idx="4814">
                  <c:v>5</c:v>
                </c:pt>
                <c:pt idx="4815">
                  <c:v>5</c:v>
                </c:pt>
                <c:pt idx="4816">
                  <c:v>5</c:v>
                </c:pt>
                <c:pt idx="4817">
                  <c:v>5</c:v>
                </c:pt>
                <c:pt idx="4818">
                  <c:v>5</c:v>
                </c:pt>
                <c:pt idx="4819">
                  <c:v>5</c:v>
                </c:pt>
                <c:pt idx="4820">
                  <c:v>5</c:v>
                </c:pt>
                <c:pt idx="4821">
                  <c:v>5</c:v>
                </c:pt>
                <c:pt idx="4822">
                  <c:v>5</c:v>
                </c:pt>
                <c:pt idx="4823">
                  <c:v>5</c:v>
                </c:pt>
                <c:pt idx="4824">
                  <c:v>5</c:v>
                </c:pt>
                <c:pt idx="4825">
                  <c:v>5</c:v>
                </c:pt>
                <c:pt idx="4826">
                  <c:v>5</c:v>
                </c:pt>
                <c:pt idx="4827">
                  <c:v>5</c:v>
                </c:pt>
                <c:pt idx="4828">
                  <c:v>5</c:v>
                </c:pt>
                <c:pt idx="4829">
                  <c:v>5</c:v>
                </c:pt>
                <c:pt idx="4830">
                  <c:v>5</c:v>
                </c:pt>
                <c:pt idx="4831">
                  <c:v>5</c:v>
                </c:pt>
                <c:pt idx="4832">
                  <c:v>5</c:v>
                </c:pt>
                <c:pt idx="4833">
                  <c:v>5</c:v>
                </c:pt>
                <c:pt idx="4834">
                  <c:v>5</c:v>
                </c:pt>
                <c:pt idx="4835">
                  <c:v>5</c:v>
                </c:pt>
                <c:pt idx="4836">
                  <c:v>5</c:v>
                </c:pt>
                <c:pt idx="4837">
                  <c:v>5</c:v>
                </c:pt>
                <c:pt idx="4838">
                  <c:v>5</c:v>
                </c:pt>
                <c:pt idx="4839">
                  <c:v>5</c:v>
                </c:pt>
                <c:pt idx="4840">
                  <c:v>5</c:v>
                </c:pt>
                <c:pt idx="4841">
                  <c:v>5</c:v>
                </c:pt>
                <c:pt idx="4842">
                  <c:v>5</c:v>
                </c:pt>
                <c:pt idx="4843">
                  <c:v>5</c:v>
                </c:pt>
                <c:pt idx="4844">
                  <c:v>5</c:v>
                </c:pt>
                <c:pt idx="4845">
                  <c:v>5</c:v>
                </c:pt>
                <c:pt idx="4846">
                  <c:v>5</c:v>
                </c:pt>
                <c:pt idx="4847">
                  <c:v>5</c:v>
                </c:pt>
                <c:pt idx="4848">
                  <c:v>5</c:v>
                </c:pt>
                <c:pt idx="4849">
                  <c:v>5</c:v>
                </c:pt>
                <c:pt idx="4850">
                  <c:v>5</c:v>
                </c:pt>
                <c:pt idx="4851">
                  <c:v>5</c:v>
                </c:pt>
                <c:pt idx="4852">
                  <c:v>5</c:v>
                </c:pt>
                <c:pt idx="4853">
                  <c:v>5</c:v>
                </c:pt>
                <c:pt idx="4854">
                  <c:v>5</c:v>
                </c:pt>
                <c:pt idx="4855">
                  <c:v>5</c:v>
                </c:pt>
                <c:pt idx="4856">
                  <c:v>5</c:v>
                </c:pt>
                <c:pt idx="4857">
                  <c:v>5</c:v>
                </c:pt>
                <c:pt idx="4858">
                  <c:v>5</c:v>
                </c:pt>
                <c:pt idx="4859">
                  <c:v>5</c:v>
                </c:pt>
                <c:pt idx="4860">
                  <c:v>5</c:v>
                </c:pt>
                <c:pt idx="4861">
                  <c:v>5</c:v>
                </c:pt>
                <c:pt idx="4862">
                  <c:v>5</c:v>
                </c:pt>
                <c:pt idx="4863">
                  <c:v>5</c:v>
                </c:pt>
                <c:pt idx="4864">
                  <c:v>5</c:v>
                </c:pt>
                <c:pt idx="4865">
                  <c:v>5</c:v>
                </c:pt>
                <c:pt idx="4866">
                  <c:v>5</c:v>
                </c:pt>
                <c:pt idx="4867">
                  <c:v>5</c:v>
                </c:pt>
                <c:pt idx="4868">
                  <c:v>5</c:v>
                </c:pt>
                <c:pt idx="4869">
                  <c:v>5</c:v>
                </c:pt>
                <c:pt idx="4870">
                  <c:v>5</c:v>
                </c:pt>
                <c:pt idx="4871">
                  <c:v>5</c:v>
                </c:pt>
                <c:pt idx="4872">
                  <c:v>5</c:v>
                </c:pt>
                <c:pt idx="4873">
                  <c:v>5</c:v>
                </c:pt>
                <c:pt idx="4874">
                  <c:v>5</c:v>
                </c:pt>
                <c:pt idx="4875">
                  <c:v>5</c:v>
                </c:pt>
                <c:pt idx="4876">
                  <c:v>5</c:v>
                </c:pt>
                <c:pt idx="4877">
                  <c:v>5</c:v>
                </c:pt>
                <c:pt idx="4878">
                  <c:v>5</c:v>
                </c:pt>
                <c:pt idx="4879">
                  <c:v>5</c:v>
                </c:pt>
                <c:pt idx="4880">
                  <c:v>5</c:v>
                </c:pt>
                <c:pt idx="4881">
                  <c:v>5</c:v>
                </c:pt>
                <c:pt idx="4882">
                  <c:v>5</c:v>
                </c:pt>
                <c:pt idx="4883">
                  <c:v>5</c:v>
                </c:pt>
                <c:pt idx="4884">
                  <c:v>5</c:v>
                </c:pt>
                <c:pt idx="4885">
                  <c:v>5</c:v>
                </c:pt>
                <c:pt idx="4886">
                  <c:v>5</c:v>
                </c:pt>
                <c:pt idx="4887">
                  <c:v>5</c:v>
                </c:pt>
                <c:pt idx="4888">
                  <c:v>5</c:v>
                </c:pt>
                <c:pt idx="4889">
                  <c:v>5</c:v>
                </c:pt>
                <c:pt idx="4890">
                  <c:v>5</c:v>
                </c:pt>
                <c:pt idx="4891">
                  <c:v>5</c:v>
                </c:pt>
                <c:pt idx="4892">
                  <c:v>5</c:v>
                </c:pt>
                <c:pt idx="4893">
                  <c:v>5</c:v>
                </c:pt>
                <c:pt idx="4894">
                  <c:v>5</c:v>
                </c:pt>
                <c:pt idx="4895">
                  <c:v>5</c:v>
                </c:pt>
                <c:pt idx="4896">
                  <c:v>5</c:v>
                </c:pt>
                <c:pt idx="4897">
                  <c:v>5</c:v>
                </c:pt>
                <c:pt idx="4898">
                  <c:v>5</c:v>
                </c:pt>
                <c:pt idx="4899">
                  <c:v>5</c:v>
                </c:pt>
                <c:pt idx="4900">
                  <c:v>5</c:v>
                </c:pt>
                <c:pt idx="4901">
                  <c:v>5</c:v>
                </c:pt>
                <c:pt idx="4902">
                  <c:v>5</c:v>
                </c:pt>
                <c:pt idx="4903">
                  <c:v>5</c:v>
                </c:pt>
                <c:pt idx="4904">
                  <c:v>5</c:v>
                </c:pt>
                <c:pt idx="4905">
                  <c:v>5</c:v>
                </c:pt>
                <c:pt idx="4906">
                  <c:v>5</c:v>
                </c:pt>
                <c:pt idx="4907">
                  <c:v>5</c:v>
                </c:pt>
                <c:pt idx="4908">
                  <c:v>5</c:v>
                </c:pt>
                <c:pt idx="4909">
                  <c:v>5</c:v>
                </c:pt>
                <c:pt idx="4910">
                  <c:v>5</c:v>
                </c:pt>
                <c:pt idx="4911">
                  <c:v>5</c:v>
                </c:pt>
                <c:pt idx="4912">
                  <c:v>5</c:v>
                </c:pt>
                <c:pt idx="4913">
                  <c:v>5</c:v>
                </c:pt>
                <c:pt idx="4914">
                  <c:v>5</c:v>
                </c:pt>
                <c:pt idx="4915">
                  <c:v>5</c:v>
                </c:pt>
                <c:pt idx="4916">
                  <c:v>5</c:v>
                </c:pt>
                <c:pt idx="4917">
                  <c:v>5</c:v>
                </c:pt>
                <c:pt idx="4918">
                  <c:v>5</c:v>
                </c:pt>
                <c:pt idx="4919">
                  <c:v>5</c:v>
                </c:pt>
                <c:pt idx="4920">
                  <c:v>5</c:v>
                </c:pt>
                <c:pt idx="4921">
                  <c:v>5</c:v>
                </c:pt>
                <c:pt idx="4922">
                  <c:v>5</c:v>
                </c:pt>
                <c:pt idx="4923">
                  <c:v>5</c:v>
                </c:pt>
                <c:pt idx="4924">
                  <c:v>5</c:v>
                </c:pt>
                <c:pt idx="4925">
                  <c:v>5</c:v>
                </c:pt>
                <c:pt idx="4926">
                  <c:v>5</c:v>
                </c:pt>
                <c:pt idx="4927">
                  <c:v>5</c:v>
                </c:pt>
                <c:pt idx="4928">
                  <c:v>5</c:v>
                </c:pt>
                <c:pt idx="4929">
                  <c:v>5</c:v>
                </c:pt>
                <c:pt idx="4930">
                  <c:v>5</c:v>
                </c:pt>
                <c:pt idx="4931">
                  <c:v>5</c:v>
                </c:pt>
                <c:pt idx="4932">
                  <c:v>5</c:v>
                </c:pt>
                <c:pt idx="4933">
                  <c:v>5</c:v>
                </c:pt>
                <c:pt idx="4934">
                  <c:v>5</c:v>
                </c:pt>
                <c:pt idx="4935">
                  <c:v>5</c:v>
                </c:pt>
                <c:pt idx="4936">
                  <c:v>5</c:v>
                </c:pt>
                <c:pt idx="4937">
                  <c:v>5</c:v>
                </c:pt>
                <c:pt idx="4938">
                  <c:v>5</c:v>
                </c:pt>
                <c:pt idx="4939">
                  <c:v>5</c:v>
                </c:pt>
                <c:pt idx="4940">
                  <c:v>5</c:v>
                </c:pt>
                <c:pt idx="4941">
                  <c:v>5</c:v>
                </c:pt>
                <c:pt idx="4942">
                  <c:v>5</c:v>
                </c:pt>
                <c:pt idx="4943">
                  <c:v>5</c:v>
                </c:pt>
                <c:pt idx="4944">
                  <c:v>5</c:v>
                </c:pt>
                <c:pt idx="4945">
                  <c:v>5</c:v>
                </c:pt>
                <c:pt idx="4946">
                  <c:v>5</c:v>
                </c:pt>
                <c:pt idx="4947">
                  <c:v>5</c:v>
                </c:pt>
                <c:pt idx="4948">
                  <c:v>5</c:v>
                </c:pt>
                <c:pt idx="4949">
                  <c:v>5</c:v>
                </c:pt>
                <c:pt idx="4950">
                  <c:v>5</c:v>
                </c:pt>
                <c:pt idx="4951">
                  <c:v>5</c:v>
                </c:pt>
                <c:pt idx="4952">
                  <c:v>5</c:v>
                </c:pt>
                <c:pt idx="4953">
                  <c:v>5</c:v>
                </c:pt>
                <c:pt idx="4954">
                  <c:v>5</c:v>
                </c:pt>
                <c:pt idx="4955">
                  <c:v>5</c:v>
                </c:pt>
                <c:pt idx="4956">
                  <c:v>5</c:v>
                </c:pt>
                <c:pt idx="4957">
                  <c:v>5</c:v>
                </c:pt>
                <c:pt idx="4958">
                  <c:v>5</c:v>
                </c:pt>
                <c:pt idx="4959">
                  <c:v>5</c:v>
                </c:pt>
                <c:pt idx="4960">
                  <c:v>5</c:v>
                </c:pt>
                <c:pt idx="4961">
                  <c:v>5</c:v>
                </c:pt>
                <c:pt idx="4962">
                  <c:v>5</c:v>
                </c:pt>
                <c:pt idx="4963">
                  <c:v>5</c:v>
                </c:pt>
                <c:pt idx="4964">
                  <c:v>5</c:v>
                </c:pt>
                <c:pt idx="4965">
                  <c:v>5</c:v>
                </c:pt>
                <c:pt idx="4966">
                  <c:v>5</c:v>
                </c:pt>
                <c:pt idx="4967">
                  <c:v>5</c:v>
                </c:pt>
                <c:pt idx="4968">
                  <c:v>5</c:v>
                </c:pt>
                <c:pt idx="4969">
                  <c:v>5</c:v>
                </c:pt>
                <c:pt idx="4970">
                  <c:v>5</c:v>
                </c:pt>
                <c:pt idx="4971">
                  <c:v>5</c:v>
                </c:pt>
                <c:pt idx="4972">
                  <c:v>5</c:v>
                </c:pt>
                <c:pt idx="4973">
                  <c:v>5</c:v>
                </c:pt>
                <c:pt idx="4974">
                  <c:v>5</c:v>
                </c:pt>
                <c:pt idx="4975">
                  <c:v>5</c:v>
                </c:pt>
                <c:pt idx="4976">
                  <c:v>5</c:v>
                </c:pt>
                <c:pt idx="4977">
                  <c:v>5</c:v>
                </c:pt>
                <c:pt idx="4978">
                  <c:v>5</c:v>
                </c:pt>
                <c:pt idx="4979">
                  <c:v>5</c:v>
                </c:pt>
                <c:pt idx="4980">
                  <c:v>5</c:v>
                </c:pt>
                <c:pt idx="4981">
                  <c:v>5</c:v>
                </c:pt>
                <c:pt idx="4982">
                  <c:v>5</c:v>
                </c:pt>
                <c:pt idx="4983">
                  <c:v>5</c:v>
                </c:pt>
                <c:pt idx="4984">
                  <c:v>5</c:v>
                </c:pt>
                <c:pt idx="4985">
                  <c:v>5</c:v>
                </c:pt>
                <c:pt idx="4986">
                  <c:v>5</c:v>
                </c:pt>
                <c:pt idx="4987">
                  <c:v>5</c:v>
                </c:pt>
                <c:pt idx="4988">
                  <c:v>5</c:v>
                </c:pt>
                <c:pt idx="4989">
                  <c:v>5</c:v>
                </c:pt>
                <c:pt idx="4990">
                  <c:v>5</c:v>
                </c:pt>
                <c:pt idx="4991">
                  <c:v>5</c:v>
                </c:pt>
                <c:pt idx="4992">
                  <c:v>5</c:v>
                </c:pt>
                <c:pt idx="4993">
                  <c:v>5</c:v>
                </c:pt>
                <c:pt idx="4994">
                  <c:v>5</c:v>
                </c:pt>
                <c:pt idx="4995">
                  <c:v>5</c:v>
                </c:pt>
                <c:pt idx="4996">
                  <c:v>5</c:v>
                </c:pt>
                <c:pt idx="4997">
                  <c:v>5</c:v>
                </c:pt>
                <c:pt idx="4998">
                  <c:v>5</c:v>
                </c:pt>
                <c:pt idx="4999">
                  <c:v>5</c:v>
                </c:pt>
                <c:pt idx="5000">
                  <c:v>5</c:v>
                </c:pt>
                <c:pt idx="5001">
                  <c:v>5</c:v>
                </c:pt>
                <c:pt idx="5002">
                  <c:v>5</c:v>
                </c:pt>
                <c:pt idx="5003">
                  <c:v>5</c:v>
                </c:pt>
                <c:pt idx="5004">
                  <c:v>5</c:v>
                </c:pt>
                <c:pt idx="5005">
                  <c:v>5</c:v>
                </c:pt>
                <c:pt idx="5006">
                  <c:v>5</c:v>
                </c:pt>
                <c:pt idx="5007">
                  <c:v>5</c:v>
                </c:pt>
                <c:pt idx="5008">
                  <c:v>5</c:v>
                </c:pt>
                <c:pt idx="5009">
                  <c:v>5</c:v>
                </c:pt>
                <c:pt idx="5010">
                  <c:v>5</c:v>
                </c:pt>
                <c:pt idx="5011">
                  <c:v>5</c:v>
                </c:pt>
                <c:pt idx="5012">
                  <c:v>5</c:v>
                </c:pt>
                <c:pt idx="5013">
                  <c:v>5</c:v>
                </c:pt>
                <c:pt idx="5014">
                  <c:v>5</c:v>
                </c:pt>
                <c:pt idx="5015">
                  <c:v>5</c:v>
                </c:pt>
                <c:pt idx="5016">
                  <c:v>5</c:v>
                </c:pt>
                <c:pt idx="5017">
                  <c:v>5</c:v>
                </c:pt>
                <c:pt idx="5018">
                  <c:v>5</c:v>
                </c:pt>
                <c:pt idx="5019">
                  <c:v>5</c:v>
                </c:pt>
                <c:pt idx="5020">
                  <c:v>5</c:v>
                </c:pt>
                <c:pt idx="5021">
                  <c:v>5</c:v>
                </c:pt>
                <c:pt idx="5022">
                  <c:v>5</c:v>
                </c:pt>
                <c:pt idx="5023">
                  <c:v>5</c:v>
                </c:pt>
                <c:pt idx="5024">
                  <c:v>5</c:v>
                </c:pt>
                <c:pt idx="5025">
                  <c:v>5</c:v>
                </c:pt>
                <c:pt idx="5026">
                  <c:v>5</c:v>
                </c:pt>
                <c:pt idx="5027">
                  <c:v>5</c:v>
                </c:pt>
                <c:pt idx="5028">
                  <c:v>5</c:v>
                </c:pt>
                <c:pt idx="5029">
                  <c:v>5</c:v>
                </c:pt>
                <c:pt idx="5030">
                  <c:v>5</c:v>
                </c:pt>
                <c:pt idx="5031">
                  <c:v>5</c:v>
                </c:pt>
                <c:pt idx="5032">
                  <c:v>5</c:v>
                </c:pt>
                <c:pt idx="5033">
                  <c:v>5</c:v>
                </c:pt>
                <c:pt idx="5034">
                  <c:v>5</c:v>
                </c:pt>
                <c:pt idx="5578">
                  <c:v>6</c:v>
                </c:pt>
                <c:pt idx="5579">
                  <c:v>6</c:v>
                </c:pt>
                <c:pt idx="5580">
                  <c:v>6</c:v>
                </c:pt>
                <c:pt idx="5581">
                  <c:v>6</c:v>
                </c:pt>
                <c:pt idx="5582">
                  <c:v>6</c:v>
                </c:pt>
                <c:pt idx="5583">
                  <c:v>6</c:v>
                </c:pt>
                <c:pt idx="5584">
                  <c:v>6</c:v>
                </c:pt>
                <c:pt idx="5585">
                  <c:v>6</c:v>
                </c:pt>
                <c:pt idx="5586">
                  <c:v>6</c:v>
                </c:pt>
                <c:pt idx="5587">
                  <c:v>6</c:v>
                </c:pt>
                <c:pt idx="5588">
                  <c:v>6</c:v>
                </c:pt>
                <c:pt idx="5589">
                  <c:v>6</c:v>
                </c:pt>
                <c:pt idx="5590">
                  <c:v>6</c:v>
                </c:pt>
                <c:pt idx="5591">
                  <c:v>6</c:v>
                </c:pt>
                <c:pt idx="5592">
                  <c:v>6</c:v>
                </c:pt>
                <c:pt idx="5593">
                  <c:v>6</c:v>
                </c:pt>
                <c:pt idx="5594">
                  <c:v>6</c:v>
                </c:pt>
                <c:pt idx="5595">
                  <c:v>6</c:v>
                </c:pt>
                <c:pt idx="5596">
                  <c:v>6</c:v>
                </c:pt>
                <c:pt idx="5597">
                  <c:v>6</c:v>
                </c:pt>
                <c:pt idx="5598">
                  <c:v>6</c:v>
                </c:pt>
                <c:pt idx="5599">
                  <c:v>6</c:v>
                </c:pt>
                <c:pt idx="5600">
                  <c:v>6</c:v>
                </c:pt>
                <c:pt idx="5601">
                  <c:v>6</c:v>
                </c:pt>
                <c:pt idx="5602">
                  <c:v>6</c:v>
                </c:pt>
                <c:pt idx="5603">
                  <c:v>6</c:v>
                </c:pt>
                <c:pt idx="5604">
                  <c:v>6</c:v>
                </c:pt>
                <c:pt idx="5605">
                  <c:v>6</c:v>
                </c:pt>
                <c:pt idx="5606">
                  <c:v>6</c:v>
                </c:pt>
                <c:pt idx="5607">
                  <c:v>6</c:v>
                </c:pt>
                <c:pt idx="5608">
                  <c:v>6</c:v>
                </c:pt>
                <c:pt idx="5609">
                  <c:v>6</c:v>
                </c:pt>
                <c:pt idx="5610">
                  <c:v>6</c:v>
                </c:pt>
                <c:pt idx="5611">
                  <c:v>6</c:v>
                </c:pt>
                <c:pt idx="5612">
                  <c:v>6</c:v>
                </c:pt>
                <c:pt idx="5613">
                  <c:v>6</c:v>
                </c:pt>
                <c:pt idx="5614">
                  <c:v>6</c:v>
                </c:pt>
                <c:pt idx="5615">
                  <c:v>6</c:v>
                </c:pt>
                <c:pt idx="5616">
                  <c:v>6</c:v>
                </c:pt>
                <c:pt idx="5617">
                  <c:v>6</c:v>
                </c:pt>
                <c:pt idx="5618">
                  <c:v>6</c:v>
                </c:pt>
                <c:pt idx="5619">
                  <c:v>6</c:v>
                </c:pt>
                <c:pt idx="5620">
                  <c:v>6</c:v>
                </c:pt>
                <c:pt idx="5621">
                  <c:v>6</c:v>
                </c:pt>
                <c:pt idx="5622">
                  <c:v>6</c:v>
                </c:pt>
                <c:pt idx="5623">
                  <c:v>6</c:v>
                </c:pt>
                <c:pt idx="5624">
                  <c:v>6</c:v>
                </c:pt>
                <c:pt idx="5625">
                  <c:v>6</c:v>
                </c:pt>
                <c:pt idx="5626">
                  <c:v>6</c:v>
                </c:pt>
                <c:pt idx="5627">
                  <c:v>6</c:v>
                </c:pt>
                <c:pt idx="5628">
                  <c:v>6</c:v>
                </c:pt>
                <c:pt idx="5629">
                  <c:v>6</c:v>
                </c:pt>
                <c:pt idx="5630">
                  <c:v>6</c:v>
                </c:pt>
                <c:pt idx="5631">
                  <c:v>6</c:v>
                </c:pt>
                <c:pt idx="5632">
                  <c:v>6</c:v>
                </c:pt>
                <c:pt idx="5633">
                  <c:v>6</c:v>
                </c:pt>
                <c:pt idx="5634">
                  <c:v>6</c:v>
                </c:pt>
                <c:pt idx="5635">
                  <c:v>6</c:v>
                </c:pt>
                <c:pt idx="5636">
                  <c:v>6</c:v>
                </c:pt>
                <c:pt idx="5637">
                  <c:v>6</c:v>
                </c:pt>
                <c:pt idx="5638">
                  <c:v>6</c:v>
                </c:pt>
                <c:pt idx="5639">
                  <c:v>6</c:v>
                </c:pt>
                <c:pt idx="5640">
                  <c:v>6</c:v>
                </c:pt>
                <c:pt idx="5641">
                  <c:v>6</c:v>
                </c:pt>
                <c:pt idx="5642">
                  <c:v>6</c:v>
                </c:pt>
                <c:pt idx="5643">
                  <c:v>6</c:v>
                </c:pt>
                <c:pt idx="5644">
                  <c:v>6</c:v>
                </c:pt>
                <c:pt idx="5645">
                  <c:v>6</c:v>
                </c:pt>
                <c:pt idx="5646">
                  <c:v>6</c:v>
                </c:pt>
                <c:pt idx="5647">
                  <c:v>6</c:v>
                </c:pt>
                <c:pt idx="5648">
                  <c:v>6</c:v>
                </c:pt>
                <c:pt idx="5649">
                  <c:v>6</c:v>
                </c:pt>
                <c:pt idx="5650">
                  <c:v>6</c:v>
                </c:pt>
                <c:pt idx="5651">
                  <c:v>6</c:v>
                </c:pt>
                <c:pt idx="5652">
                  <c:v>6</c:v>
                </c:pt>
                <c:pt idx="5653">
                  <c:v>6</c:v>
                </c:pt>
                <c:pt idx="5654">
                  <c:v>6</c:v>
                </c:pt>
                <c:pt idx="5655">
                  <c:v>6</c:v>
                </c:pt>
                <c:pt idx="5656">
                  <c:v>6</c:v>
                </c:pt>
                <c:pt idx="5657">
                  <c:v>6</c:v>
                </c:pt>
                <c:pt idx="5658">
                  <c:v>6</c:v>
                </c:pt>
                <c:pt idx="5659">
                  <c:v>6</c:v>
                </c:pt>
                <c:pt idx="5660">
                  <c:v>6</c:v>
                </c:pt>
                <c:pt idx="5661">
                  <c:v>6</c:v>
                </c:pt>
                <c:pt idx="5662">
                  <c:v>6</c:v>
                </c:pt>
                <c:pt idx="5663">
                  <c:v>6</c:v>
                </c:pt>
                <c:pt idx="5664">
                  <c:v>6</c:v>
                </c:pt>
                <c:pt idx="5665">
                  <c:v>6</c:v>
                </c:pt>
                <c:pt idx="5666">
                  <c:v>6</c:v>
                </c:pt>
                <c:pt idx="5667">
                  <c:v>6</c:v>
                </c:pt>
                <c:pt idx="5668">
                  <c:v>6</c:v>
                </c:pt>
                <c:pt idx="5669">
                  <c:v>6</c:v>
                </c:pt>
                <c:pt idx="5670">
                  <c:v>6</c:v>
                </c:pt>
                <c:pt idx="5671">
                  <c:v>6</c:v>
                </c:pt>
                <c:pt idx="5672">
                  <c:v>6</c:v>
                </c:pt>
                <c:pt idx="5673">
                  <c:v>6</c:v>
                </c:pt>
                <c:pt idx="5674">
                  <c:v>6</c:v>
                </c:pt>
                <c:pt idx="5675">
                  <c:v>6</c:v>
                </c:pt>
                <c:pt idx="5676">
                  <c:v>6</c:v>
                </c:pt>
                <c:pt idx="5677">
                  <c:v>6</c:v>
                </c:pt>
                <c:pt idx="5678">
                  <c:v>6</c:v>
                </c:pt>
                <c:pt idx="5679">
                  <c:v>6</c:v>
                </c:pt>
                <c:pt idx="5680">
                  <c:v>6</c:v>
                </c:pt>
                <c:pt idx="5681">
                  <c:v>6</c:v>
                </c:pt>
                <c:pt idx="5682">
                  <c:v>6</c:v>
                </c:pt>
                <c:pt idx="5683">
                  <c:v>6</c:v>
                </c:pt>
                <c:pt idx="5684">
                  <c:v>6</c:v>
                </c:pt>
                <c:pt idx="5685">
                  <c:v>6</c:v>
                </c:pt>
                <c:pt idx="5686">
                  <c:v>6</c:v>
                </c:pt>
                <c:pt idx="5687">
                  <c:v>6</c:v>
                </c:pt>
                <c:pt idx="5688">
                  <c:v>6</c:v>
                </c:pt>
                <c:pt idx="5689">
                  <c:v>6</c:v>
                </c:pt>
                <c:pt idx="5690">
                  <c:v>6</c:v>
                </c:pt>
                <c:pt idx="5691">
                  <c:v>6</c:v>
                </c:pt>
                <c:pt idx="5692">
                  <c:v>6</c:v>
                </c:pt>
                <c:pt idx="5693">
                  <c:v>6</c:v>
                </c:pt>
                <c:pt idx="5694">
                  <c:v>6</c:v>
                </c:pt>
                <c:pt idx="5695">
                  <c:v>6</c:v>
                </c:pt>
                <c:pt idx="5696">
                  <c:v>6</c:v>
                </c:pt>
                <c:pt idx="5697">
                  <c:v>6</c:v>
                </c:pt>
                <c:pt idx="5698">
                  <c:v>6</c:v>
                </c:pt>
                <c:pt idx="5699">
                  <c:v>6</c:v>
                </c:pt>
                <c:pt idx="5700">
                  <c:v>6</c:v>
                </c:pt>
                <c:pt idx="5701">
                  <c:v>6</c:v>
                </c:pt>
                <c:pt idx="5702">
                  <c:v>6</c:v>
                </c:pt>
                <c:pt idx="5703">
                  <c:v>6</c:v>
                </c:pt>
                <c:pt idx="5704">
                  <c:v>6</c:v>
                </c:pt>
                <c:pt idx="5705">
                  <c:v>6</c:v>
                </c:pt>
                <c:pt idx="5706">
                  <c:v>6</c:v>
                </c:pt>
                <c:pt idx="5707">
                  <c:v>6</c:v>
                </c:pt>
                <c:pt idx="5708">
                  <c:v>6</c:v>
                </c:pt>
                <c:pt idx="5709">
                  <c:v>6</c:v>
                </c:pt>
                <c:pt idx="5710">
                  <c:v>6</c:v>
                </c:pt>
                <c:pt idx="5711">
                  <c:v>6</c:v>
                </c:pt>
                <c:pt idx="5712">
                  <c:v>6</c:v>
                </c:pt>
                <c:pt idx="5713">
                  <c:v>6</c:v>
                </c:pt>
                <c:pt idx="5714">
                  <c:v>6</c:v>
                </c:pt>
                <c:pt idx="5715">
                  <c:v>6</c:v>
                </c:pt>
                <c:pt idx="5716">
                  <c:v>6</c:v>
                </c:pt>
                <c:pt idx="5717">
                  <c:v>6</c:v>
                </c:pt>
                <c:pt idx="5718">
                  <c:v>6</c:v>
                </c:pt>
                <c:pt idx="5719">
                  <c:v>6</c:v>
                </c:pt>
                <c:pt idx="5720">
                  <c:v>6</c:v>
                </c:pt>
                <c:pt idx="5721">
                  <c:v>6</c:v>
                </c:pt>
                <c:pt idx="5722">
                  <c:v>6</c:v>
                </c:pt>
                <c:pt idx="5723">
                  <c:v>6</c:v>
                </c:pt>
                <c:pt idx="5724">
                  <c:v>6</c:v>
                </c:pt>
                <c:pt idx="5725">
                  <c:v>6</c:v>
                </c:pt>
                <c:pt idx="5726">
                  <c:v>6</c:v>
                </c:pt>
                <c:pt idx="5727">
                  <c:v>6</c:v>
                </c:pt>
                <c:pt idx="5728">
                  <c:v>6</c:v>
                </c:pt>
                <c:pt idx="5729">
                  <c:v>6</c:v>
                </c:pt>
                <c:pt idx="5730">
                  <c:v>6</c:v>
                </c:pt>
                <c:pt idx="5731">
                  <c:v>6</c:v>
                </c:pt>
                <c:pt idx="5732">
                  <c:v>6</c:v>
                </c:pt>
                <c:pt idx="5733">
                  <c:v>6</c:v>
                </c:pt>
                <c:pt idx="5734">
                  <c:v>6</c:v>
                </c:pt>
                <c:pt idx="5735">
                  <c:v>6</c:v>
                </c:pt>
                <c:pt idx="5736">
                  <c:v>6</c:v>
                </c:pt>
                <c:pt idx="5737">
                  <c:v>6</c:v>
                </c:pt>
                <c:pt idx="5738">
                  <c:v>6</c:v>
                </c:pt>
                <c:pt idx="5739">
                  <c:v>6</c:v>
                </c:pt>
                <c:pt idx="5740">
                  <c:v>6</c:v>
                </c:pt>
                <c:pt idx="5741">
                  <c:v>6</c:v>
                </c:pt>
                <c:pt idx="5742">
                  <c:v>6</c:v>
                </c:pt>
                <c:pt idx="5743">
                  <c:v>6</c:v>
                </c:pt>
                <c:pt idx="5744">
                  <c:v>6</c:v>
                </c:pt>
                <c:pt idx="5745">
                  <c:v>6</c:v>
                </c:pt>
                <c:pt idx="5746">
                  <c:v>6</c:v>
                </c:pt>
                <c:pt idx="5747">
                  <c:v>6</c:v>
                </c:pt>
                <c:pt idx="5748">
                  <c:v>6</c:v>
                </c:pt>
                <c:pt idx="5749">
                  <c:v>6</c:v>
                </c:pt>
                <c:pt idx="5750">
                  <c:v>6</c:v>
                </c:pt>
                <c:pt idx="5751">
                  <c:v>6</c:v>
                </c:pt>
                <c:pt idx="5752">
                  <c:v>6</c:v>
                </c:pt>
                <c:pt idx="5753">
                  <c:v>6</c:v>
                </c:pt>
                <c:pt idx="5754">
                  <c:v>6</c:v>
                </c:pt>
                <c:pt idx="5755">
                  <c:v>6</c:v>
                </c:pt>
                <c:pt idx="5756">
                  <c:v>6</c:v>
                </c:pt>
                <c:pt idx="5757">
                  <c:v>6</c:v>
                </c:pt>
                <c:pt idx="5758">
                  <c:v>6</c:v>
                </c:pt>
                <c:pt idx="5759">
                  <c:v>6</c:v>
                </c:pt>
                <c:pt idx="5760">
                  <c:v>6</c:v>
                </c:pt>
                <c:pt idx="5761">
                  <c:v>6</c:v>
                </c:pt>
                <c:pt idx="5762">
                  <c:v>6</c:v>
                </c:pt>
                <c:pt idx="5763">
                  <c:v>6</c:v>
                </c:pt>
                <c:pt idx="5764">
                  <c:v>6</c:v>
                </c:pt>
                <c:pt idx="5765">
                  <c:v>6</c:v>
                </c:pt>
                <c:pt idx="5766">
                  <c:v>6</c:v>
                </c:pt>
                <c:pt idx="5767">
                  <c:v>6</c:v>
                </c:pt>
                <c:pt idx="5768">
                  <c:v>6</c:v>
                </c:pt>
                <c:pt idx="5769">
                  <c:v>6</c:v>
                </c:pt>
                <c:pt idx="5770">
                  <c:v>6</c:v>
                </c:pt>
                <c:pt idx="5771">
                  <c:v>6</c:v>
                </c:pt>
                <c:pt idx="5772">
                  <c:v>6</c:v>
                </c:pt>
                <c:pt idx="5773">
                  <c:v>6</c:v>
                </c:pt>
                <c:pt idx="5774">
                  <c:v>6</c:v>
                </c:pt>
                <c:pt idx="5775">
                  <c:v>6</c:v>
                </c:pt>
                <c:pt idx="5776">
                  <c:v>6</c:v>
                </c:pt>
                <c:pt idx="5777">
                  <c:v>6</c:v>
                </c:pt>
                <c:pt idx="5778">
                  <c:v>6</c:v>
                </c:pt>
                <c:pt idx="5779">
                  <c:v>6</c:v>
                </c:pt>
                <c:pt idx="5780">
                  <c:v>6</c:v>
                </c:pt>
                <c:pt idx="5781">
                  <c:v>6</c:v>
                </c:pt>
                <c:pt idx="5782">
                  <c:v>6</c:v>
                </c:pt>
                <c:pt idx="5783">
                  <c:v>6</c:v>
                </c:pt>
                <c:pt idx="5784">
                  <c:v>6</c:v>
                </c:pt>
                <c:pt idx="5785">
                  <c:v>6</c:v>
                </c:pt>
                <c:pt idx="5786">
                  <c:v>6</c:v>
                </c:pt>
                <c:pt idx="5787">
                  <c:v>6</c:v>
                </c:pt>
                <c:pt idx="5788">
                  <c:v>6</c:v>
                </c:pt>
                <c:pt idx="5789">
                  <c:v>6</c:v>
                </c:pt>
                <c:pt idx="5790">
                  <c:v>6</c:v>
                </c:pt>
                <c:pt idx="5791">
                  <c:v>6</c:v>
                </c:pt>
                <c:pt idx="5792">
                  <c:v>6</c:v>
                </c:pt>
                <c:pt idx="5793">
                  <c:v>6</c:v>
                </c:pt>
                <c:pt idx="5794">
                  <c:v>6</c:v>
                </c:pt>
                <c:pt idx="5795">
                  <c:v>6</c:v>
                </c:pt>
                <c:pt idx="5796">
                  <c:v>6</c:v>
                </c:pt>
                <c:pt idx="5797">
                  <c:v>6</c:v>
                </c:pt>
                <c:pt idx="5798">
                  <c:v>6</c:v>
                </c:pt>
                <c:pt idx="5799">
                  <c:v>6</c:v>
                </c:pt>
                <c:pt idx="5800">
                  <c:v>6</c:v>
                </c:pt>
                <c:pt idx="5801">
                  <c:v>6</c:v>
                </c:pt>
                <c:pt idx="5802">
                  <c:v>6</c:v>
                </c:pt>
                <c:pt idx="5803">
                  <c:v>6</c:v>
                </c:pt>
                <c:pt idx="5804">
                  <c:v>6</c:v>
                </c:pt>
                <c:pt idx="5805">
                  <c:v>6</c:v>
                </c:pt>
                <c:pt idx="5806">
                  <c:v>6</c:v>
                </c:pt>
                <c:pt idx="5807">
                  <c:v>6</c:v>
                </c:pt>
                <c:pt idx="5808">
                  <c:v>6</c:v>
                </c:pt>
                <c:pt idx="5809">
                  <c:v>6</c:v>
                </c:pt>
                <c:pt idx="5810">
                  <c:v>6</c:v>
                </c:pt>
                <c:pt idx="5811">
                  <c:v>6</c:v>
                </c:pt>
                <c:pt idx="5812">
                  <c:v>6</c:v>
                </c:pt>
                <c:pt idx="5813">
                  <c:v>6</c:v>
                </c:pt>
                <c:pt idx="5814">
                  <c:v>6</c:v>
                </c:pt>
                <c:pt idx="5815">
                  <c:v>6</c:v>
                </c:pt>
                <c:pt idx="5816">
                  <c:v>6</c:v>
                </c:pt>
                <c:pt idx="5817">
                  <c:v>6</c:v>
                </c:pt>
                <c:pt idx="5818">
                  <c:v>6</c:v>
                </c:pt>
                <c:pt idx="5819">
                  <c:v>6</c:v>
                </c:pt>
                <c:pt idx="5820">
                  <c:v>6</c:v>
                </c:pt>
                <c:pt idx="5821">
                  <c:v>6</c:v>
                </c:pt>
                <c:pt idx="5822">
                  <c:v>6</c:v>
                </c:pt>
                <c:pt idx="5823">
                  <c:v>6</c:v>
                </c:pt>
                <c:pt idx="5824">
                  <c:v>6</c:v>
                </c:pt>
                <c:pt idx="5825">
                  <c:v>6</c:v>
                </c:pt>
                <c:pt idx="5826">
                  <c:v>6</c:v>
                </c:pt>
                <c:pt idx="5827">
                  <c:v>6</c:v>
                </c:pt>
                <c:pt idx="5828">
                  <c:v>6</c:v>
                </c:pt>
                <c:pt idx="5829">
                  <c:v>6</c:v>
                </c:pt>
                <c:pt idx="5830">
                  <c:v>6</c:v>
                </c:pt>
                <c:pt idx="5831">
                  <c:v>6</c:v>
                </c:pt>
                <c:pt idx="5832">
                  <c:v>6</c:v>
                </c:pt>
                <c:pt idx="5833">
                  <c:v>6</c:v>
                </c:pt>
                <c:pt idx="5834">
                  <c:v>6</c:v>
                </c:pt>
                <c:pt idx="5835">
                  <c:v>6</c:v>
                </c:pt>
                <c:pt idx="5836">
                  <c:v>6</c:v>
                </c:pt>
                <c:pt idx="5837">
                  <c:v>6</c:v>
                </c:pt>
                <c:pt idx="5838">
                  <c:v>6</c:v>
                </c:pt>
                <c:pt idx="5839">
                  <c:v>6</c:v>
                </c:pt>
                <c:pt idx="5840">
                  <c:v>6</c:v>
                </c:pt>
                <c:pt idx="5841">
                  <c:v>6</c:v>
                </c:pt>
                <c:pt idx="5842">
                  <c:v>6</c:v>
                </c:pt>
                <c:pt idx="5843">
                  <c:v>6</c:v>
                </c:pt>
                <c:pt idx="5844">
                  <c:v>6</c:v>
                </c:pt>
                <c:pt idx="5845">
                  <c:v>6</c:v>
                </c:pt>
                <c:pt idx="5846">
                  <c:v>6</c:v>
                </c:pt>
                <c:pt idx="5847">
                  <c:v>6</c:v>
                </c:pt>
                <c:pt idx="5848">
                  <c:v>6</c:v>
                </c:pt>
                <c:pt idx="5849">
                  <c:v>6</c:v>
                </c:pt>
                <c:pt idx="5850">
                  <c:v>6</c:v>
                </c:pt>
                <c:pt idx="5851">
                  <c:v>6</c:v>
                </c:pt>
                <c:pt idx="5852">
                  <c:v>6</c:v>
                </c:pt>
                <c:pt idx="5853">
                  <c:v>6</c:v>
                </c:pt>
                <c:pt idx="5854">
                  <c:v>6</c:v>
                </c:pt>
                <c:pt idx="5855">
                  <c:v>6</c:v>
                </c:pt>
                <c:pt idx="5856">
                  <c:v>6</c:v>
                </c:pt>
                <c:pt idx="5857">
                  <c:v>6</c:v>
                </c:pt>
                <c:pt idx="5858">
                  <c:v>6</c:v>
                </c:pt>
                <c:pt idx="5859">
                  <c:v>6</c:v>
                </c:pt>
                <c:pt idx="5860">
                  <c:v>6</c:v>
                </c:pt>
                <c:pt idx="5861">
                  <c:v>6</c:v>
                </c:pt>
                <c:pt idx="5862">
                  <c:v>6</c:v>
                </c:pt>
                <c:pt idx="5863">
                  <c:v>6</c:v>
                </c:pt>
                <c:pt idx="5864">
                  <c:v>6</c:v>
                </c:pt>
                <c:pt idx="5865">
                  <c:v>6</c:v>
                </c:pt>
                <c:pt idx="5866">
                  <c:v>6</c:v>
                </c:pt>
                <c:pt idx="5867">
                  <c:v>6</c:v>
                </c:pt>
                <c:pt idx="5868">
                  <c:v>6</c:v>
                </c:pt>
                <c:pt idx="5869">
                  <c:v>6</c:v>
                </c:pt>
                <c:pt idx="5870">
                  <c:v>6</c:v>
                </c:pt>
                <c:pt idx="5871">
                  <c:v>6</c:v>
                </c:pt>
                <c:pt idx="5872">
                  <c:v>6</c:v>
                </c:pt>
                <c:pt idx="5873">
                  <c:v>6</c:v>
                </c:pt>
                <c:pt idx="5874">
                  <c:v>6</c:v>
                </c:pt>
                <c:pt idx="5875">
                  <c:v>6</c:v>
                </c:pt>
                <c:pt idx="5876">
                  <c:v>6</c:v>
                </c:pt>
                <c:pt idx="5877">
                  <c:v>6</c:v>
                </c:pt>
                <c:pt idx="5878">
                  <c:v>6</c:v>
                </c:pt>
                <c:pt idx="5879">
                  <c:v>6</c:v>
                </c:pt>
                <c:pt idx="5880">
                  <c:v>6</c:v>
                </c:pt>
                <c:pt idx="5881">
                  <c:v>6</c:v>
                </c:pt>
                <c:pt idx="5882">
                  <c:v>6</c:v>
                </c:pt>
                <c:pt idx="5883">
                  <c:v>6</c:v>
                </c:pt>
                <c:pt idx="5884">
                  <c:v>6</c:v>
                </c:pt>
                <c:pt idx="5885">
                  <c:v>6</c:v>
                </c:pt>
                <c:pt idx="5886">
                  <c:v>6</c:v>
                </c:pt>
                <c:pt idx="5887">
                  <c:v>6</c:v>
                </c:pt>
                <c:pt idx="5888">
                  <c:v>6</c:v>
                </c:pt>
                <c:pt idx="5889">
                  <c:v>6</c:v>
                </c:pt>
                <c:pt idx="5890">
                  <c:v>6</c:v>
                </c:pt>
                <c:pt idx="5891">
                  <c:v>6</c:v>
                </c:pt>
                <c:pt idx="5892">
                  <c:v>6</c:v>
                </c:pt>
                <c:pt idx="5893">
                  <c:v>6</c:v>
                </c:pt>
                <c:pt idx="5894">
                  <c:v>6</c:v>
                </c:pt>
                <c:pt idx="5895">
                  <c:v>6</c:v>
                </c:pt>
                <c:pt idx="5896">
                  <c:v>6</c:v>
                </c:pt>
                <c:pt idx="5897">
                  <c:v>6</c:v>
                </c:pt>
                <c:pt idx="5898">
                  <c:v>6</c:v>
                </c:pt>
                <c:pt idx="5899">
                  <c:v>6</c:v>
                </c:pt>
                <c:pt idx="5900">
                  <c:v>6</c:v>
                </c:pt>
                <c:pt idx="5901">
                  <c:v>6</c:v>
                </c:pt>
                <c:pt idx="5902">
                  <c:v>6</c:v>
                </c:pt>
                <c:pt idx="5903">
                  <c:v>6</c:v>
                </c:pt>
                <c:pt idx="5904">
                  <c:v>6</c:v>
                </c:pt>
                <c:pt idx="5905">
                  <c:v>6</c:v>
                </c:pt>
                <c:pt idx="5906">
                  <c:v>6</c:v>
                </c:pt>
                <c:pt idx="5907">
                  <c:v>6</c:v>
                </c:pt>
                <c:pt idx="5908">
                  <c:v>6</c:v>
                </c:pt>
                <c:pt idx="5909">
                  <c:v>6</c:v>
                </c:pt>
                <c:pt idx="5910">
                  <c:v>6</c:v>
                </c:pt>
                <c:pt idx="5911">
                  <c:v>6</c:v>
                </c:pt>
                <c:pt idx="5912">
                  <c:v>6</c:v>
                </c:pt>
                <c:pt idx="5913">
                  <c:v>6</c:v>
                </c:pt>
                <c:pt idx="5914">
                  <c:v>6</c:v>
                </c:pt>
                <c:pt idx="5915">
                  <c:v>6</c:v>
                </c:pt>
                <c:pt idx="5916">
                  <c:v>6</c:v>
                </c:pt>
                <c:pt idx="5917">
                  <c:v>6</c:v>
                </c:pt>
                <c:pt idx="5918">
                  <c:v>6</c:v>
                </c:pt>
                <c:pt idx="5919">
                  <c:v>6</c:v>
                </c:pt>
                <c:pt idx="5920">
                  <c:v>6</c:v>
                </c:pt>
                <c:pt idx="5921">
                  <c:v>6</c:v>
                </c:pt>
                <c:pt idx="5922">
                  <c:v>6</c:v>
                </c:pt>
                <c:pt idx="5923">
                  <c:v>6</c:v>
                </c:pt>
                <c:pt idx="5924">
                  <c:v>6</c:v>
                </c:pt>
                <c:pt idx="5925">
                  <c:v>6</c:v>
                </c:pt>
                <c:pt idx="5926">
                  <c:v>6</c:v>
                </c:pt>
                <c:pt idx="5927">
                  <c:v>6</c:v>
                </c:pt>
                <c:pt idx="5928">
                  <c:v>6</c:v>
                </c:pt>
                <c:pt idx="5929">
                  <c:v>6</c:v>
                </c:pt>
                <c:pt idx="5930">
                  <c:v>6</c:v>
                </c:pt>
                <c:pt idx="5931">
                  <c:v>6</c:v>
                </c:pt>
                <c:pt idx="5932">
                  <c:v>6</c:v>
                </c:pt>
                <c:pt idx="5933">
                  <c:v>6</c:v>
                </c:pt>
                <c:pt idx="5934">
                  <c:v>6</c:v>
                </c:pt>
                <c:pt idx="5935">
                  <c:v>6</c:v>
                </c:pt>
                <c:pt idx="5936">
                  <c:v>6</c:v>
                </c:pt>
                <c:pt idx="5937">
                  <c:v>6</c:v>
                </c:pt>
                <c:pt idx="5938">
                  <c:v>6</c:v>
                </c:pt>
                <c:pt idx="5939">
                  <c:v>6</c:v>
                </c:pt>
                <c:pt idx="5940">
                  <c:v>6</c:v>
                </c:pt>
                <c:pt idx="5941">
                  <c:v>6</c:v>
                </c:pt>
                <c:pt idx="5942">
                  <c:v>6</c:v>
                </c:pt>
                <c:pt idx="5943">
                  <c:v>6</c:v>
                </c:pt>
                <c:pt idx="5944">
                  <c:v>6</c:v>
                </c:pt>
                <c:pt idx="5945">
                  <c:v>6</c:v>
                </c:pt>
                <c:pt idx="5946">
                  <c:v>6</c:v>
                </c:pt>
                <c:pt idx="5947">
                  <c:v>6</c:v>
                </c:pt>
                <c:pt idx="5948">
                  <c:v>6</c:v>
                </c:pt>
                <c:pt idx="5949">
                  <c:v>6</c:v>
                </c:pt>
                <c:pt idx="5950">
                  <c:v>6</c:v>
                </c:pt>
                <c:pt idx="5951">
                  <c:v>6</c:v>
                </c:pt>
                <c:pt idx="5952">
                  <c:v>6</c:v>
                </c:pt>
                <c:pt idx="5953">
                  <c:v>6</c:v>
                </c:pt>
                <c:pt idx="5954">
                  <c:v>6</c:v>
                </c:pt>
                <c:pt idx="5955">
                  <c:v>6</c:v>
                </c:pt>
                <c:pt idx="5956">
                  <c:v>6</c:v>
                </c:pt>
                <c:pt idx="5957">
                  <c:v>6</c:v>
                </c:pt>
                <c:pt idx="5958">
                  <c:v>6</c:v>
                </c:pt>
                <c:pt idx="5959">
                  <c:v>6</c:v>
                </c:pt>
                <c:pt idx="5960">
                  <c:v>6</c:v>
                </c:pt>
                <c:pt idx="5961">
                  <c:v>6</c:v>
                </c:pt>
                <c:pt idx="5962">
                  <c:v>6</c:v>
                </c:pt>
                <c:pt idx="5963">
                  <c:v>6</c:v>
                </c:pt>
                <c:pt idx="5964">
                  <c:v>6</c:v>
                </c:pt>
                <c:pt idx="5965">
                  <c:v>6</c:v>
                </c:pt>
                <c:pt idx="5966">
                  <c:v>6</c:v>
                </c:pt>
                <c:pt idx="5967">
                  <c:v>6</c:v>
                </c:pt>
                <c:pt idx="5968">
                  <c:v>6</c:v>
                </c:pt>
                <c:pt idx="5969">
                  <c:v>6</c:v>
                </c:pt>
                <c:pt idx="5970">
                  <c:v>6</c:v>
                </c:pt>
                <c:pt idx="5971">
                  <c:v>6</c:v>
                </c:pt>
                <c:pt idx="5972">
                  <c:v>6</c:v>
                </c:pt>
                <c:pt idx="5973">
                  <c:v>6</c:v>
                </c:pt>
                <c:pt idx="5974">
                  <c:v>6</c:v>
                </c:pt>
                <c:pt idx="5975">
                  <c:v>6</c:v>
                </c:pt>
                <c:pt idx="5976">
                  <c:v>6</c:v>
                </c:pt>
                <c:pt idx="5977">
                  <c:v>6</c:v>
                </c:pt>
                <c:pt idx="5978">
                  <c:v>6</c:v>
                </c:pt>
                <c:pt idx="5979">
                  <c:v>6</c:v>
                </c:pt>
                <c:pt idx="5980">
                  <c:v>6</c:v>
                </c:pt>
                <c:pt idx="5981">
                  <c:v>6</c:v>
                </c:pt>
                <c:pt idx="5982">
                  <c:v>6</c:v>
                </c:pt>
                <c:pt idx="5983">
                  <c:v>6</c:v>
                </c:pt>
                <c:pt idx="5984">
                  <c:v>6</c:v>
                </c:pt>
                <c:pt idx="5985">
                  <c:v>6</c:v>
                </c:pt>
                <c:pt idx="5986">
                  <c:v>6</c:v>
                </c:pt>
                <c:pt idx="5987">
                  <c:v>6</c:v>
                </c:pt>
                <c:pt idx="5988">
                  <c:v>6</c:v>
                </c:pt>
                <c:pt idx="5989">
                  <c:v>6</c:v>
                </c:pt>
                <c:pt idx="5990">
                  <c:v>6</c:v>
                </c:pt>
                <c:pt idx="5991">
                  <c:v>6</c:v>
                </c:pt>
                <c:pt idx="5992">
                  <c:v>6</c:v>
                </c:pt>
                <c:pt idx="5993">
                  <c:v>6</c:v>
                </c:pt>
                <c:pt idx="5994">
                  <c:v>6</c:v>
                </c:pt>
                <c:pt idx="5995">
                  <c:v>6</c:v>
                </c:pt>
                <c:pt idx="5996">
                  <c:v>6</c:v>
                </c:pt>
                <c:pt idx="5997">
                  <c:v>6</c:v>
                </c:pt>
                <c:pt idx="5998">
                  <c:v>6</c:v>
                </c:pt>
                <c:pt idx="5999">
                  <c:v>6</c:v>
                </c:pt>
                <c:pt idx="6000">
                  <c:v>6</c:v>
                </c:pt>
                <c:pt idx="6001">
                  <c:v>6</c:v>
                </c:pt>
                <c:pt idx="6002">
                  <c:v>6</c:v>
                </c:pt>
                <c:pt idx="6003">
                  <c:v>6</c:v>
                </c:pt>
                <c:pt idx="6004">
                  <c:v>6</c:v>
                </c:pt>
                <c:pt idx="6005">
                  <c:v>6</c:v>
                </c:pt>
                <c:pt idx="6006">
                  <c:v>6</c:v>
                </c:pt>
                <c:pt idx="6007">
                  <c:v>6</c:v>
                </c:pt>
                <c:pt idx="6008">
                  <c:v>6</c:v>
                </c:pt>
                <c:pt idx="6009">
                  <c:v>6</c:v>
                </c:pt>
                <c:pt idx="6010">
                  <c:v>6</c:v>
                </c:pt>
                <c:pt idx="6011">
                  <c:v>6</c:v>
                </c:pt>
                <c:pt idx="6012">
                  <c:v>6</c:v>
                </c:pt>
                <c:pt idx="6013">
                  <c:v>6</c:v>
                </c:pt>
                <c:pt idx="6014">
                  <c:v>6</c:v>
                </c:pt>
                <c:pt idx="6015">
                  <c:v>6</c:v>
                </c:pt>
                <c:pt idx="6016">
                  <c:v>6</c:v>
                </c:pt>
                <c:pt idx="6017">
                  <c:v>6</c:v>
                </c:pt>
                <c:pt idx="6018">
                  <c:v>6</c:v>
                </c:pt>
                <c:pt idx="6019">
                  <c:v>6</c:v>
                </c:pt>
                <c:pt idx="6020">
                  <c:v>6</c:v>
                </c:pt>
                <c:pt idx="6021">
                  <c:v>6</c:v>
                </c:pt>
                <c:pt idx="6022">
                  <c:v>6</c:v>
                </c:pt>
                <c:pt idx="6023">
                  <c:v>6</c:v>
                </c:pt>
                <c:pt idx="6024">
                  <c:v>6</c:v>
                </c:pt>
                <c:pt idx="6025">
                  <c:v>6</c:v>
                </c:pt>
                <c:pt idx="6026">
                  <c:v>6</c:v>
                </c:pt>
                <c:pt idx="6027">
                  <c:v>6</c:v>
                </c:pt>
                <c:pt idx="6028">
                  <c:v>6</c:v>
                </c:pt>
                <c:pt idx="6029">
                  <c:v>6</c:v>
                </c:pt>
                <c:pt idx="6030">
                  <c:v>6</c:v>
                </c:pt>
                <c:pt idx="6031">
                  <c:v>6</c:v>
                </c:pt>
                <c:pt idx="6032">
                  <c:v>6</c:v>
                </c:pt>
                <c:pt idx="6033">
                  <c:v>6</c:v>
                </c:pt>
                <c:pt idx="6034">
                  <c:v>6</c:v>
                </c:pt>
                <c:pt idx="6035">
                  <c:v>6</c:v>
                </c:pt>
                <c:pt idx="6036">
                  <c:v>6</c:v>
                </c:pt>
                <c:pt idx="6037">
                  <c:v>6</c:v>
                </c:pt>
                <c:pt idx="6038">
                  <c:v>6</c:v>
                </c:pt>
                <c:pt idx="6039">
                  <c:v>6</c:v>
                </c:pt>
                <c:pt idx="6040">
                  <c:v>6</c:v>
                </c:pt>
                <c:pt idx="6041">
                  <c:v>6</c:v>
                </c:pt>
                <c:pt idx="6042">
                  <c:v>6</c:v>
                </c:pt>
                <c:pt idx="6043">
                  <c:v>6</c:v>
                </c:pt>
                <c:pt idx="6044">
                  <c:v>6</c:v>
                </c:pt>
                <c:pt idx="6045">
                  <c:v>6</c:v>
                </c:pt>
                <c:pt idx="6046">
                  <c:v>6</c:v>
                </c:pt>
                <c:pt idx="6047">
                  <c:v>6</c:v>
                </c:pt>
                <c:pt idx="6048">
                  <c:v>6</c:v>
                </c:pt>
                <c:pt idx="6049">
                  <c:v>6</c:v>
                </c:pt>
                <c:pt idx="6050">
                  <c:v>6</c:v>
                </c:pt>
                <c:pt idx="6051">
                  <c:v>6</c:v>
                </c:pt>
                <c:pt idx="6052">
                  <c:v>6</c:v>
                </c:pt>
                <c:pt idx="6053">
                  <c:v>6</c:v>
                </c:pt>
                <c:pt idx="6054">
                  <c:v>6</c:v>
                </c:pt>
                <c:pt idx="6055">
                  <c:v>6</c:v>
                </c:pt>
                <c:pt idx="6056">
                  <c:v>6</c:v>
                </c:pt>
                <c:pt idx="6057">
                  <c:v>6</c:v>
                </c:pt>
                <c:pt idx="6058">
                  <c:v>6</c:v>
                </c:pt>
                <c:pt idx="6059">
                  <c:v>6</c:v>
                </c:pt>
                <c:pt idx="6060">
                  <c:v>6</c:v>
                </c:pt>
                <c:pt idx="6061">
                  <c:v>6</c:v>
                </c:pt>
                <c:pt idx="6062">
                  <c:v>6</c:v>
                </c:pt>
                <c:pt idx="6063">
                  <c:v>6</c:v>
                </c:pt>
                <c:pt idx="6064">
                  <c:v>6</c:v>
                </c:pt>
                <c:pt idx="6065">
                  <c:v>6</c:v>
                </c:pt>
                <c:pt idx="6066">
                  <c:v>6</c:v>
                </c:pt>
                <c:pt idx="6067">
                  <c:v>6</c:v>
                </c:pt>
                <c:pt idx="6068">
                  <c:v>6</c:v>
                </c:pt>
                <c:pt idx="6069">
                  <c:v>6</c:v>
                </c:pt>
                <c:pt idx="6070">
                  <c:v>6</c:v>
                </c:pt>
                <c:pt idx="6071">
                  <c:v>6</c:v>
                </c:pt>
                <c:pt idx="6072">
                  <c:v>6</c:v>
                </c:pt>
                <c:pt idx="6073">
                  <c:v>6</c:v>
                </c:pt>
                <c:pt idx="6074">
                  <c:v>6</c:v>
                </c:pt>
                <c:pt idx="6075">
                  <c:v>6</c:v>
                </c:pt>
                <c:pt idx="6076">
                  <c:v>6</c:v>
                </c:pt>
                <c:pt idx="6077">
                  <c:v>6</c:v>
                </c:pt>
                <c:pt idx="6078">
                  <c:v>6</c:v>
                </c:pt>
                <c:pt idx="6079">
                  <c:v>6</c:v>
                </c:pt>
                <c:pt idx="6080">
                  <c:v>6</c:v>
                </c:pt>
                <c:pt idx="6081">
                  <c:v>6</c:v>
                </c:pt>
                <c:pt idx="6082">
                  <c:v>6</c:v>
                </c:pt>
                <c:pt idx="6083">
                  <c:v>6</c:v>
                </c:pt>
                <c:pt idx="6084">
                  <c:v>6</c:v>
                </c:pt>
                <c:pt idx="6085">
                  <c:v>6</c:v>
                </c:pt>
                <c:pt idx="6086">
                  <c:v>6</c:v>
                </c:pt>
                <c:pt idx="6087">
                  <c:v>6</c:v>
                </c:pt>
                <c:pt idx="6088">
                  <c:v>6</c:v>
                </c:pt>
                <c:pt idx="6089">
                  <c:v>6</c:v>
                </c:pt>
                <c:pt idx="6090">
                  <c:v>6</c:v>
                </c:pt>
                <c:pt idx="6091">
                  <c:v>6</c:v>
                </c:pt>
                <c:pt idx="6092">
                  <c:v>6</c:v>
                </c:pt>
                <c:pt idx="6093">
                  <c:v>6</c:v>
                </c:pt>
                <c:pt idx="6094">
                  <c:v>6</c:v>
                </c:pt>
                <c:pt idx="6095">
                  <c:v>6</c:v>
                </c:pt>
                <c:pt idx="6096">
                  <c:v>6</c:v>
                </c:pt>
                <c:pt idx="6097">
                  <c:v>6</c:v>
                </c:pt>
                <c:pt idx="6098">
                  <c:v>6</c:v>
                </c:pt>
                <c:pt idx="6099">
                  <c:v>6</c:v>
                </c:pt>
                <c:pt idx="6100">
                  <c:v>6</c:v>
                </c:pt>
                <c:pt idx="6101">
                  <c:v>6</c:v>
                </c:pt>
                <c:pt idx="6102">
                  <c:v>6</c:v>
                </c:pt>
                <c:pt idx="6103">
                  <c:v>6</c:v>
                </c:pt>
                <c:pt idx="6104">
                  <c:v>6</c:v>
                </c:pt>
                <c:pt idx="6105">
                  <c:v>6</c:v>
                </c:pt>
                <c:pt idx="6643">
                  <c:v>7</c:v>
                </c:pt>
                <c:pt idx="6644">
                  <c:v>7</c:v>
                </c:pt>
                <c:pt idx="6645">
                  <c:v>7</c:v>
                </c:pt>
                <c:pt idx="6646">
                  <c:v>7</c:v>
                </c:pt>
                <c:pt idx="6647">
                  <c:v>7</c:v>
                </c:pt>
                <c:pt idx="6648">
                  <c:v>7</c:v>
                </c:pt>
                <c:pt idx="6649">
                  <c:v>7</c:v>
                </c:pt>
                <c:pt idx="6650">
                  <c:v>7</c:v>
                </c:pt>
                <c:pt idx="6651">
                  <c:v>7</c:v>
                </c:pt>
                <c:pt idx="6652">
                  <c:v>7</c:v>
                </c:pt>
                <c:pt idx="6653">
                  <c:v>7</c:v>
                </c:pt>
                <c:pt idx="6654">
                  <c:v>7</c:v>
                </c:pt>
                <c:pt idx="6655">
                  <c:v>7</c:v>
                </c:pt>
                <c:pt idx="6656">
                  <c:v>7</c:v>
                </c:pt>
                <c:pt idx="6657">
                  <c:v>7</c:v>
                </c:pt>
                <c:pt idx="6658">
                  <c:v>7</c:v>
                </c:pt>
                <c:pt idx="6659">
                  <c:v>7</c:v>
                </c:pt>
                <c:pt idx="6660">
                  <c:v>7</c:v>
                </c:pt>
                <c:pt idx="6661">
                  <c:v>7</c:v>
                </c:pt>
                <c:pt idx="6662">
                  <c:v>7</c:v>
                </c:pt>
                <c:pt idx="6663">
                  <c:v>7</c:v>
                </c:pt>
                <c:pt idx="6664">
                  <c:v>7</c:v>
                </c:pt>
                <c:pt idx="6665">
                  <c:v>7</c:v>
                </c:pt>
                <c:pt idx="6666">
                  <c:v>7</c:v>
                </c:pt>
                <c:pt idx="6667">
                  <c:v>7</c:v>
                </c:pt>
                <c:pt idx="6668">
                  <c:v>7</c:v>
                </c:pt>
                <c:pt idx="6669">
                  <c:v>7</c:v>
                </c:pt>
                <c:pt idx="6670">
                  <c:v>7</c:v>
                </c:pt>
                <c:pt idx="6671">
                  <c:v>7</c:v>
                </c:pt>
                <c:pt idx="6672">
                  <c:v>7</c:v>
                </c:pt>
                <c:pt idx="6673">
                  <c:v>7</c:v>
                </c:pt>
                <c:pt idx="6674">
                  <c:v>7</c:v>
                </c:pt>
                <c:pt idx="6675">
                  <c:v>7</c:v>
                </c:pt>
                <c:pt idx="6676">
                  <c:v>7</c:v>
                </c:pt>
                <c:pt idx="6677">
                  <c:v>7</c:v>
                </c:pt>
                <c:pt idx="6678">
                  <c:v>7</c:v>
                </c:pt>
                <c:pt idx="6679">
                  <c:v>7</c:v>
                </c:pt>
                <c:pt idx="6680">
                  <c:v>7</c:v>
                </c:pt>
                <c:pt idx="6681">
                  <c:v>7</c:v>
                </c:pt>
                <c:pt idx="6682">
                  <c:v>7</c:v>
                </c:pt>
                <c:pt idx="6683">
                  <c:v>7</c:v>
                </c:pt>
                <c:pt idx="6684">
                  <c:v>7</c:v>
                </c:pt>
                <c:pt idx="6685">
                  <c:v>7</c:v>
                </c:pt>
                <c:pt idx="6686">
                  <c:v>7</c:v>
                </c:pt>
                <c:pt idx="6687">
                  <c:v>7</c:v>
                </c:pt>
                <c:pt idx="6688">
                  <c:v>7</c:v>
                </c:pt>
                <c:pt idx="6689">
                  <c:v>7</c:v>
                </c:pt>
                <c:pt idx="6690">
                  <c:v>7</c:v>
                </c:pt>
                <c:pt idx="6691">
                  <c:v>7</c:v>
                </c:pt>
                <c:pt idx="6692">
                  <c:v>7</c:v>
                </c:pt>
                <c:pt idx="6693">
                  <c:v>7</c:v>
                </c:pt>
                <c:pt idx="6694">
                  <c:v>7</c:v>
                </c:pt>
                <c:pt idx="6695">
                  <c:v>7</c:v>
                </c:pt>
                <c:pt idx="6696">
                  <c:v>7</c:v>
                </c:pt>
                <c:pt idx="6697">
                  <c:v>7</c:v>
                </c:pt>
                <c:pt idx="6698">
                  <c:v>7</c:v>
                </c:pt>
                <c:pt idx="6699">
                  <c:v>7</c:v>
                </c:pt>
                <c:pt idx="6700">
                  <c:v>7</c:v>
                </c:pt>
                <c:pt idx="6701">
                  <c:v>7</c:v>
                </c:pt>
                <c:pt idx="6702">
                  <c:v>7</c:v>
                </c:pt>
                <c:pt idx="6703">
                  <c:v>7</c:v>
                </c:pt>
                <c:pt idx="6704">
                  <c:v>7</c:v>
                </c:pt>
                <c:pt idx="6705">
                  <c:v>7</c:v>
                </c:pt>
                <c:pt idx="6706">
                  <c:v>7</c:v>
                </c:pt>
                <c:pt idx="6707">
                  <c:v>7</c:v>
                </c:pt>
                <c:pt idx="6708">
                  <c:v>7</c:v>
                </c:pt>
                <c:pt idx="6709">
                  <c:v>7</c:v>
                </c:pt>
                <c:pt idx="6710">
                  <c:v>7</c:v>
                </c:pt>
                <c:pt idx="6711">
                  <c:v>7</c:v>
                </c:pt>
                <c:pt idx="6712">
                  <c:v>7</c:v>
                </c:pt>
                <c:pt idx="6713">
                  <c:v>7</c:v>
                </c:pt>
                <c:pt idx="6714">
                  <c:v>7</c:v>
                </c:pt>
                <c:pt idx="6715">
                  <c:v>7</c:v>
                </c:pt>
                <c:pt idx="6716">
                  <c:v>7</c:v>
                </c:pt>
                <c:pt idx="6717">
                  <c:v>7</c:v>
                </c:pt>
                <c:pt idx="6718">
                  <c:v>7</c:v>
                </c:pt>
                <c:pt idx="6719">
                  <c:v>7</c:v>
                </c:pt>
                <c:pt idx="6720">
                  <c:v>7</c:v>
                </c:pt>
                <c:pt idx="6721">
                  <c:v>7</c:v>
                </c:pt>
                <c:pt idx="6722">
                  <c:v>7</c:v>
                </c:pt>
                <c:pt idx="6723">
                  <c:v>7</c:v>
                </c:pt>
                <c:pt idx="6724">
                  <c:v>7</c:v>
                </c:pt>
                <c:pt idx="6725">
                  <c:v>7</c:v>
                </c:pt>
                <c:pt idx="6726">
                  <c:v>7</c:v>
                </c:pt>
                <c:pt idx="6727">
                  <c:v>7</c:v>
                </c:pt>
                <c:pt idx="6728">
                  <c:v>7</c:v>
                </c:pt>
                <c:pt idx="6729">
                  <c:v>7</c:v>
                </c:pt>
                <c:pt idx="6730">
                  <c:v>7</c:v>
                </c:pt>
                <c:pt idx="6731">
                  <c:v>7</c:v>
                </c:pt>
                <c:pt idx="6732">
                  <c:v>7</c:v>
                </c:pt>
                <c:pt idx="6733">
                  <c:v>7</c:v>
                </c:pt>
                <c:pt idx="6734">
                  <c:v>7</c:v>
                </c:pt>
                <c:pt idx="6735">
                  <c:v>7</c:v>
                </c:pt>
                <c:pt idx="6736">
                  <c:v>7</c:v>
                </c:pt>
                <c:pt idx="6737">
                  <c:v>7</c:v>
                </c:pt>
                <c:pt idx="6738">
                  <c:v>7</c:v>
                </c:pt>
                <c:pt idx="6739">
                  <c:v>7</c:v>
                </c:pt>
                <c:pt idx="6740">
                  <c:v>7</c:v>
                </c:pt>
                <c:pt idx="6741">
                  <c:v>7</c:v>
                </c:pt>
                <c:pt idx="6742">
                  <c:v>7</c:v>
                </c:pt>
                <c:pt idx="6743">
                  <c:v>7</c:v>
                </c:pt>
                <c:pt idx="6744">
                  <c:v>7</c:v>
                </c:pt>
                <c:pt idx="6745">
                  <c:v>7</c:v>
                </c:pt>
                <c:pt idx="6746">
                  <c:v>7</c:v>
                </c:pt>
                <c:pt idx="6747">
                  <c:v>7</c:v>
                </c:pt>
                <c:pt idx="6748">
                  <c:v>7</c:v>
                </c:pt>
                <c:pt idx="6749">
                  <c:v>7</c:v>
                </c:pt>
                <c:pt idx="6750">
                  <c:v>7</c:v>
                </c:pt>
                <c:pt idx="6751">
                  <c:v>7</c:v>
                </c:pt>
                <c:pt idx="6752">
                  <c:v>7</c:v>
                </c:pt>
                <c:pt idx="6753">
                  <c:v>7</c:v>
                </c:pt>
                <c:pt idx="6754">
                  <c:v>7</c:v>
                </c:pt>
                <c:pt idx="6755">
                  <c:v>7</c:v>
                </c:pt>
                <c:pt idx="6756">
                  <c:v>7</c:v>
                </c:pt>
                <c:pt idx="6757">
                  <c:v>7</c:v>
                </c:pt>
                <c:pt idx="6758">
                  <c:v>7</c:v>
                </c:pt>
                <c:pt idx="6759">
                  <c:v>7</c:v>
                </c:pt>
                <c:pt idx="6760">
                  <c:v>7</c:v>
                </c:pt>
                <c:pt idx="6761">
                  <c:v>7</c:v>
                </c:pt>
                <c:pt idx="6762">
                  <c:v>7</c:v>
                </c:pt>
                <c:pt idx="6763">
                  <c:v>7</c:v>
                </c:pt>
                <c:pt idx="6764">
                  <c:v>7</c:v>
                </c:pt>
                <c:pt idx="6765">
                  <c:v>7</c:v>
                </c:pt>
                <c:pt idx="6766">
                  <c:v>7</c:v>
                </c:pt>
                <c:pt idx="6767">
                  <c:v>7</c:v>
                </c:pt>
                <c:pt idx="6768">
                  <c:v>7</c:v>
                </c:pt>
                <c:pt idx="6769">
                  <c:v>7</c:v>
                </c:pt>
                <c:pt idx="6770">
                  <c:v>7</c:v>
                </c:pt>
                <c:pt idx="6771">
                  <c:v>7</c:v>
                </c:pt>
                <c:pt idx="6772">
                  <c:v>7</c:v>
                </c:pt>
                <c:pt idx="6773">
                  <c:v>7</c:v>
                </c:pt>
                <c:pt idx="6774">
                  <c:v>7</c:v>
                </c:pt>
                <c:pt idx="6775">
                  <c:v>7</c:v>
                </c:pt>
                <c:pt idx="6776">
                  <c:v>7</c:v>
                </c:pt>
                <c:pt idx="6777">
                  <c:v>7</c:v>
                </c:pt>
                <c:pt idx="6778">
                  <c:v>7</c:v>
                </c:pt>
                <c:pt idx="6779">
                  <c:v>7</c:v>
                </c:pt>
                <c:pt idx="6780">
                  <c:v>7</c:v>
                </c:pt>
                <c:pt idx="6781">
                  <c:v>7</c:v>
                </c:pt>
                <c:pt idx="6782">
                  <c:v>7</c:v>
                </c:pt>
                <c:pt idx="6783">
                  <c:v>7</c:v>
                </c:pt>
                <c:pt idx="6784">
                  <c:v>7</c:v>
                </c:pt>
                <c:pt idx="6785">
                  <c:v>7</c:v>
                </c:pt>
                <c:pt idx="6786">
                  <c:v>7</c:v>
                </c:pt>
                <c:pt idx="6787">
                  <c:v>7</c:v>
                </c:pt>
                <c:pt idx="7058">
                  <c:v>8</c:v>
                </c:pt>
                <c:pt idx="7059">
                  <c:v>8</c:v>
                </c:pt>
                <c:pt idx="7060">
                  <c:v>8</c:v>
                </c:pt>
                <c:pt idx="7061">
                  <c:v>8</c:v>
                </c:pt>
                <c:pt idx="7062">
                  <c:v>8</c:v>
                </c:pt>
                <c:pt idx="7063">
                  <c:v>8</c:v>
                </c:pt>
                <c:pt idx="7064">
                  <c:v>8</c:v>
                </c:pt>
                <c:pt idx="7065">
                  <c:v>8</c:v>
                </c:pt>
                <c:pt idx="7066">
                  <c:v>8</c:v>
                </c:pt>
                <c:pt idx="7067">
                  <c:v>8</c:v>
                </c:pt>
                <c:pt idx="7068">
                  <c:v>8</c:v>
                </c:pt>
                <c:pt idx="7069">
                  <c:v>8</c:v>
                </c:pt>
                <c:pt idx="7070">
                  <c:v>8</c:v>
                </c:pt>
                <c:pt idx="7071">
                  <c:v>8</c:v>
                </c:pt>
                <c:pt idx="7072">
                  <c:v>8</c:v>
                </c:pt>
                <c:pt idx="7073">
                  <c:v>8</c:v>
                </c:pt>
                <c:pt idx="7074">
                  <c:v>8</c:v>
                </c:pt>
                <c:pt idx="7075">
                  <c:v>8</c:v>
                </c:pt>
                <c:pt idx="7076">
                  <c:v>8</c:v>
                </c:pt>
                <c:pt idx="7077">
                  <c:v>8</c:v>
                </c:pt>
                <c:pt idx="7078">
                  <c:v>8</c:v>
                </c:pt>
                <c:pt idx="7079">
                  <c:v>8</c:v>
                </c:pt>
                <c:pt idx="7080">
                  <c:v>8</c:v>
                </c:pt>
                <c:pt idx="7081">
                  <c:v>8</c:v>
                </c:pt>
                <c:pt idx="7082">
                  <c:v>8</c:v>
                </c:pt>
                <c:pt idx="7083">
                  <c:v>8</c:v>
                </c:pt>
                <c:pt idx="7084">
                  <c:v>8</c:v>
                </c:pt>
                <c:pt idx="7085">
                  <c:v>8</c:v>
                </c:pt>
                <c:pt idx="7086">
                  <c:v>8</c:v>
                </c:pt>
                <c:pt idx="7087">
                  <c:v>8</c:v>
                </c:pt>
                <c:pt idx="7088">
                  <c:v>8</c:v>
                </c:pt>
                <c:pt idx="7089">
                  <c:v>8</c:v>
                </c:pt>
                <c:pt idx="7090">
                  <c:v>8</c:v>
                </c:pt>
                <c:pt idx="7091">
                  <c:v>8</c:v>
                </c:pt>
                <c:pt idx="7092">
                  <c:v>8</c:v>
                </c:pt>
                <c:pt idx="7093">
                  <c:v>8</c:v>
                </c:pt>
                <c:pt idx="7094">
                  <c:v>8</c:v>
                </c:pt>
                <c:pt idx="7095">
                  <c:v>8</c:v>
                </c:pt>
                <c:pt idx="7096">
                  <c:v>8</c:v>
                </c:pt>
                <c:pt idx="7097">
                  <c:v>8</c:v>
                </c:pt>
                <c:pt idx="7098">
                  <c:v>8</c:v>
                </c:pt>
                <c:pt idx="7099">
                  <c:v>8</c:v>
                </c:pt>
                <c:pt idx="7100">
                  <c:v>8</c:v>
                </c:pt>
                <c:pt idx="7101">
                  <c:v>8</c:v>
                </c:pt>
                <c:pt idx="7102">
                  <c:v>8</c:v>
                </c:pt>
                <c:pt idx="7103">
                  <c:v>8</c:v>
                </c:pt>
                <c:pt idx="7104">
                  <c:v>8</c:v>
                </c:pt>
                <c:pt idx="7105">
                  <c:v>8</c:v>
                </c:pt>
                <c:pt idx="7106">
                  <c:v>8</c:v>
                </c:pt>
                <c:pt idx="7107">
                  <c:v>8</c:v>
                </c:pt>
                <c:pt idx="7108">
                  <c:v>8</c:v>
                </c:pt>
                <c:pt idx="7109">
                  <c:v>8</c:v>
                </c:pt>
                <c:pt idx="7110">
                  <c:v>8</c:v>
                </c:pt>
                <c:pt idx="7111">
                  <c:v>8</c:v>
                </c:pt>
                <c:pt idx="711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5D-4C9A-ADD2-10FA57F1F1FF}"/>
            </c:ext>
          </c:extLst>
        </c:ser>
        <c:ser>
          <c:idx val="3"/>
          <c:order val="3"/>
          <c:tx>
            <c:v>F4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transpose!$E$2:$E$7653</c:f>
              <c:numCache>
                <c:formatCode>General</c:formatCode>
                <c:ptCount val="7652"/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3202">
                  <c:v>4</c:v>
                </c:pt>
                <c:pt idx="3203">
                  <c:v>4</c:v>
                </c:pt>
                <c:pt idx="3204">
                  <c:v>4</c:v>
                </c:pt>
                <c:pt idx="3205">
                  <c:v>4</c:v>
                </c:pt>
                <c:pt idx="3206">
                  <c:v>4</c:v>
                </c:pt>
                <c:pt idx="3207">
                  <c:v>4</c:v>
                </c:pt>
                <c:pt idx="3208">
                  <c:v>4</c:v>
                </c:pt>
                <c:pt idx="3209">
                  <c:v>4</c:v>
                </c:pt>
                <c:pt idx="3210">
                  <c:v>4</c:v>
                </c:pt>
                <c:pt idx="3211">
                  <c:v>4</c:v>
                </c:pt>
                <c:pt idx="3212">
                  <c:v>4</c:v>
                </c:pt>
                <c:pt idx="3213">
                  <c:v>4</c:v>
                </c:pt>
                <c:pt idx="3214">
                  <c:v>4</c:v>
                </c:pt>
                <c:pt idx="3215">
                  <c:v>4</c:v>
                </c:pt>
                <c:pt idx="3216">
                  <c:v>4</c:v>
                </c:pt>
                <c:pt idx="3217">
                  <c:v>4</c:v>
                </c:pt>
                <c:pt idx="3218">
                  <c:v>4</c:v>
                </c:pt>
                <c:pt idx="3219">
                  <c:v>4</c:v>
                </c:pt>
                <c:pt idx="3220">
                  <c:v>4</c:v>
                </c:pt>
                <c:pt idx="3221">
                  <c:v>4</c:v>
                </c:pt>
                <c:pt idx="3222">
                  <c:v>4</c:v>
                </c:pt>
                <c:pt idx="3223">
                  <c:v>4</c:v>
                </c:pt>
                <c:pt idx="3224">
                  <c:v>4</c:v>
                </c:pt>
                <c:pt idx="3225">
                  <c:v>4</c:v>
                </c:pt>
                <c:pt idx="3226">
                  <c:v>4</c:v>
                </c:pt>
                <c:pt idx="3227">
                  <c:v>4</c:v>
                </c:pt>
                <c:pt idx="3228">
                  <c:v>4</c:v>
                </c:pt>
                <c:pt idx="3229">
                  <c:v>4</c:v>
                </c:pt>
                <c:pt idx="3230">
                  <c:v>4</c:v>
                </c:pt>
                <c:pt idx="3231">
                  <c:v>4</c:v>
                </c:pt>
                <c:pt idx="3232">
                  <c:v>4</c:v>
                </c:pt>
                <c:pt idx="3233">
                  <c:v>4</c:v>
                </c:pt>
                <c:pt idx="3234">
                  <c:v>4</c:v>
                </c:pt>
                <c:pt idx="3235">
                  <c:v>4</c:v>
                </c:pt>
                <c:pt idx="3236">
                  <c:v>4</c:v>
                </c:pt>
                <c:pt idx="3237">
                  <c:v>4</c:v>
                </c:pt>
                <c:pt idx="3238">
                  <c:v>4</c:v>
                </c:pt>
                <c:pt idx="3239">
                  <c:v>4</c:v>
                </c:pt>
                <c:pt idx="3240">
                  <c:v>4</c:v>
                </c:pt>
                <c:pt idx="3241">
                  <c:v>4</c:v>
                </c:pt>
                <c:pt idx="3242">
                  <c:v>4</c:v>
                </c:pt>
                <c:pt idx="3243">
                  <c:v>4</c:v>
                </c:pt>
                <c:pt idx="3244">
                  <c:v>4</c:v>
                </c:pt>
                <c:pt idx="3245">
                  <c:v>4</c:v>
                </c:pt>
                <c:pt idx="3246">
                  <c:v>4</c:v>
                </c:pt>
                <c:pt idx="3247">
                  <c:v>4</c:v>
                </c:pt>
                <c:pt idx="3248">
                  <c:v>4</c:v>
                </c:pt>
                <c:pt idx="3249">
                  <c:v>4</c:v>
                </c:pt>
                <c:pt idx="3250">
                  <c:v>4</c:v>
                </c:pt>
                <c:pt idx="3251">
                  <c:v>4</c:v>
                </c:pt>
                <c:pt idx="3252">
                  <c:v>4</c:v>
                </c:pt>
                <c:pt idx="3253">
                  <c:v>4</c:v>
                </c:pt>
                <c:pt idx="3254">
                  <c:v>4</c:v>
                </c:pt>
                <c:pt idx="3255">
                  <c:v>4</c:v>
                </c:pt>
                <c:pt idx="3256">
                  <c:v>4</c:v>
                </c:pt>
                <c:pt idx="3257">
                  <c:v>4</c:v>
                </c:pt>
                <c:pt idx="3258">
                  <c:v>4</c:v>
                </c:pt>
                <c:pt idx="3259">
                  <c:v>4</c:v>
                </c:pt>
                <c:pt idx="3260">
                  <c:v>4</c:v>
                </c:pt>
                <c:pt idx="3261">
                  <c:v>4</c:v>
                </c:pt>
                <c:pt idx="3262">
                  <c:v>4</c:v>
                </c:pt>
                <c:pt idx="3263">
                  <c:v>4</c:v>
                </c:pt>
                <c:pt idx="3264">
                  <c:v>4</c:v>
                </c:pt>
                <c:pt idx="3265">
                  <c:v>4</c:v>
                </c:pt>
                <c:pt idx="3266">
                  <c:v>4</c:v>
                </c:pt>
                <c:pt idx="3267">
                  <c:v>4</c:v>
                </c:pt>
                <c:pt idx="3268">
                  <c:v>4</c:v>
                </c:pt>
                <c:pt idx="3269">
                  <c:v>4</c:v>
                </c:pt>
                <c:pt idx="3270">
                  <c:v>4</c:v>
                </c:pt>
                <c:pt idx="3271">
                  <c:v>4</c:v>
                </c:pt>
                <c:pt idx="3272">
                  <c:v>4</c:v>
                </c:pt>
                <c:pt idx="3273">
                  <c:v>4</c:v>
                </c:pt>
                <c:pt idx="3274">
                  <c:v>4</c:v>
                </c:pt>
                <c:pt idx="3275">
                  <c:v>4</c:v>
                </c:pt>
                <c:pt idx="3276">
                  <c:v>4</c:v>
                </c:pt>
                <c:pt idx="3277">
                  <c:v>4</c:v>
                </c:pt>
                <c:pt idx="3278">
                  <c:v>4</c:v>
                </c:pt>
                <c:pt idx="3279">
                  <c:v>4</c:v>
                </c:pt>
                <c:pt idx="3280">
                  <c:v>4</c:v>
                </c:pt>
                <c:pt idx="3281">
                  <c:v>4</c:v>
                </c:pt>
                <c:pt idx="3282">
                  <c:v>4</c:v>
                </c:pt>
                <c:pt idx="3283">
                  <c:v>4</c:v>
                </c:pt>
                <c:pt idx="3284">
                  <c:v>4</c:v>
                </c:pt>
                <c:pt idx="3285">
                  <c:v>4</c:v>
                </c:pt>
                <c:pt idx="3286">
                  <c:v>4</c:v>
                </c:pt>
                <c:pt idx="3287">
                  <c:v>4</c:v>
                </c:pt>
                <c:pt idx="3288">
                  <c:v>4</c:v>
                </c:pt>
                <c:pt idx="3289">
                  <c:v>4</c:v>
                </c:pt>
                <c:pt idx="3290">
                  <c:v>4</c:v>
                </c:pt>
                <c:pt idx="3291">
                  <c:v>4</c:v>
                </c:pt>
                <c:pt idx="3292">
                  <c:v>4</c:v>
                </c:pt>
                <c:pt idx="3293">
                  <c:v>4</c:v>
                </c:pt>
                <c:pt idx="3294">
                  <c:v>4</c:v>
                </c:pt>
                <c:pt idx="3295">
                  <c:v>4</c:v>
                </c:pt>
                <c:pt idx="3296">
                  <c:v>4</c:v>
                </c:pt>
                <c:pt idx="3297">
                  <c:v>4</c:v>
                </c:pt>
                <c:pt idx="3298">
                  <c:v>4</c:v>
                </c:pt>
                <c:pt idx="3299">
                  <c:v>4</c:v>
                </c:pt>
                <c:pt idx="3300">
                  <c:v>4</c:v>
                </c:pt>
                <c:pt idx="3301">
                  <c:v>4</c:v>
                </c:pt>
                <c:pt idx="3302">
                  <c:v>4</c:v>
                </c:pt>
                <c:pt idx="3303">
                  <c:v>4</c:v>
                </c:pt>
                <c:pt idx="3304">
                  <c:v>4</c:v>
                </c:pt>
                <c:pt idx="3305">
                  <c:v>4</c:v>
                </c:pt>
                <c:pt idx="3306">
                  <c:v>4</c:v>
                </c:pt>
                <c:pt idx="3307">
                  <c:v>4</c:v>
                </c:pt>
                <c:pt idx="3308">
                  <c:v>4</c:v>
                </c:pt>
                <c:pt idx="3309">
                  <c:v>4</c:v>
                </c:pt>
                <c:pt idx="3310">
                  <c:v>4</c:v>
                </c:pt>
                <c:pt idx="3311">
                  <c:v>4</c:v>
                </c:pt>
                <c:pt idx="3312">
                  <c:v>4</c:v>
                </c:pt>
                <c:pt idx="3313">
                  <c:v>4</c:v>
                </c:pt>
                <c:pt idx="3314">
                  <c:v>4</c:v>
                </c:pt>
                <c:pt idx="3315">
                  <c:v>4</c:v>
                </c:pt>
                <c:pt idx="3316">
                  <c:v>4</c:v>
                </c:pt>
                <c:pt idx="3317">
                  <c:v>4</c:v>
                </c:pt>
                <c:pt idx="3318">
                  <c:v>4</c:v>
                </c:pt>
                <c:pt idx="3319">
                  <c:v>4</c:v>
                </c:pt>
                <c:pt idx="3320">
                  <c:v>4</c:v>
                </c:pt>
                <c:pt idx="3321">
                  <c:v>4</c:v>
                </c:pt>
                <c:pt idx="3322">
                  <c:v>4</c:v>
                </c:pt>
                <c:pt idx="3323">
                  <c:v>4</c:v>
                </c:pt>
                <c:pt idx="3324">
                  <c:v>4</c:v>
                </c:pt>
                <c:pt idx="3325">
                  <c:v>4</c:v>
                </c:pt>
                <c:pt idx="3326">
                  <c:v>4</c:v>
                </c:pt>
                <c:pt idx="3327">
                  <c:v>4</c:v>
                </c:pt>
                <c:pt idx="3328">
                  <c:v>4</c:v>
                </c:pt>
                <c:pt idx="3329">
                  <c:v>4</c:v>
                </c:pt>
                <c:pt idx="3330">
                  <c:v>4</c:v>
                </c:pt>
                <c:pt idx="3331">
                  <c:v>4</c:v>
                </c:pt>
                <c:pt idx="3332">
                  <c:v>4</c:v>
                </c:pt>
                <c:pt idx="3333">
                  <c:v>4</c:v>
                </c:pt>
                <c:pt idx="3334">
                  <c:v>4</c:v>
                </c:pt>
                <c:pt idx="3335">
                  <c:v>4</c:v>
                </c:pt>
                <c:pt idx="3336">
                  <c:v>4</c:v>
                </c:pt>
                <c:pt idx="3337">
                  <c:v>4</c:v>
                </c:pt>
                <c:pt idx="3338">
                  <c:v>4</c:v>
                </c:pt>
                <c:pt idx="3339">
                  <c:v>4</c:v>
                </c:pt>
                <c:pt idx="3340">
                  <c:v>4</c:v>
                </c:pt>
                <c:pt idx="3341">
                  <c:v>4</c:v>
                </c:pt>
                <c:pt idx="3342">
                  <c:v>4</c:v>
                </c:pt>
                <c:pt idx="3343">
                  <c:v>4</c:v>
                </c:pt>
                <c:pt idx="3344">
                  <c:v>4</c:v>
                </c:pt>
                <c:pt idx="3345">
                  <c:v>4</c:v>
                </c:pt>
                <c:pt idx="3346">
                  <c:v>4</c:v>
                </c:pt>
                <c:pt idx="3347">
                  <c:v>4</c:v>
                </c:pt>
                <c:pt idx="3348">
                  <c:v>4</c:v>
                </c:pt>
                <c:pt idx="3349">
                  <c:v>4</c:v>
                </c:pt>
                <c:pt idx="3350">
                  <c:v>4</c:v>
                </c:pt>
                <c:pt idx="3351">
                  <c:v>4</c:v>
                </c:pt>
                <c:pt idx="3352">
                  <c:v>4</c:v>
                </c:pt>
                <c:pt idx="3353">
                  <c:v>4</c:v>
                </c:pt>
                <c:pt idx="3354">
                  <c:v>4</c:v>
                </c:pt>
                <c:pt idx="3355">
                  <c:v>4</c:v>
                </c:pt>
                <c:pt idx="3356">
                  <c:v>4</c:v>
                </c:pt>
                <c:pt idx="3357">
                  <c:v>4</c:v>
                </c:pt>
                <c:pt idx="3358">
                  <c:v>4</c:v>
                </c:pt>
                <c:pt idx="3359">
                  <c:v>4</c:v>
                </c:pt>
                <c:pt idx="3360">
                  <c:v>4</c:v>
                </c:pt>
                <c:pt idx="3361">
                  <c:v>4</c:v>
                </c:pt>
                <c:pt idx="3362">
                  <c:v>4</c:v>
                </c:pt>
                <c:pt idx="3363">
                  <c:v>4</c:v>
                </c:pt>
                <c:pt idx="3364">
                  <c:v>4</c:v>
                </c:pt>
                <c:pt idx="3365">
                  <c:v>4</c:v>
                </c:pt>
                <c:pt idx="3366">
                  <c:v>4</c:v>
                </c:pt>
                <c:pt idx="3367">
                  <c:v>4</c:v>
                </c:pt>
                <c:pt idx="3368">
                  <c:v>4</c:v>
                </c:pt>
                <c:pt idx="3369">
                  <c:v>4</c:v>
                </c:pt>
                <c:pt idx="3370">
                  <c:v>4</c:v>
                </c:pt>
                <c:pt idx="3371">
                  <c:v>4</c:v>
                </c:pt>
                <c:pt idx="3372">
                  <c:v>4</c:v>
                </c:pt>
                <c:pt idx="3951">
                  <c:v>5</c:v>
                </c:pt>
                <c:pt idx="3952">
                  <c:v>5</c:v>
                </c:pt>
                <c:pt idx="3953">
                  <c:v>5</c:v>
                </c:pt>
                <c:pt idx="3954">
                  <c:v>5</c:v>
                </c:pt>
                <c:pt idx="3955">
                  <c:v>5</c:v>
                </c:pt>
                <c:pt idx="3956">
                  <c:v>5</c:v>
                </c:pt>
                <c:pt idx="3957">
                  <c:v>5</c:v>
                </c:pt>
                <c:pt idx="3958">
                  <c:v>5</c:v>
                </c:pt>
                <c:pt idx="3959">
                  <c:v>5</c:v>
                </c:pt>
                <c:pt idx="3960">
                  <c:v>5</c:v>
                </c:pt>
                <c:pt idx="3961">
                  <c:v>5</c:v>
                </c:pt>
                <c:pt idx="3962">
                  <c:v>5</c:v>
                </c:pt>
                <c:pt idx="3963">
                  <c:v>5</c:v>
                </c:pt>
                <c:pt idx="3964">
                  <c:v>5</c:v>
                </c:pt>
                <c:pt idx="3965">
                  <c:v>5</c:v>
                </c:pt>
                <c:pt idx="3966">
                  <c:v>5</c:v>
                </c:pt>
                <c:pt idx="3967">
                  <c:v>5</c:v>
                </c:pt>
                <c:pt idx="3968">
                  <c:v>5</c:v>
                </c:pt>
                <c:pt idx="3969">
                  <c:v>5</c:v>
                </c:pt>
                <c:pt idx="3970">
                  <c:v>5</c:v>
                </c:pt>
                <c:pt idx="3971">
                  <c:v>5</c:v>
                </c:pt>
                <c:pt idx="3972">
                  <c:v>5</c:v>
                </c:pt>
                <c:pt idx="3973">
                  <c:v>5</c:v>
                </c:pt>
                <c:pt idx="3974">
                  <c:v>5</c:v>
                </c:pt>
                <c:pt idx="3975">
                  <c:v>5</c:v>
                </c:pt>
                <c:pt idx="3976">
                  <c:v>5</c:v>
                </c:pt>
                <c:pt idx="3977">
                  <c:v>5</c:v>
                </c:pt>
                <c:pt idx="3978">
                  <c:v>5</c:v>
                </c:pt>
                <c:pt idx="3979">
                  <c:v>5</c:v>
                </c:pt>
                <c:pt idx="3980">
                  <c:v>5</c:v>
                </c:pt>
                <c:pt idx="3981">
                  <c:v>5</c:v>
                </c:pt>
                <c:pt idx="3982">
                  <c:v>5</c:v>
                </c:pt>
                <c:pt idx="3983">
                  <c:v>5</c:v>
                </c:pt>
                <c:pt idx="3984">
                  <c:v>5</c:v>
                </c:pt>
                <c:pt idx="3985">
                  <c:v>5</c:v>
                </c:pt>
                <c:pt idx="3986">
                  <c:v>5</c:v>
                </c:pt>
                <c:pt idx="3987">
                  <c:v>5</c:v>
                </c:pt>
                <c:pt idx="3988">
                  <c:v>5</c:v>
                </c:pt>
                <c:pt idx="3989">
                  <c:v>5</c:v>
                </c:pt>
                <c:pt idx="3990">
                  <c:v>5</c:v>
                </c:pt>
                <c:pt idx="3991">
                  <c:v>5</c:v>
                </c:pt>
                <c:pt idx="3992">
                  <c:v>5</c:v>
                </c:pt>
                <c:pt idx="3993">
                  <c:v>5</c:v>
                </c:pt>
                <c:pt idx="3994">
                  <c:v>5</c:v>
                </c:pt>
                <c:pt idx="3995">
                  <c:v>5</c:v>
                </c:pt>
                <c:pt idx="3996">
                  <c:v>5</c:v>
                </c:pt>
                <c:pt idx="3997">
                  <c:v>5</c:v>
                </c:pt>
                <c:pt idx="3998">
                  <c:v>5</c:v>
                </c:pt>
                <c:pt idx="3999">
                  <c:v>5</c:v>
                </c:pt>
                <c:pt idx="4000">
                  <c:v>5</c:v>
                </c:pt>
                <c:pt idx="4001">
                  <c:v>5</c:v>
                </c:pt>
                <c:pt idx="4002">
                  <c:v>5</c:v>
                </c:pt>
                <c:pt idx="4003">
                  <c:v>5</c:v>
                </c:pt>
                <c:pt idx="4004">
                  <c:v>5</c:v>
                </c:pt>
                <c:pt idx="4005">
                  <c:v>5</c:v>
                </c:pt>
                <c:pt idx="4006">
                  <c:v>5</c:v>
                </c:pt>
                <c:pt idx="4007">
                  <c:v>5</c:v>
                </c:pt>
                <c:pt idx="4008">
                  <c:v>5</c:v>
                </c:pt>
                <c:pt idx="4009">
                  <c:v>5</c:v>
                </c:pt>
                <c:pt idx="4010">
                  <c:v>5</c:v>
                </c:pt>
                <c:pt idx="4011">
                  <c:v>5</c:v>
                </c:pt>
                <c:pt idx="4012">
                  <c:v>5</c:v>
                </c:pt>
                <c:pt idx="4013">
                  <c:v>5</c:v>
                </c:pt>
                <c:pt idx="4014">
                  <c:v>5</c:v>
                </c:pt>
                <c:pt idx="4015">
                  <c:v>5</c:v>
                </c:pt>
                <c:pt idx="4016">
                  <c:v>5</c:v>
                </c:pt>
                <c:pt idx="4017">
                  <c:v>5</c:v>
                </c:pt>
                <c:pt idx="4018">
                  <c:v>5</c:v>
                </c:pt>
                <c:pt idx="4019">
                  <c:v>5</c:v>
                </c:pt>
                <c:pt idx="4020">
                  <c:v>5</c:v>
                </c:pt>
                <c:pt idx="4021">
                  <c:v>5</c:v>
                </c:pt>
                <c:pt idx="4022">
                  <c:v>5</c:v>
                </c:pt>
                <c:pt idx="4023">
                  <c:v>5</c:v>
                </c:pt>
                <c:pt idx="4024">
                  <c:v>5</c:v>
                </c:pt>
                <c:pt idx="4025">
                  <c:v>5</c:v>
                </c:pt>
                <c:pt idx="4026">
                  <c:v>5</c:v>
                </c:pt>
                <c:pt idx="4027">
                  <c:v>5</c:v>
                </c:pt>
                <c:pt idx="4028">
                  <c:v>5</c:v>
                </c:pt>
                <c:pt idx="4029">
                  <c:v>5</c:v>
                </c:pt>
                <c:pt idx="4030">
                  <c:v>5</c:v>
                </c:pt>
                <c:pt idx="4031">
                  <c:v>5</c:v>
                </c:pt>
                <c:pt idx="4032">
                  <c:v>5</c:v>
                </c:pt>
                <c:pt idx="4033">
                  <c:v>5</c:v>
                </c:pt>
                <c:pt idx="4034">
                  <c:v>5</c:v>
                </c:pt>
                <c:pt idx="4035">
                  <c:v>5</c:v>
                </c:pt>
                <c:pt idx="4036">
                  <c:v>5</c:v>
                </c:pt>
                <c:pt idx="4037">
                  <c:v>5</c:v>
                </c:pt>
                <c:pt idx="4038">
                  <c:v>5</c:v>
                </c:pt>
                <c:pt idx="4039">
                  <c:v>5</c:v>
                </c:pt>
                <c:pt idx="4040">
                  <c:v>5</c:v>
                </c:pt>
                <c:pt idx="4041">
                  <c:v>5</c:v>
                </c:pt>
                <c:pt idx="4042">
                  <c:v>5</c:v>
                </c:pt>
                <c:pt idx="4043">
                  <c:v>5</c:v>
                </c:pt>
                <c:pt idx="4044">
                  <c:v>5</c:v>
                </c:pt>
                <c:pt idx="4045">
                  <c:v>5</c:v>
                </c:pt>
                <c:pt idx="4046">
                  <c:v>5</c:v>
                </c:pt>
                <c:pt idx="4047">
                  <c:v>5</c:v>
                </c:pt>
                <c:pt idx="4048">
                  <c:v>5</c:v>
                </c:pt>
                <c:pt idx="4049">
                  <c:v>5</c:v>
                </c:pt>
                <c:pt idx="4050">
                  <c:v>5</c:v>
                </c:pt>
                <c:pt idx="4051">
                  <c:v>5</c:v>
                </c:pt>
                <c:pt idx="4052">
                  <c:v>5</c:v>
                </c:pt>
                <c:pt idx="4053">
                  <c:v>5</c:v>
                </c:pt>
                <c:pt idx="4054">
                  <c:v>5</c:v>
                </c:pt>
                <c:pt idx="4055">
                  <c:v>5</c:v>
                </c:pt>
                <c:pt idx="4056">
                  <c:v>5</c:v>
                </c:pt>
                <c:pt idx="4057">
                  <c:v>5</c:v>
                </c:pt>
                <c:pt idx="4058">
                  <c:v>5</c:v>
                </c:pt>
                <c:pt idx="4059">
                  <c:v>5</c:v>
                </c:pt>
                <c:pt idx="4060">
                  <c:v>5</c:v>
                </c:pt>
                <c:pt idx="4061">
                  <c:v>5</c:v>
                </c:pt>
                <c:pt idx="4062">
                  <c:v>5</c:v>
                </c:pt>
                <c:pt idx="4063">
                  <c:v>5</c:v>
                </c:pt>
                <c:pt idx="4064">
                  <c:v>5</c:v>
                </c:pt>
                <c:pt idx="4065">
                  <c:v>5</c:v>
                </c:pt>
                <c:pt idx="4066">
                  <c:v>5</c:v>
                </c:pt>
                <c:pt idx="4067">
                  <c:v>5</c:v>
                </c:pt>
                <c:pt idx="4068">
                  <c:v>5</c:v>
                </c:pt>
                <c:pt idx="4069">
                  <c:v>5</c:v>
                </c:pt>
                <c:pt idx="4070">
                  <c:v>5</c:v>
                </c:pt>
                <c:pt idx="4071">
                  <c:v>5</c:v>
                </c:pt>
                <c:pt idx="4072">
                  <c:v>5</c:v>
                </c:pt>
                <c:pt idx="4073">
                  <c:v>5</c:v>
                </c:pt>
                <c:pt idx="4074">
                  <c:v>5</c:v>
                </c:pt>
                <c:pt idx="4075">
                  <c:v>5</c:v>
                </c:pt>
                <c:pt idx="4076">
                  <c:v>5</c:v>
                </c:pt>
                <c:pt idx="4077">
                  <c:v>5</c:v>
                </c:pt>
                <c:pt idx="4078">
                  <c:v>5</c:v>
                </c:pt>
                <c:pt idx="4079">
                  <c:v>5</c:v>
                </c:pt>
                <c:pt idx="4080">
                  <c:v>5</c:v>
                </c:pt>
                <c:pt idx="4081">
                  <c:v>5</c:v>
                </c:pt>
                <c:pt idx="4082">
                  <c:v>5</c:v>
                </c:pt>
                <c:pt idx="4083">
                  <c:v>5</c:v>
                </c:pt>
                <c:pt idx="4084">
                  <c:v>5</c:v>
                </c:pt>
                <c:pt idx="4085">
                  <c:v>5</c:v>
                </c:pt>
                <c:pt idx="4086">
                  <c:v>5</c:v>
                </c:pt>
                <c:pt idx="4087">
                  <c:v>5</c:v>
                </c:pt>
                <c:pt idx="4088">
                  <c:v>5</c:v>
                </c:pt>
                <c:pt idx="4089">
                  <c:v>5</c:v>
                </c:pt>
                <c:pt idx="4090">
                  <c:v>5</c:v>
                </c:pt>
                <c:pt idx="4091">
                  <c:v>5</c:v>
                </c:pt>
                <c:pt idx="4092">
                  <c:v>5</c:v>
                </c:pt>
                <c:pt idx="4093">
                  <c:v>5</c:v>
                </c:pt>
                <c:pt idx="4094">
                  <c:v>5</c:v>
                </c:pt>
                <c:pt idx="4095">
                  <c:v>5</c:v>
                </c:pt>
                <c:pt idx="4096">
                  <c:v>5</c:v>
                </c:pt>
                <c:pt idx="4097">
                  <c:v>5</c:v>
                </c:pt>
                <c:pt idx="4098">
                  <c:v>5</c:v>
                </c:pt>
                <c:pt idx="4099">
                  <c:v>5</c:v>
                </c:pt>
                <c:pt idx="4100">
                  <c:v>5</c:v>
                </c:pt>
                <c:pt idx="4101">
                  <c:v>5</c:v>
                </c:pt>
                <c:pt idx="4102">
                  <c:v>5</c:v>
                </c:pt>
                <c:pt idx="4103">
                  <c:v>5</c:v>
                </c:pt>
                <c:pt idx="4104">
                  <c:v>5</c:v>
                </c:pt>
                <c:pt idx="4105">
                  <c:v>5</c:v>
                </c:pt>
                <c:pt idx="4106">
                  <c:v>5</c:v>
                </c:pt>
                <c:pt idx="4107">
                  <c:v>5</c:v>
                </c:pt>
                <c:pt idx="4108">
                  <c:v>5</c:v>
                </c:pt>
                <c:pt idx="4109">
                  <c:v>5</c:v>
                </c:pt>
                <c:pt idx="4110">
                  <c:v>5</c:v>
                </c:pt>
                <c:pt idx="4111">
                  <c:v>5</c:v>
                </c:pt>
                <c:pt idx="4112">
                  <c:v>5</c:v>
                </c:pt>
                <c:pt idx="4113">
                  <c:v>5</c:v>
                </c:pt>
                <c:pt idx="4114">
                  <c:v>5</c:v>
                </c:pt>
                <c:pt idx="4115">
                  <c:v>5</c:v>
                </c:pt>
                <c:pt idx="5018">
                  <c:v>6</c:v>
                </c:pt>
                <c:pt idx="5019">
                  <c:v>6</c:v>
                </c:pt>
                <c:pt idx="5020">
                  <c:v>6</c:v>
                </c:pt>
                <c:pt idx="5021">
                  <c:v>6</c:v>
                </c:pt>
                <c:pt idx="5022">
                  <c:v>6</c:v>
                </c:pt>
                <c:pt idx="5023">
                  <c:v>6</c:v>
                </c:pt>
                <c:pt idx="5024">
                  <c:v>6</c:v>
                </c:pt>
                <c:pt idx="5025">
                  <c:v>6</c:v>
                </c:pt>
                <c:pt idx="5026">
                  <c:v>6</c:v>
                </c:pt>
                <c:pt idx="5027">
                  <c:v>6</c:v>
                </c:pt>
                <c:pt idx="5028">
                  <c:v>6</c:v>
                </c:pt>
                <c:pt idx="5029">
                  <c:v>6</c:v>
                </c:pt>
                <c:pt idx="5030">
                  <c:v>6</c:v>
                </c:pt>
                <c:pt idx="5031">
                  <c:v>6</c:v>
                </c:pt>
                <c:pt idx="5032">
                  <c:v>6</c:v>
                </c:pt>
                <c:pt idx="5033">
                  <c:v>6</c:v>
                </c:pt>
                <c:pt idx="5034">
                  <c:v>6</c:v>
                </c:pt>
                <c:pt idx="5035">
                  <c:v>6</c:v>
                </c:pt>
                <c:pt idx="5036">
                  <c:v>6</c:v>
                </c:pt>
                <c:pt idx="5037">
                  <c:v>6</c:v>
                </c:pt>
                <c:pt idx="5038">
                  <c:v>6</c:v>
                </c:pt>
                <c:pt idx="5039">
                  <c:v>6</c:v>
                </c:pt>
                <c:pt idx="5040">
                  <c:v>6</c:v>
                </c:pt>
                <c:pt idx="5041">
                  <c:v>6</c:v>
                </c:pt>
                <c:pt idx="5042">
                  <c:v>6</c:v>
                </c:pt>
                <c:pt idx="5043">
                  <c:v>6</c:v>
                </c:pt>
                <c:pt idx="5044">
                  <c:v>6</c:v>
                </c:pt>
                <c:pt idx="5045">
                  <c:v>6</c:v>
                </c:pt>
                <c:pt idx="5046">
                  <c:v>6</c:v>
                </c:pt>
                <c:pt idx="5047">
                  <c:v>6</c:v>
                </c:pt>
                <c:pt idx="5048">
                  <c:v>6</c:v>
                </c:pt>
                <c:pt idx="5049">
                  <c:v>6</c:v>
                </c:pt>
                <c:pt idx="5050">
                  <c:v>6</c:v>
                </c:pt>
                <c:pt idx="5051">
                  <c:v>6</c:v>
                </c:pt>
                <c:pt idx="5052">
                  <c:v>6</c:v>
                </c:pt>
                <c:pt idx="5053">
                  <c:v>6</c:v>
                </c:pt>
                <c:pt idx="5054">
                  <c:v>6</c:v>
                </c:pt>
                <c:pt idx="5055">
                  <c:v>6</c:v>
                </c:pt>
                <c:pt idx="5056">
                  <c:v>6</c:v>
                </c:pt>
                <c:pt idx="5057">
                  <c:v>6</c:v>
                </c:pt>
                <c:pt idx="5058">
                  <c:v>6</c:v>
                </c:pt>
                <c:pt idx="5059">
                  <c:v>6</c:v>
                </c:pt>
                <c:pt idx="5060">
                  <c:v>6</c:v>
                </c:pt>
                <c:pt idx="5061">
                  <c:v>6</c:v>
                </c:pt>
                <c:pt idx="5062">
                  <c:v>6</c:v>
                </c:pt>
                <c:pt idx="5063">
                  <c:v>6</c:v>
                </c:pt>
                <c:pt idx="5064">
                  <c:v>6</c:v>
                </c:pt>
                <c:pt idx="5065">
                  <c:v>6</c:v>
                </c:pt>
                <c:pt idx="5066">
                  <c:v>6</c:v>
                </c:pt>
                <c:pt idx="5067">
                  <c:v>6</c:v>
                </c:pt>
                <c:pt idx="5068">
                  <c:v>6</c:v>
                </c:pt>
                <c:pt idx="5069">
                  <c:v>6</c:v>
                </c:pt>
                <c:pt idx="5070">
                  <c:v>6</c:v>
                </c:pt>
                <c:pt idx="5071">
                  <c:v>6</c:v>
                </c:pt>
                <c:pt idx="5072">
                  <c:v>6</c:v>
                </c:pt>
                <c:pt idx="5073">
                  <c:v>6</c:v>
                </c:pt>
                <c:pt idx="5074">
                  <c:v>6</c:v>
                </c:pt>
                <c:pt idx="5075">
                  <c:v>6</c:v>
                </c:pt>
                <c:pt idx="5076">
                  <c:v>6</c:v>
                </c:pt>
                <c:pt idx="5077">
                  <c:v>6</c:v>
                </c:pt>
                <c:pt idx="5078">
                  <c:v>6</c:v>
                </c:pt>
                <c:pt idx="5079">
                  <c:v>6</c:v>
                </c:pt>
                <c:pt idx="5080">
                  <c:v>6</c:v>
                </c:pt>
                <c:pt idx="5081">
                  <c:v>6</c:v>
                </c:pt>
                <c:pt idx="5082">
                  <c:v>6</c:v>
                </c:pt>
                <c:pt idx="5083">
                  <c:v>6</c:v>
                </c:pt>
                <c:pt idx="5084">
                  <c:v>6</c:v>
                </c:pt>
                <c:pt idx="5085">
                  <c:v>6</c:v>
                </c:pt>
                <c:pt idx="5086">
                  <c:v>6</c:v>
                </c:pt>
                <c:pt idx="5087">
                  <c:v>6</c:v>
                </c:pt>
                <c:pt idx="5088">
                  <c:v>6</c:v>
                </c:pt>
                <c:pt idx="5089">
                  <c:v>6</c:v>
                </c:pt>
                <c:pt idx="5090">
                  <c:v>6</c:v>
                </c:pt>
                <c:pt idx="5091">
                  <c:v>6</c:v>
                </c:pt>
                <c:pt idx="5092">
                  <c:v>6</c:v>
                </c:pt>
                <c:pt idx="5093">
                  <c:v>6</c:v>
                </c:pt>
                <c:pt idx="5094">
                  <c:v>6</c:v>
                </c:pt>
                <c:pt idx="5095">
                  <c:v>6</c:v>
                </c:pt>
                <c:pt idx="5096">
                  <c:v>6</c:v>
                </c:pt>
                <c:pt idx="5097">
                  <c:v>6</c:v>
                </c:pt>
                <c:pt idx="5098">
                  <c:v>6</c:v>
                </c:pt>
                <c:pt idx="5884">
                  <c:v>7</c:v>
                </c:pt>
                <c:pt idx="5885">
                  <c:v>7</c:v>
                </c:pt>
                <c:pt idx="5886">
                  <c:v>7</c:v>
                </c:pt>
                <c:pt idx="5887">
                  <c:v>7</c:v>
                </c:pt>
                <c:pt idx="5888">
                  <c:v>7</c:v>
                </c:pt>
                <c:pt idx="5889">
                  <c:v>7</c:v>
                </c:pt>
                <c:pt idx="5890">
                  <c:v>7</c:v>
                </c:pt>
                <c:pt idx="5891">
                  <c:v>7</c:v>
                </c:pt>
                <c:pt idx="5892">
                  <c:v>7</c:v>
                </c:pt>
                <c:pt idx="5893">
                  <c:v>7</c:v>
                </c:pt>
                <c:pt idx="5894">
                  <c:v>7</c:v>
                </c:pt>
                <c:pt idx="5895">
                  <c:v>7</c:v>
                </c:pt>
                <c:pt idx="5896">
                  <c:v>7</c:v>
                </c:pt>
                <c:pt idx="5897">
                  <c:v>7</c:v>
                </c:pt>
                <c:pt idx="5898">
                  <c:v>7</c:v>
                </c:pt>
                <c:pt idx="5899">
                  <c:v>7</c:v>
                </c:pt>
                <c:pt idx="5900">
                  <c:v>7</c:v>
                </c:pt>
                <c:pt idx="5901">
                  <c:v>7</c:v>
                </c:pt>
                <c:pt idx="5902">
                  <c:v>7</c:v>
                </c:pt>
                <c:pt idx="5903">
                  <c:v>7</c:v>
                </c:pt>
                <c:pt idx="5904">
                  <c:v>7</c:v>
                </c:pt>
                <c:pt idx="5905">
                  <c:v>7</c:v>
                </c:pt>
                <c:pt idx="5906">
                  <c:v>7</c:v>
                </c:pt>
                <c:pt idx="5907">
                  <c:v>7</c:v>
                </c:pt>
                <c:pt idx="5908">
                  <c:v>7</c:v>
                </c:pt>
                <c:pt idx="5909">
                  <c:v>7</c:v>
                </c:pt>
                <c:pt idx="5910">
                  <c:v>7</c:v>
                </c:pt>
                <c:pt idx="5911">
                  <c:v>7</c:v>
                </c:pt>
                <c:pt idx="5912">
                  <c:v>7</c:v>
                </c:pt>
                <c:pt idx="5913">
                  <c:v>7</c:v>
                </c:pt>
                <c:pt idx="5914">
                  <c:v>7</c:v>
                </c:pt>
                <c:pt idx="5915">
                  <c:v>7</c:v>
                </c:pt>
                <c:pt idx="5916">
                  <c:v>7</c:v>
                </c:pt>
                <c:pt idx="5917">
                  <c:v>7</c:v>
                </c:pt>
                <c:pt idx="5918">
                  <c:v>7</c:v>
                </c:pt>
                <c:pt idx="5919">
                  <c:v>7</c:v>
                </c:pt>
                <c:pt idx="5920">
                  <c:v>7</c:v>
                </c:pt>
                <c:pt idx="5921">
                  <c:v>7</c:v>
                </c:pt>
                <c:pt idx="5922">
                  <c:v>7</c:v>
                </c:pt>
                <c:pt idx="5923">
                  <c:v>7</c:v>
                </c:pt>
                <c:pt idx="5924">
                  <c:v>7</c:v>
                </c:pt>
                <c:pt idx="5925">
                  <c:v>7</c:v>
                </c:pt>
                <c:pt idx="5926">
                  <c:v>7</c:v>
                </c:pt>
                <c:pt idx="5927">
                  <c:v>7</c:v>
                </c:pt>
                <c:pt idx="5928">
                  <c:v>7</c:v>
                </c:pt>
                <c:pt idx="5929">
                  <c:v>7</c:v>
                </c:pt>
                <c:pt idx="5930">
                  <c:v>7</c:v>
                </c:pt>
                <c:pt idx="5931">
                  <c:v>7</c:v>
                </c:pt>
                <c:pt idx="5932">
                  <c:v>7</c:v>
                </c:pt>
                <c:pt idx="5933">
                  <c:v>7</c:v>
                </c:pt>
                <c:pt idx="5934">
                  <c:v>7</c:v>
                </c:pt>
                <c:pt idx="5935">
                  <c:v>7</c:v>
                </c:pt>
                <c:pt idx="5936">
                  <c:v>7</c:v>
                </c:pt>
                <c:pt idx="5937">
                  <c:v>7</c:v>
                </c:pt>
                <c:pt idx="5938">
                  <c:v>7</c:v>
                </c:pt>
                <c:pt idx="5939">
                  <c:v>7</c:v>
                </c:pt>
                <c:pt idx="5940">
                  <c:v>7</c:v>
                </c:pt>
                <c:pt idx="5941">
                  <c:v>7</c:v>
                </c:pt>
                <c:pt idx="5942">
                  <c:v>7</c:v>
                </c:pt>
                <c:pt idx="5943">
                  <c:v>7</c:v>
                </c:pt>
                <c:pt idx="5944">
                  <c:v>7</c:v>
                </c:pt>
                <c:pt idx="5945">
                  <c:v>7</c:v>
                </c:pt>
                <c:pt idx="5946">
                  <c:v>7</c:v>
                </c:pt>
                <c:pt idx="5947">
                  <c:v>7</c:v>
                </c:pt>
                <c:pt idx="5948">
                  <c:v>7</c:v>
                </c:pt>
                <c:pt idx="5949">
                  <c:v>7</c:v>
                </c:pt>
                <c:pt idx="5950">
                  <c:v>7</c:v>
                </c:pt>
                <c:pt idx="5951">
                  <c:v>7</c:v>
                </c:pt>
                <c:pt idx="5952">
                  <c:v>7</c:v>
                </c:pt>
                <c:pt idx="5953">
                  <c:v>7</c:v>
                </c:pt>
                <c:pt idx="5954">
                  <c:v>7</c:v>
                </c:pt>
                <c:pt idx="5955">
                  <c:v>7</c:v>
                </c:pt>
                <c:pt idx="5956">
                  <c:v>7</c:v>
                </c:pt>
                <c:pt idx="5957">
                  <c:v>7</c:v>
                </c:pt>
                <c:pt idx="5958">
                  <c:v>7</c:v>
                </c:pt>
                <c:pt idx="5959">
                  <c:v>7</c:v>
                </c:pt>
                <c:pt idx="5960">
                  <c:v>7</c:v>
                </c:pt>
                <c:pt idx="5961">
                  <c:v>7</c:v>
                </c:pt>
                <c:pt idx="5962">
                  <c:v>7</c:v>
                </c:pt>
                <c:pt idx="5963">
                  <c:v>7</c:v>
                </c:pt>
                <c:pt idx="5964">
                  <c:v>7</c:v>
                </c:pt>
                <c:pt idx="5965">
                  <c:v>7</c:v>
                </c:pt>
                <c:pt idx="5966">
                  <c:v>7</c:v>
                </c:pt>
                <c:pt idx="5967">
                  <c:v>7</c:v>
                </c:pt>
                <c:pt idx="5968">
                  <c:v>7</c:v>
                </c:pt>
                <c:pt idx="5969">
                  <c:v>7</c:v>
                </c:pt>
                <c:pt idx="5970">
                  <c:v>7</c:v>
                </c:pt>
                <c:pt idx="5971">
                  <c:v>7</c:v>
                </c:pt>
                <c:pt idx="5972">
                  <c:v>7</c:v>
                </c:pt>
                <c:pt idx="5973">
                  <c:v>7</c:v>
                </c:pt>
                <c:pt idx="5974">
                  <c:v>7</c:v>
                </c:pt>
                <c:pt idx="5975">
                  <c:v>7</c:v>
                </c:pt>
                <c:pt idx="5976">
                  <c:v>7</c:v>
                </c:pt>
                <c:pt idx="5977">
                  <c:v>7</c:v>
                </c:pt>
                <c:pt idx="5978">
                  <c:v>7</c:v>
                </c:pt>
                <c:pt idx="5979">
                  <c:v>7</c:v>
                </c:pt>
                <c:pt idx="5980">
                  <c:v>7</c:v>
                </c:pt>
                <c:pt idx="5981">
                  <c:v>7</c:v>
                </c:pt>
                <c:pt idx="6259">
                  <c:v>8</c:v>
                </c:pt>
                <c:pt idx="6260">
                  <c:v>8</c:v>
                </c:pt>
                <c:pt idx="6261">
                  <c:v>8</c:v>
                </c:pt>
                <c:pt idx="6262">
                  <c:v>8</c:v>
                </c:pt>
                <c:pt idx="6263">
                  <c:v>8</c:v>
                </c:pt>
                <c:pt idx="6264">
                  <c:v>8</c:v>
                </c:pt>
                <c:pt idx="6265">
                  <c:v>8</c:v>
                </c:pt>
                <c:pt idx="6266">
                  <c:v>8</c:v>
                </c:pt>
                <c:pt idx="6267">
                  <c:v>8</c:v>
                </c:pt>
                <c:pt idx="6268">
                  <c:v>8</c:v>
                </c:pt>
                <c:pt idx="6269">
                  <c:v>8</c:v>
                </c:pt>
                <c:pt idx="6270">
                  <c:v>8</c:v>
                </c:pt>
                <c:pt idx="6271">
                  <c:v>8</c:v>
                </c:pt>
                <c:pt idx="6272">
                  <c:v>8</c:v>
                </c:pt>
                <c:pt idx="6273">
                  <c:v>8</c:v>
                </c:pt>
                <c:pt idx="6274">
                  <c:v>8</c:v>
                </c:pt>
                <c:pt idx="6275">
                  <c:v>8</c:v>
                </c:pt>
                <c:pt idx="6276">
                  <c:v>8</c:v>
                </c:pt>
                <c:pt idx="6277">
                  <c:v>8</c:v>
                </c:pt>
                <c:pt idx="6278">
                  <c:v>8</c:v>
                </c:pt>
                <c:pt idx="6279">
                  <c:v>8</c:v>
                </c:pt>
                <c:pt idx="6280">
                  <c:v>8</c:v>
                </c:pt>
                <c:pt idx="6281">
                  <c:v>8</c:v>
                </c:pt>
                <c:pt idx="6282">
                  <c:v>8</c:v>
                </c:pt>
                <c:pt idx="6283">
                  <c:v>8</c:v>
                </c:pt>
                <c:pt idx="6284">
                  <c:v>8</c:v>
                </c:pt>
                <c:pt idx="6285">
                  <c:v>8</c:v>
                </c:pt>
                <c:pt idx="6286">
                  <c:v>8</c:v>
                </c:pt>
                <c:pt idx="6287">
                  <c:v>8</c:v>
                </c:pt>
                <c:pt idx="6288">
                  <c:v>8</c:v>
                </c:pt>
                <c:pt idx="6289">
                  <c:v>8</c:v>
                </c:pt>
                <c:pt idx="6290">
                  <c:v>8</c:v>
                </c:pt>
                <c:pt idx="6291">
                  <c:v>8</c:v>
                </c:pt>
                <c:pt idx="6292">
                  <c:v>8</c:v>
                </c:pt>
                <c:pt idx="6293">
                  <c:v>8</c:v>
                </c:pt>
                <c:pt idx="6294">
                  <c:v>8</c:v>
                </c:pt>
                <c:pt idx="6295">
                  <c:v>8</c:v>
                </c:pt>
                <c:pt idx="6296">
                  <c:v>8</c:v>
                </c:pt>
                <c:pt idx="6297">
                  <c:v>8</c:v>
                </c:pt>
                <c:pt idx="6298">
                  <c:v>8</c:v>
                </c:pt>
                <c:pt idx="6299">
                  <c:v>8</c:v>
                </c:pt>
                <c:pt idx="6300">
                  <c:v>8</c:v>
                </c:pt>
                <c:pt idx="6301">
                  <c:v>8</c:v>
                </c:pt>
                <c:pt idx="6302">
                  <c:v>8</c:v>
                </c:pt>
                <c:pt idx="6303">
                  <c:v>8</c:v>
                </c:pt>
                <c:pt idx="6304">
                  <c:v>8</c:v>
                </c:pt>
                <c:pt idx="6305">
                  <c:v>8</c:v>
                </c:pt>
                <c:pt idx="6306">
                  <c:v>8</c:v>
                </c:pt>
                <c:pt idx="6307">
                  <c:v>8</c:v>
                </c:pt>
                <c:pt idx="6308">
                  <c:v>8</c:v>
                </c:pt>
                <c:pt idx="6309">
                  <c:v>8</c:v>
                </c:pt>
                <c:pt idx="6310">
                  <c:v>8</c:v>
                </c:pt>
                <c:pt idx="6311">
                  <c:v>8</c:v>
                </c:pt>
                <c:pt idx="6312">
                  <c:v>8</c:v>
                </c:pt>
                <c:pt idx="6313">
                  <c:v>8</c:v>
                </c:pt>
                <c:pt idx="6314">
                  <c:v>8</c:v>
                </c:pt>
                <c:pt idx="6315">
                  <c:v>8</c:v>
                </c:pt>
                <c:pt idx="6316">
                  <c:v>8</c:v>
                </c:pt>
                <c:pt idx="6317">
                  <c:v>8</c:v>
                </c:pt>
                <c:pt idx="6318">
                  <c:v>8</c:v>
                </c:pt>
                <c:pt idx="6319">
                  <c:v>8</c:v>
                </c:pt>
                <c:pt idx="6320">
                  <c:v>8</c:v>
                </c:pt>
                <c:pt idx="6321">
                  <c:v>8</c:v>
                </c:pt>
                <c:pt idx="6322">
                  <c:v>8</c:v>
                </c:pt>
                <c:pt idx="6323">
                  <c:v>8</c:v>
                </c:pt>
                <c:pt idx="6324">
                  <c:v>8</c:v>
                </c:pt>
                <c:pt idx="6325">
                  <c:v>8</c:v>
                </c:pt>
                <c:pt idx="6326">
                  <c:v>8</c:v>
                </c:pt>
                <c:pt idx="6327">
                  <c:v>8</c:v>
                </c:pt>
                <c:pt idx="6328">
                  <c:v>8</c:v>
                </c:pt>
                <c:pt idx="6329">
                  <c:v>8</c:v>
                </c:pt>
                <c:pt idx="6330">
                  <c:v>8</c:v>
                </c:pt>
                <c:pt idx="6331">
                  <c:v>8</c:v>
                </c:pt>
                <c:pt idx="6332">
                  <c:v>8</c:v>
                </c:pt>
                <c:pt idx="6333">
                  <c:v>8</c:v>
                </c:pt>
                <c:pt idx="6334">
                  <c:v>8</c:v>
                </c:pt>
                <c:pt idx="6335">
                  <c:v>8</c:v>
                </c:pt>
                <c:pt idx="6336">
                  <c:v>8</c:v>
                </c:pt>
                <c:pt idx="6337">
                  <c:v>8</c:v>
                </c:pt>
                <c:pt idx="6338">
                  <c:v>8</c:v>
                </c:pt>
                <c:pt idx="6339">
                  <c:v>8</c:v>
                </c:pt>
                <c:pt idx="6340">
                  <c:v>8</c:v>
                </c:pt>
                <c:pt idx="6341">
                  <c:v>8</c:v>
                </c:pt>
                <c:pt idx="6342">
                  <c:v>8</c:v>
                </c:pt>
                <c:pt idx="6343">
                  <c:v>8</c:v>
                </c:pt>
                <c:pt idx="6344">
                  <c:v>8</c:v>
                </c:pt>
                <c:pt idx="6345">
                  <c:v>8</c:v>
                </c:pt>
                <c:pt idx="6346">
                  <c:v>8</c:v>
                </c:pt>
                <c:pt idx="6347">
                  <c:v>8</c:v>
                </c:pt>
                <c:pt idx="6348">
                  <c:v>8</c:v>
                </c:pt>
                <c:pt idx="6349">
                  <c:v>8</c:v>
                </c:pt>
                <c:pt idx="6350">
                  <c:v>8</c:v>
                </c:pt>
                <c:pt idx="6351">
                  <c:v>8</c:v>
                </c:pt>
                <c:pt idx="6352">
                  <c:v>8</c:v>
                </c:pt>
                <c:pt idx="6353">
                  <c:v>8</c:v>
                </c:pt>
                <c:pt idx="6354">
                  <c:v>8</c:v>
                </c:pt>
                <c:pt idx="6355">
                  <c:v>8</c:v>
                </c:pt>
                <c:pt idx="6356">
                  <c:v>8</c:v>
                </c:pt>
                <c:pt idx="6357">
                  <c:v>8</c:v>
                </c:pt>
                <c:pt idx="6358">
                  <c:v>8</c:v>
                </c:pt>
                <c:pt idx="6359">
                  <c:v>8</c:v>
                </c:pt>
                <c:pt idx="6360">
                  <c:v>8</c:v>
                </c:pt>
                <c:pt idx="6361">
                  <c:v>8</c:v>
                </c:pt>
                <c:pt idx="6362">
                  <c:v>8</c:v>
                </c:pt>
                <c:pt idx="6363">
                  <c:v>8</c:v>
                </c:pt>
                <c:pt idx="6364">
                  <c:v>8</c:v>
                </c:pt>
                <c:pt idx="6365">
                  <c:v>8</c:v>
                </c:pt>
                <c:pt idx="6366">
                  <c:v>8</c:v>
                </c:pt>
                <c:pt idx="6367">
                  <c:v>8</c:v>
                </c:pt>
                <c:pt idx="6368">
                  <c:v>8</c:v>
                </c:pt>
                <c:pt idx="6369">
                  <c:v>8</c:v>
                </c:pt>
                <c:pt idx="6370">
                  <c:v>8</c:v>
                </c:pt>
                <c:pt idx="6371">
                  <c:v>8</c:v>
                </c:pt>
                <c:pt idx="6372">
                  <c:v>8</c:v>
                </c:pt>
                <c:pt idx="6373">
                  <c:v>8</c:v>
                </c:pt>
                <c:pt idx="6374">
                  <c:v>8</c:v>
                </c:pt>
                <c:pt idx="6375">
                  <c:v>8</c:v>
                </c:pt>
                <c:pt idx="6376">
                  <c:v>8</c:v>
                </c:pt>
                <c:pt idx="6377">
                  <c:v>8</c:v>
                </c:pt>
                <c:pt idx="6378">
                  <c:v>8</c:v>
                </c:pt>
                <c:pt idx="6379">
                  <c:v>8</c:v>
                </c:pt>
                <c:pt idx="6380">
                  <c:v>8</c:v>
                </c:pt>
                <c:pt idx="6381">
                  <c:v>8</c:v>
                </c:pt>
                <c:pt idx="6382">
                  <c:v>8</c:v>
                </c:pt>
                <c:pt idx="6383">
                  <c:v>8</c:v>
                </c:pt>
                <c:pt idx="6384">
                  <c:v>8</c:v>
                </c:pt>
                <c:pt idx="6385">
                  <c:v>8</c:v>
                </c:pt>
                <c:pt idx="6386">
                  <c:v>8</c:v>
                </c:pt>
                <c:pt idx="6387">
                  <c:v>8</c:v>
                </c:pt>
                <c:pt idx="6388">
                  <c:v>8</c:v>
                </c:pt>
                <c:pt idx="6389">
                  <c:v>8</c:v>
                </c:pt>
                <c:pt idx="6390">
                  <c:v>8</c:v>
                </c:pt>
                <c:pt idx="6391">
                  <c:v>8</c:v>
                </c:pt>
                <c:pt idx="6392">
                  <c:v>8</c:v>
                </c:pt>
                <c:pt idx="6393">
                  <c:v>8</c:v>
                </c:pt>
                <c:pt idx="6394">
                  <c:v>8</c:v>
                </c:pt>
                <c:pt idx="6395">
                  <c:v>8</c:v>
                </c:pt>
                <c:pt idx="6396">
                  <c:v>8</c:v>
                </c:pt>
                <c:pt idx="6397">
                  <c:v>8</c:v>
                </c:pt>
                <c:pt idx="6398">
                  <c:v>8</c:v>
                </c:pt>
                <c:pt idx="6399">
                  <c:v>8</c:v>
                </c:pt>
                <c:pt idx="6400">
                  <c:v>8</c:v>
                </c:pt>
                <c:pt idx="6401">
                  <c:v>8</c:v>
                </c:pt>
                <c:pt idx="6402">
                  <c:v>8</c:v>
                </c:pt>
                <c:pt idx="6403">
                  <c:v>8</c:v>
                </c:pt>
                <c:pt idx="6404">
                  <c:v>8</c:v>
                </c:pt>
                <c:pt idx="6405">
                  <c:v>8</c:v>
                </c:pt>
                <c:pt idx="6406">
                  <c:v>8</c:v>
                </c:pt>
                <c:pt idx="6407">
                  <c:v>8</c:v>
                </c:pt>
                <c:pt idx="6408">
                  <c:v>8</c:v>
                </c:pt>
                <c:pt idx="6409">
                  <c:v>8</c:v>
                </c:pt>
                <c:pt idx="6410">
                  <c:v>8</c:v>
                </c:pt>
                <c:pt idx="6411">
                  <c:v>8</c:v>
                </c:pt>
                <c:pt idx="6412">
                  <c:v>8</c:v>
                </c:pt>
                <c:pt idx="6413">
                  <c:v>8</c:v>
                </c:pt>
                <c:pt idx="6414">
                  <c:v>8</c:v>
                </c:pt>
                <c:pt idx="6415">
                  <c:v>8</c:v>
                </c:pt>
                <c:pt idx="6416">
                  <c:v>8</c:v>
                </c:pt>
                <c:pt idx="6417">
                  <c:v>8</c:v>
                </c:pt>
                <c:pt idx="6418">
                  <c:v>8</c:v>
                </c:pt>
                <c:pt idx="6419">
                  <c:v>8</c:v>
                </c:pt>
                <c:pt idx="6420">
                  <c:v>8</c:v>
                </c:pt>
                <c:pt idx="6421">
                  <c:v>8</c:v>
                </c:pt>
                <c:pt idx="6422">
                  <c:v>8</c:v>
                </c:pt>
                <c:pt idx="6423">
                  <c:v>8</c:v>
                </c:pt>
                <c:pt idx="6424">
                  <c:v>8</c:v>
                </c:pt>
                <c:pt idx="6425">
                  <c:v>8</c:v>
                </c:pt>
                <c:pt idx="6426">
                  <c:v>8</c:v>
                </c:pt>
                <c:pt idx="6427">
                  <c:v>8</c:v>
                </c:pt>
                <c:pt idx="6428">
                  <c:v>8</c:v>
                </c:pt>
                <c:pt idx="6429">
                  <c:v>8</c:v>
                </c:pt>
                <c:pt idx="6430">
                  <c:v>8</c:v>
                </c:pt>
                <c:pt idx="6431">
                  <c:v>8</c:v>
                </c:pt>
                <c:pt idx="6432">
                  <c:v>8</c:v>
                </c:pt>
                <c:pt idx="6433">
                  <c:v>8</c:v>
                </c:pt>
                <c:pt idx="6434">
                  <c:v>8</c:v>
                </c:pt>
                <c:pt idx="6435">
                  <c:v>8</c:v>
                </c:pt>
                <c:pt idx="6436">
                  <c:v>8</c:v>
                </c:pt>
                <c:pt idx="6437">
                  <c:v>8</c:v>
                </c:pt>
                <c:pt idx="6438">
                  <c:v>8</c:v>
                </c:pt>
                <c:pt idx="6439">
                  <c:v>8</c:v>
                </c:pt>
                <c:pt idx="6440">
                  <c:v>8</c:v>
                </c:pt>
                <c:pt idx="6441">
                  <c:v>8</c:v>
                </c:pt>
                <c:pt idx="6442">
                  <c:v>8</c:v>
                </c:pt>
                <c:pt idx="6443">
                  <c:v>8</c:v>
                </c:pt>
                <c:pt idx="6444">
                  <c:v>8</c:v>
                </c:pt>
                <c:pt idx="6445">
                  <c:v>8</c:v>
                </c:pt>
                <c:pt idx="6446">
                  <c:v>8</c:v>
                </c:pt>
                <c:pt idx="6447">
                  <c:v>8</c:v>
                </c:pt>
                <c:pt idx="6448">
                  <c:v>8</c:v>
                </c:pt>
                <c:pt idx="6449">
                  <c:v>8</c:v>
                </c:pt>
                <c:pt idx="6450">
                  <c:v>8</c:v>
                </c:pt>
                <c:pt idx="6451">
                  <c:v>8</c:v>
                </c:pt>
                <c:pt idx="6452">
                  <c:v>8</c:v>
                </c:pt>
                <c:pt idx="6453">
                  <c:v>8</c:v>
                </c:pt>
                <c:pt idx="6454">
                  <c:v>8</c:v>
                </c:pt>
                <c:pt idx="6455">
                  <c:v>8</c:v>
                </c:pt>
                <c:pt idx="6456">
                  <c:v>8</c:v>
                </c:pt>
                <c:pt idx="6457">
                  <c:v>8</c:v>
                </c:pt>
                <c:pt idx="6458">
                  <c:v>8</c:v>
                </c:pt>
                <c:pt idx="6459">
                  <c:v>8</c:v>
                </c:pt>
                <c:pt idx="6460">
                  <c:v>8</c:v>
                </c:pt>
                <c:pt idx="6461">
                  <c:v>8</c:v>
                </c:pt>
                <c:pt idx="6462">
                  <c:v>8</c:v>
                </c:pt>
                <c:pt idx="6463">
                  <c:v>8</c:v>
                </c:pt>
                <c:pt idx="6464">
                  <c:v>8</c:v>
                </c:pt>
                <c:pt idx="6465">
                  <c:v>8</c:v>
                </c:pt>
                <c:pt idx="6466">
                  <c:v>8</c:v>
                </c:pt>
                <c:pt idx="6467">
                  <c:v>8</c:v>
                </c:pt>
                <c:pt idx="6468">
                  <c:v>8</c:v>
                </c:pt>
                <c:pt idx="6469">
                  <c:v>8</c:v>
                </c:pt>
                <c:pt idx="6470">
                  <c:v>8</c:v>
                </c:pt>
                <c:pt idx="6471">
                  <c:v>8</c:v>
                </c:pt>
                <c:pt idx="6472">
                  <c:v>8</c:v>
                </c:pt>
                <c:pt idx="6473">
                  <c:v>8</c:v>
                </c:pt>
                <c:pt idx="6474">
                  <c:v>8</c:v>
                </c:pt>
                <c:pt idx="6475">
                  <c:v>8</c:v>
                </c:pt>
                <c:pt idx="6476">
                  <c:v>8</c:v>
                </c:pt>
                <c:pt idx="6477">
                  <c:v>8</c:v>
                </c:pt>
                <c:pt idx="6478">
                  <c:v>8</c:v>
                </c:pt>
                <c:pt idx="6479">
                  <c:v>8</c:v>
                </c:pt>
                <c:pt idx="6480">
                  <c:v>8</c:v>
                </c:pt>
                <c:pt idx="6481">
                  <c:v>8</c:v>
                </c:pt>
                <c:pt idx="6482">
                  <c:v>8</c:v>
                </c:pt>
                <c:pt idx="6483">
                  <c:v>8</c:v>
                </c:pt>
                <c:pt idx="6484">
                  <c:v>8</c:v>
                </c:pt>
                <c:pt idx="6485">
                  <c:v>8</c:v>
                </c:pt>
                <c:pt idx="6486">
                  <c:v>8</c:v>
                </c:pt>
                <c:pt idx="6487">
                  <c:v>8</c:v>
                </c:pt>
                <c:pt idx="6488">
                  <c:v>8</c:v>
                </c:pt>
                <c:pt idx="6489">
                  <c:v>8</c:v>
                </c:pt>
                <c:pt idx="6490">
                  <c:v>8</c:v>
                </c:pt>
                <c:pt idx="6491">
                  <c:v>8</c:v>
                </c:pt>
                <c:pt idx="6492">
                  <c:v>8</c:v>
                </c:pt>
                <c:pt idx="6493">
                  <c:v>8</c:v>
                </c:pt>
                <c:pt idx="6494">
                  <c:v>8</c:v>
                </c:pt>
                <c:pt idx="6495">
                  <c:v>8</c:v>
                </c:pt>
                <c:pt idx="6496">
                  <c:v>8</c:v>
                </c:pt>
                <c:pt idx="6497">
                  <c:v>8</c:v>
                </c:pt>
                <c:pt idx="6498">
                  <c:v>8</c:v>
                </c:pt>
                <c:pt idx="6499">
                  <c:v>8</c:v>
                </c:pt>
                <c:pt idx="6500">
                  <c:v>8</c:v>
                </c:pt>
                <c:pt idx="6501">
                  <c:v>8</c:v>
                </c:pt>
                <c:pt idx="6502">
                  <c:v>8</c:v>
                </c:pt>
                <c:pt idx="6503">
                  <c:v>8</c:v>
                </c:pt>
                <c:pt idx="6504">
                  <c:v>8</c:v>
                </c:pt>
                <c:pt idx="6505">
                  <c:v>8</c:v>
                </c:pt>
                <c:pt idx="6506">
                  <c:v>8</c:v>
                </c:pt>
                <c:pt idx="6507">
                  <c:v>8</c:v>
                </c:pt>
                <c:pt idx="6508">
                  <c:v>8</c:v>
                </c:pt>
                <c:pt idx="6509">
                  <c:v>8</c:v>
                </c:pt>
                <c:pt idx="6510">
                  <c:v>8</c:v>
                </c:pt>
                <c:pt idx="6511">
                  <c:v>8</c:v>
                </c:pt>
                <c:pt idx="6512">
                  <c:v>8</c:v>
                </c:pt>
                <c:pt idx="6513">
                  <c:v>8</c:v>
                </c:pt>
                <c:pt idx="6514">
                  <c:v>8</c:v>
                </c:pt>
                <c:pt idx="6515">
                  <c:v>8</c:v>
                </c:pt>
                <c:pt idx="6516">
                  <c:v>8</c:v>
                </c:pt>
                <c:pt idx="6517">
                  <c:v>8</c:v>
                </c:pt>
                <c:pt idx="6518">
                  <c:v>8</c:v>
                </c:pt>
                <c:pt idx="6519">
                  <c:v>8</c:v>
                </c:pt>
                <c:pt idx="6520">
                  <c:v>8</c:v>
                </c:pt>
                <c:pt idx="6521">
                  <c:v>8</c:v>
                </c:pt>
                <c:pt idx="6522">
                  <c:v>8</c:v>
                </c:pt>
                <c:pt idx="6523">
                  <c:v>8</c:v>
                </c:pt>
                <c:pt idx="6524">
                  <c:v>8</c:v>
                </c:pt>
                <c:pt idx="6525">
                  <c:v>8</c:v>
                </c:pt>
                <c:pt idx="6526">
                  <c:v>8</c:v>
                </c:pt>
                <c:pt idx="6527">
                  <c:v>8</c:v>
                </c:pt>
                <c:pt idx="6528">
                  <c:v>8</c:v>
                </c:pt>
                <c:pt idx="6529">
                  <c:v>8</c:v>
                </c:pt>
                <c:pt idx="6530">
                  <c:v>8</c:v>
                </c:pt>
                <c:pt idx="6531">
                  <c:v>8</c:v>
                </c:pt>
                <c:pt idx="6532">
                  <c:v>8</c:v>
                </c:pt>
                <c:pt idx="6533">
                  <c:v>8</c:v>
                </c:pt>
                <c:pt idx="6534">
                  <c:v>8</c:v>
                </c:pt>
                <c:pt idx="6535">
                  <c:v>8</c:v>
                </c:pt>
                <c:pt idx="6536">
                  <c:v>8</c:v>
                </c:pt>
                <c:pt idx="6537">
                  <c:v>8</c:v>
                </c:pt>
                <c:pt idx="6538">
                  <c:v>8</c:v>
                </c:pt>
                <c:pt idx="6539">
                  <c:v>8</c:v>
                </c:pt>
                <c:pt idx="6540">
                  <c:v>8</c:v>
                </c:pt>
                <c:pt idx="6541">
                  <c:v>8</c:v>
                </c:pt>
                <c:pt idx="6542">
                  <c:v>8</c:v>
                </c:pt>
                <c:pt idx="6543">
                  <c:v>8</c:v>
                </c:pt>
                <c:pt idx="6544">
                  <c:v>8</c:v>
                </c:pt>
                <c:pt idx="6545">
                  <c:v>8</c:v>
                </c:pt>
                <c:pt idx="6546">
                  <c:v>8</c:v>
                </c:pt>
                <c:pt idx="6547">
                  <c:v>8</c:v>
                </c:pt>
                <c:pt idx="6548">
                  <c:v>8</c:v>
                </c:pt>
                <c:pt idx="6549">
                  <c:v>8</c:v>
                </c:pt>
                <c:pt idx="6550">
                  <c:v>8</c:v>
                </c:pt>
                <c:pt idx="6551">
                  <c:v>8</c:v>
                </c:pt>
                <c:pt idx="6552">
                  <c:v>8</c:v>
                </c:pt>
                <c:pt idx="6553">
                  <c:v>8</c:v>
                </c:pt>
                <c:pt idx="6554">
                  <c:v>8</c:v>
                </c:pt>
                <c:pt idx="6555">
                  <c:v>8</c:v>
                </c:pt>
                <c:pt idx="6556">
                  <c:v>8</c:v>
                </c:pt>
                <c:pt idx="6557">
                  <c:v>8</c:v>
                </c:pt>
                <c:pt idx="6558">
                  <c:v>8</c:v>
                </c:pt>
                <c:pt idx="6559">
                  <c:v>8</c:v>
                </c:pt>
                <c:pt idx="6560">
                  <c:v>8</c:v>
                </c:pt>
                <c:pt idx="6561">
                  <c:v>8</c:v>
                </c:pt>
                <c:pt idx="6562">
                  <c:v>8</c:v>
                </c:pt>
                <c:pt idx="6563">
                  <c:v>8</c:v>
                </c:pt>
                <c:pt idx="6564">
                  <c:v>8</c:v>
                </c:pt>
                <c:pt idx="6565">
                  <c:v>8</c:v>
                </c:pt>
                <c:pt idx="6566">
                  <c:v>8</c:v>
                </c:pt>
                <c:pt idx="6567">
                  <c:v>8</c:v>
                </c:pt>
                <c:pt idx="6568">
                  <c:v>8</c:v>
                </c:pt>
                <c:pt idx="6569">
                  <c:v>8</c:v>
                </c:pt>
                <c:pt idx="6570">
                  <c:v>8</c:v>
                </c:pt>
                <c:pt idx="6571">
                  <c:v>8</c:v>
                </c:pt>
                <c:pt idx="6572">
                  <c:v>8</c:v>
                </c:pt>
                <c:pt idx="6573">
                  <c:v>8</c:v>
                </c:pt>
                <c:pt idx="6574">
                  <c:v>8</c:v>
                </c:pt>
                <c:pt idx="6575">
                  <c:v>8</c:v>
                </c:pt>
                <c:pt idx="6576">
                  <c:v>8</c:v>
                </c:pt>
                <c:pt idx="6577">
                  <c:v>8</c:v>
                </c:pt>
                <c:pt idx="6578">
                  <c:v>8</c:v>
                </c:pt>
                <c:pt idx="6579">
                  <c:v>8</c:v>
                </c:pt>
                <c:pt idx="6580">
                  <c:v>8</c:v>
                </c:pt>
                <c:pt idx="6581">
                  <c:v>8</c:v>
                </c:pt>
                <c:pt idx="6582">
                  <c:v>8</c:v>
                </c:pt>
                <c:pt idx="6583">
                  <c:v>8</c:v>
                </c:pt>
                <c:pt idx="6584">
                  <c:v>8</c:v>
                </c:pt>
                <c:pt idx="6585">
                  <c:v>8</c:v>
                </c:pt>
                <c:pt idx="6586">
                  <c:v>8</c:v>
                </c:pt>
                <c:pt idx="6587">
                  <c:v>8</c:v>
                </c:pt>
                <c:pt idx="6588">
                  <c:v>8</c:v>
                </c:pt>
                <c:pt idx="6589">
                  <c:v>8</c:v>
                </c:pt>
                <c:pt idx="6590">
                  <c:v>8</c:v>
                </c:pt>
                <c:pt idx="6591">
                  <c:v>8</c:v>
                </c:pt>
                <c:pt idx="6592">
                  <c:v>8</c:v>
                </c:pt>
                <c:pt idx="6593">
                  <c:v>8</c:v>
                </c:pt>
                <c:pt idx="6594">
                  <c:v>8</c:v>
                </c:pt>
                <c:pt idx="6595">
                  <c:v>8</c:v>
                </c:pt>
                <c:pt idx="6596">
                  <c:v>8</c:v>
                </c:pt>
                <c:pt idx="6597">
                  <c:v>8</c:v>
                </c:pt>
                <c:pt idx="6598">
                  <c:v>8</c:v>
                </c:pt>
                <c:pt idx="6599">
                  <c:v>8</c:v>
                </c:pt>
                <c:pt idx="6600">
                  <c:v>8</c:v>
                </c:pt>
                <c:pt idx="6601">
                  <c:v>8</c:v>
                </c:pt>
                <c:pt idx="6602">
                  <c:v>8</c:v>
                </c:pt>
                <c:pt idx="6603">
                  <c:v>8</c:v>
                </c:pt>
                <c:pt idx="6604">
                  <c:v>8</c:v>
                </c:pt>
                <c:pt idx="6605">
                  <c:v>8</c:v>
                </c:pt>
                <c:pt idx="6606">
                  <c:v>8</c:v>
                </c:pt>
                <c:pt idx="6607">
                  <c:v>8</c:v>
                </c:pt>
                <c:pt idx="6608">
                  <c:v>8</c:v>
                </c:pt>
                <c:pt idx="6609">
                  <c:v>8</c:v>
                </c:pt>
                <c:pt idx="6610">
                  <c:v>8</c:v>
                </c:pt>
                <c:pt idx="6611">
                  <c:v>8</c:v>
                </c:pt>
                <c:pt idx="6612">
                  <c:v>8</c:v>
                </c:pt>
                <c:pt idx="6613">
                  <c:v>8</c:v>
                </c:pt>
                <c:pt idx="6614">
                  <c:v>8</c:v>
                </c:pt>
                <c:pt idx="6615">
                  <c:v>8</c:v>
                </c:pt>
                <c:pt idx="6616">
                  <c:v>8</c:v>
                </c:pt>
                <c:pt idx="6617">
                  <c:v>8</c:v>
                </c:pt>
                <c:pt idx="6618">
                  <c:v>8</c:v>
                </c:pt>
                <c:pt idx="6619">
                  <c:v>8</c:v>
                </c:pt>
                <c:pt idx="6620">
                  <c:v>8</c:v>
                </c:pt>
                <c:pt idx="6621">
                  <c:v>8</c:v>
                </c:pt>
                <c:pt idx="6622">
                  <c:v>8</c:v>
                </c:pt>
                <c:pt idx="6623">
                  <c:v>8</c:v>
                </c:pt>
                <c:pt idx="6624">
                  <c:v>8</c:v>
                </c:pt>
                <c:pt idx="6625">
                  <c:v>8</c:v>
                </c:pt>
                <c:pt idx="6626">
                  <c:v>8</c:v>
                </c:pt>
                <c:pt idx="6627">
                  <c:v>8</c:v>
                </c:pt>
                <c:pt idx="6628">
                  <c:v>8</c:v>
                </c:pt>
                <c:pt idx="6629">
                  <c:v>8</c:v>
                </c:pt>
                <c:pt idx="6630">
                  <c:v>8</c:v>
                </c:pt>
                <c:pt idx="6631">
                  <c:v>8</c:v>
                </c:pt>
                <c:pt idx="6632">
                  <c:v>8</c:v>
                </c:pt>
                <c:pt idx="6633">
                  <c:v>8</c:v>
                </c:pt>
                <c:pt idx="6634">
                  <c:v>8</c:v>
                </c:pt>
                <c:pt idx="6635">
                  <c:v>8</c:v>
                </c:pt>
                <c:pt idx="6636">
                  <c:v>8</c:v>
                </c:pt>
                <c:pt idx="6637">
                  <c:v>8</c:v>
                </c:pt>
                <c:pt idx="6638">
                  <c:v>8</c:v>
                </c:pt>
                <c:pt idx="6639">
                  <c:v>8</c:v>
                </c:pt>
                <c:pt idx="6640">
                  <c:v>8</c:v>
                </c:pt>
                <c:pt idx="6641">
                  <c:v>8</c:v>
                </c:pt>
                <c:pt idx="6642">
                  <c:v>8</c:v>
                </c:pt>
                <c:pt idx="6643">
                  <c:v>8</c:v>
                </c:pt>
                <c:pt idx="6644">
                  <c:v>8</c:v>
                </c:pt>
                <c:pt idx="6645">
                  <c:v>8</c:v>
                </c:pt>
                <c:pt idx="6646">
                  <c:v>8</c:v>
                </c:pt>
                <c:pt idx="6647">
                  <c:v>8</c:v>
                </c:pt>
                <c:pt idx="6932">
                  <c:v>9</c:v>
                </c:pt>
                <c:pt idx="6933">
                  <c:v>9</c:v>
                </c:pt>
                <c:pt idx="6934">
                  <c:v>9</c:v>
                </c:pt>
                <c:pt idx="6935">
                  <c:v>9</c:v>
                </c:pt>
                <c:pt idx="6936">
                  <c:v>9</c:v>
                </c:pt>
                <c:pt idx="6937">
                  <c:v>9</c:v>
                </c:pt>
                <c:pt idx="6938">
                  <c:v>9</c:v>
                </c:pt>
                <c:pt idx="6939">
                  <c:v>9</c:v>
                </c:pt>
                <c:pt idx="6940">
                  <c:v>9</c:v>
                </c:pt>
                <c:pt idx="6941">
                  <c:v>9</c:v>
                </c:pt>
                <c:pt idx="6942">
                  <c:v>9</c:v>
                </c:pt>
                <c:pt idx="6943">
                  <c:v>9</c:v>
                </c:pt>
                <c:pt idx="6944">
                  <c:v>9</c:v>
                </c:pt>
                <c:pt idx="6945">
                  <c:v>9</c:v>
                </c:pt>
                <c:pt idx="6946">
                  <c:v>9</c:v>
                </c:pt>
                <c:pt idx="6947">
                  <c:v>9</c:v>
                </c:pt>
                <c:pt idx="6948">
                  <c:v>9</c:v>
                </c:pt>
                <c:pt idx="6949">
                  <c:v>9</c:v>
                </c:pt>
                <c:pt idx="6950">
                  <c:v>9</c:v>
                </c:pt>
                <c:pt idx="6951">
                  <c:v>9</c:v>
                </c:pt>
                <c:pt idx="6952">
                  <c:v>9</c:v>
                </c:pt>
                <c:pt idx="6953">
                  <c:v>9</c:v>
                </c:pt>
                <c:pt idx="6954">
                  <c:v>9</c:v>
                </c:pt>
                <c:pt idx="6955">
                  <c:v>9</c:v>
                </c:pt>
                <c:pt idx="6956">
                  <c:v>9</c:v>
                </c:pt>
                <c:pt idx="6957">
                  <c:v>9</c:v>
                </c:pt>
                <c:pt idx="6958">
                  <c:v>9</c:v>
                </c:pt>
                <c:pt idx="6959">
                  <c:v>9</c:v>
                </c:pt>
                <c:pt idx="6960">
                  <c:v>9</c:v>
                </c:pt>
                <c:pt idx="6961">
                  <c:v>9</c:v>
                </c:pt>
                <c:pt idx="6962">
                  <c:v>9</c:v>
                </c:pt>
                <c:pt idx="6963">
                  <c:v>9</c:v>
                </c:pt>
                <c:pt idx="6964">
                  <c:v>9</c:v>
                </c:pt>
                <c:pt idx="6965">
                  <c:v>9</c:v>
                </c:pt>
                <c:pt idx="6966">
                  <c:v>9</c:v>
                </c:pt>
                <c:pt idx="6967">
                  <c:v>9</c:v>
                </c:pt>
                <c:pt idx="6968">
                  <c:v>9</c:v>
                </c:pt>
                <c:pt idx="6969">
                  <c:v>9</c:v>
                </c:pt>
                <c:pt idx="6970">
                  <c:v>9</c:v>
                </c:pt>
                <c:pt idx="6971">
                  <c:v>9</c:v>
                </c:pt>
                <c:pt idx="6972">
                  <c:v>9</c:v>
                </c:pt>
                <c:pt idx="6973">
                  <c:v>9</c:v>
                </c:pt>
                <c:pt idx="6974">
                  <c:v>9</c:v>
                </c:pt>
                <c:pt idx="6975">
                  <c:v>9</c:v>
                </c:pt>
                <c:pt idx="6976">
                  <c:v>9</c:v>
                </c:pt>
                <c:pt idx="6977">
                  <c:v>9</c:v>
                </c:pt>
                <c:pt idx="6978">
                  <c:v>9</c:v>
                </c:pt>
                <c:pt idx="6979">
                  <c:v>9</c:v>
                </c:pt>
                <c:pt idx="6980">
                  <c:v>9</c:v>
                </c:pt>
                <c:pt idx="6981">
                  <c:v>9</c:v>
                </c:pt>
                <c:pt idx="6982">
                  <c:v>9</c:v>
                </c:pt>
                <c:pt idx="6983">
                  <c:v>9</c:v>
                </c:pt>
                <c:pt idx="6984">
                  <c:v>9</c:v>
                </c:pt>
                <c:pt idx="6985">
                  <c:v>9</c:v>
                </c:pt>
                <c:pt idx="6986">
                  <c:v>9</c:v>
                </c:pt>
                <c:pt idx="6987">
                  <c:v>9</c:v>
                </c:pt>
                <c:pt idx="6988">
                  <c:v>9</c:v>
                </c:pt>
                <c:pt idx="6989">
                  <c:v>9</c:v>
                </c:pt>
                <c:pt idx="6990">
                  <c:v>9</c:v>
                </c:pt>
                <c:pt idx="6991">
                  <c:v>9</c:v>
                </c:pt>
                <c:pt idx="6992">
                  <c:v>9</c:v>
                </c:pt>
                <c:pt idx="6993">
                  <c:v>9</c:v>
                </c:pt>
                <c:pt idx="6994">
                  <c:v>9</c:v>
                </c:pt>
                <c:pt idx="6995">
                  <c:v>9</c:v>
                </c:pt>
                <c:pt idx="6996">
                  <c:v>9</c:v>
                </c:pt>
                <c:pt idx="6997">
                  <c:v>9</c:v>
                </c:pt>
                <c:pt idx="6998">
                  <c:v>9</c:v>
                </c:pt>
                <c:pt idx="6999">
                  <c:v>9</c:v>
                </c:pt>
                <c:pt idx="7000">
                  <c:v>9</c:v>
                </c:pt>
                <c:pt idx="7001">
                  <c:v>9</c:v>
                </c:pt>
                <c:pt idx="7002">
                  <c:v>9</c:v>
                </c:pt>
                <c:pt idx="7003">
                  <c:v>9</c:v>
                </c:pt>
                <c:pt idx="7004">
                  <c:v>9</c:v>
                </c:pt>
                <c:pt idx="7005">
                  <c:v>9</c:v>
                </c:pt>
                <c:pt idx="7006">
                  <c:v>9</c:v>
                </c:pt>
                <c:pt idx="7007">
                  <c:v>9</c:v>
                </c:pt>
                <c:pt idx="7008">
                  <c:v>9</c:v>
                </c:pt>
                <c:pt idx="7009">
                  <c:v>9</c:v>
                </c:pt>
                <c:pt idx="7010">
                  <c:v>9</c:v>
                </c:pt>
                <c:pt idx="7011">
                  <c:v>9</c:v>
                </c:pt>
                <c:pt idx="7012">
                  <c:v>9</c:v>
                </c:pt>
                <c:pt idx="7013">
                  <c:v>9</c:v>
                </c:pt>
                <c:pt idx="7014">
                  <c:v>9</c:v>
                </c:pt>
                <c:pt idx="7015">
                  <c:v>9</c:v>
                </c:pt>
                <c:pt idx="7016">
                  <c:v>9</c:v>
                </c:pt>
                <c:pt idx="7017">
                  <c:v>9</c:v>
                </c:pt>
                <c:pt idx="7018">
                  <c:v>9</c:v>
                </c:pt>
                <c:pt idx="7019">
                  <c:v>9</c:v>
                </c:pt>
                <c:pt idx="7020">
                  <c:v>9</c:v>
                </c:pt>
                <c:pt idx="7021">
                  <c:v>9</c:v>
                </c:pt>
                <c:pt idx="7022">
                  <c:v>9</c:v>
                </c:pt>
                <c:pt idx="7023">
                  <c:v>9</c:v>
                </c:pt>
                <c:pt idx="7024">
                  <c:v>9</c:v>
                </c:pt>
                <c:pt idx="7025">
                  <c:v>9</c:v>
                </c:pt>
                <c:pt idx="7026">
                  <c:v>9</c:v>
                </c:pt>
                <c:pt idx="7027">
                  <c:v>9</c:v>
                </c:pt>
                <c:pt idx="7028">
                  <c:v>9</c:v>
                </c:pt>
                <c:pt idx="7029">
                  <c:v>9</c:v>
                </c:pt>
                <c:pt idx="7030">
                  <c:v>9</c:v>
                </c:pt>
                <c:pt idx="7031">
                  <c:v>9</c:v>
                </c:pt>
                <c:pt idx="7032">
                  <c:v>9</c:v>
                </c:pt>
                <c:pt idx="7033">
                  <c:v>9</c:v>
                </c:pt>
                <c:pt idx="7034">
                  <c:v>9</c:v>
                </c:pt>
                <c:pt idx="7035">
                  <c:v>9</c:v>
                </c:pt>
                <c:pt idx="7036">
                  <c:v>9</c:v>
                </c:pt>
                <c:pt idx="7037">
                  <c:v>9</c:v>
                </c:pt>
                <c:pt idx="7038">
                  <c:v>9</c:v>
                </c:pt>
                <c:pt idx="7039">
                  <c:v>9</c:v>
                </c:pt>
                <c:pt idx="7040">
                  <c:v>9</c:v>
                </c:pt>
                <c:pt idx="7041">
                  <c:v>9</c:v>
                </c:pt>
                <c:pt idx="7042">
                  <c:v>9</c:v>
                </c:pt>
                <c:pt idx="7043">
                  <c:v>9</c:v>
                </c:pt>
                <c:pt idx="7044">
                  <c:v>9</c:v>
                </c:pt>
                <c:pt idx="7045">
                  <c:v>9</c:v>
                </c:pt>
                <c:pt idx="7046">
                  <c:v>9</c:v>
                </c:pt>
                <c:pt idx="7047">
                  <c:v>9</c:v>
                </c:pt>
                <c:pt idx="7048">
                  <c:v>9</c:v>
                </c:pt>
                <c:pt idx="7049">
                  <c:v>9</c:v>
                </c:pt>
                <c:pt idx="7050">
                  <c:v>9</c:v>
                </c:pt>
                <c:pt idx="7051">
                  <c:v>9</c:v>
                </c:pt>
                <c:pt idx="7052">
                  <c:v>9</c:v>
                </c:pt>
                <c:pt idx="7053">
                  <c:v>9</c:v>
                </c:pt>
                <c:pt idx="7054">
                  <c:v>9</c:v>
                </c:pt>
                <c:pt idx="7055">
                  <c:v>9</c:v>
                </c:pt>
                <c:pt idx="7056">
                  <c:v>9</c:v>
                </c:pt>
                <c:pt idx="7057">
                  <c:v>9</c:v>
                </c:pt>
                <c:pt idx="7058">
                  <c:v>9</c:v>
                </c:pt>
                <c:pt idx="7059">
                  <c:v>9</c:v>
                </c:pt>
                <c:pt idx="7060">
                  <c:v>9</c:v>
                </c:pt>
                <c:pt idx="7061">
                  <c:v>9</c:v>
                </c:pt>
                <c:pt idx="7062">
                  <c:v>9</c:v>
                </c:pt>
                <c:pt idx="7063">
                  <c:v>9</c:v>
                </c:pt>
                <c:pt idx="7064">
                  <c:v>9</c:v>
                </c:pt>
                <c:pt idx="7065">
                  <c:v>9</c:v>
                </c:pt>
                <c:pt idx="7066">
                  <c:v>9</c:v>
                </c:pt>
                <c:pt idx="7067">
                  <c:v>9</c:v>
                </c:pt>
                <c:pt idx="7068">
                  <c:v>9</c:v>
                </c:pt>
                <c:pt idx="706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5D-4C9A-ADD2-10FA57F1F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910159"/>
        <c:axId val="775912655"/>
      </c:scatterChart>
      <c:valAx>
        <c:axId val="775910159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5912655"/>
        <c:crosses val="autoZero"/>
        <c:crossBetween val="midCat"/>
        <c:majorUnit val="1000"/>
      </c:valAx>
      <c:valAx>
        <c:axId val="775912655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591015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794509671639984"/>
          <c:y val="0.96386143310061312"/>
          <c:w val="0.47210204825239027"/>
          <c:h val="3.4024947367545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1_76_LE_MALE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transpose!$P$1</c:f>
              <c:strCache>
                <c:ptCount val="1"/>
                <c:pt idx="0">
                  <c:v>K2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transpose!$P$2:$P$7653</c:f>
              <c:numCache>
                <c:formatCode>General</c:formatCode>
                <c:ptCount val="7652"/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868">
                  <c:v>4</c:v>
                </c:pt>
                <c:pt idx="6869">
                  <c:v>4</c:v>
                </c:pt>
                <c:pt idx="6870">
                  <c:v>4</c:v>
                </c:pt>
                <c:pt idx="6871">
                  <c:v>4</c:v>
                </c:pt>
                <c:pt idx="6872">
                  <c:v>4</c:v>
                </c:pt>
                <c:pt idx="6873">
                  <c:v>4</c:v>
                </c:pt>
                <c:pt idx="6874">
                  <c:v>4</c:v>
                </c:pt>
                <c:pt idx="6875">
                  <c:v>4</c:v>
                </c:pt>
                <c:pt idx="6876">
                  <c:v>4</c:v>
                </c:pt>
                <c:pt idx="7295">
                  <c:v>5</c:v>
                </c:pt>
                <c:pt idx="7296">
                  <c:v>5</c:v>
                </c:pt>
                <c:pt idx="7297">
                  <c:v>5</c:v>
                </c:pt>
                <c:pt idx="7298">
                  <c:v>5</c:v>
                </c:pt>
                <c:pt idx="7299">
                  <c:v>5</c:v>
                </c:pt>
                <c:pt idx="7300">
                  <c:v>5</c:v>
                </c:pt>
                <c:pt idx="7301">
                  <c:v>5</c:v>
                </c:pt>
                <c:pt idx="730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3-421E-88E9-22CAEC3436C6}"/>
            </c:ext>
          </c:extLst>
        </c:ser>
        <c:ser>
          <c:idx val="1"/>
          <c:order val="1"/>
          <c:tx>
            <c:strRef>
              <c:f>transpose!$T$1</c:f>
              <c:strCache>
                <c:ptCount val="1"/>
                <c:pt idx="0">
                  <c:v>B4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transpose!$T$2:$T$7653</c:f>
              <c:numCache>
                <c:formatCode>General</c:formatCode>
                <c:ptCount val="7652"/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74">
                  <c:v>4</c:v>
                </c:pt>
                <c:pt idx="5375">
                  <c:v>4</c:v>
                </c:pt>
                <c:pt idx="5376">
                  <c:v>4</c:v>
                </c:pt>
                <c:pt idx="5377">
                  <c:v>4</c:v>
                </c:pt>
                <c:pt idx="5378">
                  <c:v>4</c:v>
                </c:pt>
                <c:pt idx="5379">
                  <c:v>4</c:v>
                </c:pt>
                <c:pt idx="5380">
                  <c:v>4</c:v>
                </c:pt>
                <c:pt idx="7159">
                  <c:v>5</c:v>
                </c:pt>
                <c:pt idx="7160">
                  <c:v>5</c:v>
                </c:pt>
                <c:pt idx="7161">
                  <c:v>5</c:v>
                </c:pt>
                <c:pt idx="7162">
                  <c:v>5</c:v>
                </c:pt>
                <c:pt idx="7163">
                  <c:v>5</c:v>
                </c:pt>
                <c:pt idx="7164">
                  <c:v>5</c:v>
                </c:pt>
                <c:pt idx="7165">
                  <c:v>5</c:v>
                </c:pt>
                <c:pt idx="7166">
                  <c:v>5</c:v>
                </c:pt>
                <c:pt idx="7167">
                  <c:v>5</c:v>
                </c:pt>
                <c:pt idx="7168">
                  <c:v>5</c:v>
                </c:pt>
                <c:pt idx="7169">
                  <c:v>5</c:v>
                </c:pt>
                <c:pt idx="7170">
                  <c:v>5</c:v>
                </c:pt>
                <c:pt idx="7171">
                  <c:v>5</c:v>
                </c:pt>
                <c:pt idx="7172">
                  <c:v>5</c:v>
                </c:pt>
                <c:pt idx="7173">
                  <c:v>5</c:v>
                </c:pt>
                <c:pt idx="7174">
                  <c:v>5</c:v>
                </c:pt>
                <c:pt idx="7175">
                  <c:v>5</c:v>
                </c:pt>
                <c:pt idx="7176">
                  <c:v>5</c:v>
                </c:pt>
                <c:pt idx="7177">
                  <c:v>5</c:v>
                </c:pt>
                <c:pt idx="7178">
                  <c:v>5</c:v>
                </c:pt>
                <c:pt idx="7179">
                  <c:v>5</c:v>
                </c:pt>
                <c:pt idx="7180">
                  <c:v>5</c:v>
                </c:pt>
                <c:pt idx="7181">
                  <c:v>5</c:v>
                </c:pt>
                <c:pt idx="718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83-421E-88E9-22CAEC3436C6}"/>
            </c:ext>
          </c:extLst>
        </c:ser>
        <c:ser>
          <c:idx val="2"/>
          <c:order val="2"/>
          <c:tx>
            <c:strRef>
              <c:f>transpose!$X$1</c:f>
              <c:strCache>
                <c:ptCount val="1"/>
                <c:pt idx="0">
                  <c:v>B6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transpose!$X$2:$X$7653</c:f>
              <c:numCache>
                <c:formatCode>General</c:formatCode>
                <c:ptCount val="7652"/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2</c:v>
                </c:pt>
                <c:pt idx="6113">
                  <c:v>2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83-421E-88E9-22CAEC3436C6}"/>
            </c:ext>
          </c:extLst>
        </c:ser>
        <c:ser>
          <c:idx val="3"/>
          <c:order val="3"/>
          <c:tx>
            <c:strRef>
              <c:f>transpose!$AB$1</c:f>
              <c:strCache>
                <c:ptCount val="1"/>
                <c:pt idx="0">
                  <c:v>B8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transpose!$AB$2:$AB$7653</c:f>
              <c:numCache>
                <c:formatCode>General</c:formatCode>
                <c:ptCount val="7652"/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6706">
                  <c:v>4</c:v>
                </c:pt>
                <c:pt idx="6707">
                  <c:v>4</c:v>
                </c:pt>
                <c:pt idx="6708">
                  <c:v>4</c:v>
                </c:pt>
                <c:pt idx="6709">
                  <c:v>4</c:v>
                </c:pt>
                <c:pt idx="6710">
                  <c:v>4</c:v>
                </c:pt>
                <c:pt idx="6711">
                  <c:v>4</c:v>
                </c:pt>
                <c:pt idx="6712">
                  <c:v>4</c:v>
                </c:pt>
                <c:pt idx="6713">
                  <c:v>4</c:v>
                </c:pt>
                <c:pt idx="6714">
                  <c:v>4</c:v>
                </c:pt>
                <c:pt idx="6715">
                  <c:v>4</c:v>
                </c:pt>
                <c:pt idx="6716">
                  <c:v>4</c:v>
                </c:pt>
                <c:pt idx="6717">
                  <c:v>4</c:v>
                </c:pt>
                <c:pt idx="7087">
                  <c:v>5</c:v>
                </c:pt>
                <c:pt idx="7088">
                  <c:v>5</c:v>
                </c:pt>
                <c:pt idx="7089">
                  <c:v>5</c:v>
                </c:pt>
                <c:pt idx="7090">
                  <c:v>5</c:v>
                </c:pt>
                <c:pt idx="7091">
                  <c:v>5</c:v>
                </c:pt>
                <c:pt idx="7092">
                  <c:v>5</c:v>
                </c:pt>
                <c:pt idx="7093">
                  <c:v>5</c:v>
                </c:pt>
                <c:pt idx="709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83-421E-88E9-22CAEC3436C6}"/>
            </c:ext>
          </c:extLst>
        </c:ser>
        <c:ser>
          <c:idx val="4"/>
          <c:order val="4"/>
          <c:tx>
            <c:strRef>
              <c:f>transpose!$AF$1</c:f>
              <c:strCache>
                <c:ptCount val="1"/>
                <c:pt idx="0">
                  <c:v>B10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transpose!$AF$2:$AF$7653</c:f>
              <c:numCache>
                <c:formatCode>General</c:formatCode>
                <c:ptCount val="7652"/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6652">
                  <c:v>4</c:v>
                </c:pt>
                <c:pt idx="6653">
                  <c:v>4</c:v>
                </c:pt>
                <c:pt idx="6654">
                  <c:v>4</c:v>
                </c:pt>
                <c:pt idx="6655">
                  <c:v>4</c:v>
                </c:pt>
                <c:pt idx="6656">
                  <c:v>4</c:v>
                </c:pt>
                <c:pt idx="6657">
                  <c:v>4</c:v>
                </c:pt>
                <c:pt idx="6658">
                  <c:v>4</c:v>
                </c:pt>
                <c:pt idx="6659">
                  <c:v>4</c:v>
                </c:pt>
                <c:pt idx="6660">
                  <c:v>4</c:v>
                </c:pt>
                <c:pt idx="6661">
                  <c:v>4</c:v>
                </c:pt>
                <c:pt idx="6662">
                  <c:v>4</c:v>
                </c:pt>
                <c:pt idx="6663">
                  <c:v>4</c:v>
                </c:pt>
                <c:pt idx="6664">
                  <c:v>4</c:v>
                </c:pt>
                <c:pt idx="6665">
                  <c:v>4</c:v>
                </c:pt>
                <c:pt idx="6666">
                  <c:v>4</c:v>
                </c:pt>
                <c:pt idx="6667">
                  <c:v>4</c:v>
                </c:pt>
                <c:pt idx="6668">
                  <c:v>4</c:v>
                </c:pt>
                <c:pt idx="6669">
                  <c:v>4</c:v>
                </c:pt>
                <c:pt idx="6670">
                  <c:v>4</c:v>
                </c:pt>
                <c:pt idx="6671">
                  <c:v>4</c:v>
                </c:pt>
                <c:pt idx="6672">
                  <c:v>4</c:v>
                </c:pt>
                <c:pt idx="6673">
                  <c:v>4</c:v>
                </c:pt>
                <c:pt idx="6674">
                  <c:v>4</c:v>
                </c:pt>
                <c:pt idx="6675">
                  <c:v>4</c:v>
                </c:pt>
                <c:pt idx="6676">
                  <c:v>4</c:v>
                </c:pt>
                <c:pt idx="6677">
                  <c:v>4</c:v>
                </c:pt>
                <c:pt idx="6678">
                  <c:v>4</c:v>
                </c:pt>
                <c:pt idx="6679">
                  <c:v>4</c:v>
                </c:pt>
                <c:pt idx="668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83-421E-88E9-22CAEC3436C6}"/>
            </c:ext>
          </c:extLst>
        </c:ser>
        <c:ser>
          <c:idx val="5"/>
          <c:order val="5"/>
          <c:tx>
            <c:strRef>
              <c:f>transpose!$AJ$1</c:f>
              <c:strCache>
                <c:ptCount val="1"/>
                <c:pt idx="0">
                  <c:v>B12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transpose!$AJ$2:$AJ$7653</c:f>
              <c:numCache>
                <c:formatCode>General</c:formatCode>
                <c:ptCount val="7652"/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86">
                  <c:v>4</c:v>
                </c:pt>
                <c:pt idx="6587">
                  <c:v>4</c:v>
                </c:pt>
                <c:pt idx="6588">
                  <c:v>4</c:v>
                </c:pt>
                <c:pt idx="6589">
                  <c:v>4</c:v>
                </c:pt>
                <c:pt idx="6590">
                  <c:v>4</c:v>
                </c:pt>
                <c:pt idx="6591">
                  <c:v>4</c:v>
                </c:pt>
                <c:pt idx="6592">
                  <c:v>4</c:v>
                </c:pt>
                <c:pt idx="6593">
                  <c:v>4</c:v>
                </c:pt>
                <c:pt idx="6594">
                  <c:v>4</c:v>
                </c:pt>
                <c:pt idx="6595">
                  <c:v>4</c:v>
                </c:pt>
                <c:pt idx="6596">
                  <c:v>4</c:v>
                </c:pt>
                <c:pt idx="6597">
                  <c:v>4</c:v>
                </c:pt>
                <c:pt idx="6598">
                  <c:v>4</c:v>
                </c:pt>
                <c:pt idx="6599">
                  <c:v>4</c:v>
                </c:pt>
                <c:pt idx="6600">
                  <c:v>4</c:v>
                </c:pt>
                <c:pt idx="6601">
                  <c:v>4</c:v>
                </c:pt>
                <c:pt idx="6602">
                  <c:v>4</c:v>
                </c:pt>
                <c:pt idx="6603">
                  <c:v>4</c:v>
                </c:pt>
                <c:pt idx="6604">
                  <c:v>4</c:v>
                </c:pt>
                <c:pt idx="6605">
                  <c:v>4</c:v>
                </c:pt>
                <c:pt idx="6606">
                  <c:v>4</c:v>
                </c:pt>
                <c:pt idx="6607">
                  <c:v>4</c:v>
                </c:pt>
                <c:pt idx="6608">
                  <c:v>4</c:v>
                </c:pt>
                <c:pt idx="6609">
                  <c:v>4</c:v>
                </c:pt>
                <c:pt idx="7023">
                  <c:v>5</c:v>
                </c:pt>
                <c:pt idx="7024">
                  <c:v>5</c:v>
                </c:pt>
                <c:pt idx="7025">
                  <c:v>5</c:v>
                </c:pt>
                <c:pt idx="7026">
                  <c:v>5</c:v>
                </c:pt>
                <c:pt idx="7027">
                  <c:v>5</c:v>
                </c:pt>
                <c:pt idx="7028">
                  <c:v>5</c:v>
                </c:pt>
                <c:pt idx="7029">
                  <c:v>5</c:v>
                </c:pt>
                <c:pt idx="7030">
                  <c:v>5</c:v>
                </c:pt>
                <c:pt idx="7031">
                  <c:v>5</c:v>
                </c:pt>
                <c:pt idx="7032">
                  <c:v>5</c:v>
                </c:pt>
                <c:pt idx="7033">
                  <c:v>5</c:v>
                </c:pt>
                <c:pt idx="7034">
                  <c:v>5</c:v>
                </c:pt>
                <c:pt idx="703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83-421E-88E9-22CAEC3436C6}"/>
            </c:ext>
          </c:extLst>
        </c:ser>
        <c:ser>
          <c:idx val="6"/>
          <c:order val="6"/>
          <c:tx>
            <c:strRef>
              <c:f>transpose!$AN$1</c:f>
              <c:strCache>
                <c:ptCount val="1"/>
                <c:pt idx="0">
                  <c:v>B14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transpose!$AN$2:$AN$7653</c:f>
              <c:numCache>
                <c:formatCode>General</c:formatCode>
                <c:ptCount val="7652"/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6394">
                  <c:v>4</c:v>
                </c:pt>
                <c:pt idx="6395">
                  <c:v>4</c:v>
                </c:pt>
                <c:pt idx="6396">
                  <c:v>4</c:v>
                </c:pt>
                <c:pt idx="6397">
                  <c:v>4</c:v>
                </c:pt>
                <c:pt idx="6398">
                  <c:v>4</c:v>
                </c:pt>
                <c:pt idx="6399">
                  <c:v>4</c:v>
                </c:pt>
                <c:pt idx="6400">
                  <c:v>4</c:v>
                </c:pt>
                <c:pt idx="6401">
                  <c:v>4</c:v>
                </c:pt>
                <c:pt idx="6402">
                  <c:v>4</c:v>
                </c:pt>
                <c:pt idx="6403">
                  <c:v>4</c:v>
                </c:pt>
                <c:pt idx="6404">
                  <c:v>4</c:v>
                </c:pt>
                <c:pt idx="6405">
                  <c:v>4</c:v>
                </c:pt>
                <c:pt idx="6406">
                  <c:v>4</c:v>
                </c:pt>
                <c:pt idx="6407">
                  <c:v>4</c:v>
                </c:pt>
                <c:pt idx="6408">
                  <c:v>4</c:v>
                </c:pt>
                <c:pt idx="6454">
                  <c:v>5</c:v>
                </c:pt>
                <c:pt idx="6455">
                  <c:v>5</c:v>
                </c:pt>
                <c:pt idx="6456">
                  <c:v>5</c:v>
                </c:pt>
                <c:pt idx="6457">
                  <c:v>5</c:v>
                </c:pt>
                <c:pt idx="6458">
                  <c:v>5</c:v>
                </c:pt>
                <c:pt idx="6459">
                  <c:v>5</c:v>
                </c:pt>
                <c:pt idx="6460">
                  <c:v>5</c:v>
                </c:pt>
                <c:pt idx="6461">
                  <c:v>5</c:v>
                </c:pt>
                <c:pt idx="6462">
                  <c:v>5</c:v>
                </c:pt>
                <c:pt idx="6463">
                  <c:v>5</c:v>
                </c:pt>
                <c:pt idx="6464">
                  <c:v>5</c:v>
                </c:pt>
                <c:pt idx="6465">
                  <c:v>5</c:v>
                </c:pt>
                <c:pt idx="6466">
                  <c:v>5</c:v>
                </c:pt>
                <c:pt idx="6467">
                  <c:v>5</c:v>
                </c:pt>
                <c:pt idx="6468">
                  <c:v>5</c:v>
                </c:pt>
                <c:pt idx="6469">
                  <c:v>5</c:v>
                </c:pt>
                <c:pt idx="6470">
                  <c:v>5</c:v>
                </c:pt>
                <c:pt idx="6471">
                  <c:v>5</c:v>
                </c:pt>
                <c:pt idx="6472">
                  <c:v>5</c:v>
                </c:pt>
                <c:pt idx="6473">
                  <c:v>5</c:v>
                </c:pt>
                <c:pt idx="6474">
                  <c:v>5</c:v>
                </c:pt>
                <c:pt idx="6475">
                  <c:v>5</c:v>
                </c:pt>
                <c:pt idx="6476">
                  <c:v>5</c:v>
                </c:pt>
                <c:pt idx="6477">
                  <c:v>5</c:v>
                </c:pt>
                <c:pt idx="6478">
                  <c:v>5</c:v>
                </c:pt>
                <c:pt idx="6479">
                  <c:v>5</c:v>
                </c:pt>
                <c:pt idx="6480">
                  <c:v>5</c:v>
                </c:pt>
                <c:pt idx="6481">
                  <c:v>5</c:v>
                </c:pt>
                <c:pt idx="6482">
                  <c:v>5</c:v>
                </c:pt>
                <c:pt idx="6483">
                  <c:v>5</c:v>
                </c:pt>
                <c:pt idx="6484">
                  <c:v>5</c:v>
                </c:pt>
                <c:pt idx="6485">
                  <c:v>5</c:v>
                </c:pt>
                <c:pt idx="6486">
                  <c:v>5</c:v>
                </c:pt>
                <c:pt idx="6487">
                  <c:v>5</c:v>
                </c:pt>
                <c:pt idx="6488">
                  <c:v>5</c:v>
                </c:pt>
                <c:pt idx="6489">
                  <c:v>5</c:v>
                </c:pt>
                <c:pt idx="6490">
                  <c:v>5</c:v>
                </c:pt>
                <c:pt idx="6491">
                  <c:v>5</c:v>
                </c:pt>
                <c:pt idx="6492">
                  <c:v>5</c:v>
                </c:pt>
                <c:pt idx="6944">
                  <c:v>6</c:v>
                </c:pt>
                <c:pt idx="6945">
                  <c:v>6</c:v>
                </c:pt>
                <c:pt idx="6946">
                  <c:v>6</c:v>
                </c:pt>
                <c:pt idx="6947">
                  <c:v>6</c:v>
                </c:pt>
                <c:pt idx="6948">
                  <c:v>6</c:v>
                </c:pt>
                <c:pt idx="6949">
                  <c:v>6</c:v>
                </c:pt>
                <c:pt idx="6950">
                  <c:v>6</c:v>
                </c:pt>
                <c:pt idx="6951">
                  <c:v>6</c:v>
                </c:pt>
                <c:pt idx="6952">
                  <c:v>6</c:v>
                </c:pt>
                <c:pt idx="6953">
                  <c:v>6</c:v>
                </c:pt>
                <c:pt idx="6954">
                  <c:v>6</c:v>
                </c:pt>
                <c:pt idx="6955">
                  <c:v>6</c:v>
                </c:pt>
                <c:pt idx="6956">
                  <c:v>6</c:v>
                </c:pt>
                <c:pt idx="6957">
                  <c:v>6</c:v>
                </c:pt>
                <c:pt idx="6958">
                  <c:v>6</c:v>
                </c:pt>
                <c:pt idx="6959">
                  <c:v>6</c:v>
                </c:pt>
                <c:pt idx="6960">
                  <c:v>6</c:v>
                </c:pt>
                <c:pt idx="6961">
                  <c:v>6</c:v>
                </c:pt>
                <c:pt idx="6962">
                  <c:v>6</c:v>
                </c:pt>
                <c:pt idx="6963">
                  <c:v>6</c:v>
                </c:pt>
                <c:pt idx="6964">
                  <c:v>6</c:v>
                </c:pt>
                <c:pt idx="6965">
                  <c:v>6</c:v>
                </c:pt>
                <c:pt idx="6966">
                  <c:v>6</c:v>
                </c:pt>
                <c:pt idx="6967">
                  <c:v>6</c:v>
                </c:pt>
                <c:pt idx="6968">
                  <c:v>6</c:v>
                </c:pt>
                <c:pt idx="6969">
                  <c:v>6</c:v>
                </c:pt>
                <c:pt idx="6970">
                  <c:v>6</c:v>
                </c:pt>
                <c:pt idx="6971">
                  <c:v>6</c:v>
                </c:pt>
                <c:pt idx="6972">
                  <c:v>6</c:v>
                </c:pt>
                <c:pt idx="6973">
                  <c:v>6</c:v>
                </c:pt>
                <c:pt idx="6974">
                  <c:v>6</c:v>
                </c:pt>
                <c:pt idx="6975">
                  <c:v>6</c:v>
                </c:pt>
                <c:pt idx="6976">
                  <c:v>6</c:v>
                </c:pt>
                <c:pt idx="697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83-421E-88E9-22CAEC3436C6}"/>
            </c:ext>
          </c:extLst>
        </c:ser>
        <c:ser>
          <c:idx val="7"/>
          <c:order val="7"/>
          <c:tx>
            <c:strRef>
              <c:f>transpose!$AR$1</c:f>
              <c:strCache>
                <c:ptCount val="1"/>
                <c:pt idx="0">
                  <c:v>B16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transpose!$AR$2:$AR$7653</c:f>
              <c:numCache>
                <c:formatCode>General</c:formatCode>
                <c:ptCount val="7652"/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5102">
                  <c:v>4</c:v>
                </c:pt>
                <c:pt idx="5103">
                  <c:v>4</c:v>
                </c:pt>
                <c:pt idx="5104">
                  <c:v>4</c:v>
                </c:pt>
                <c:pt idx="5105">
                  <c:v>4</c:v>
                </c:pt>
                <c:pt idx="5106">
                  <c:v>4</c:v>
                </c:pt>
                <c:pt idx="5107">
                  <c:v>4</c:v>
                </c:pt>
                <c:pt idx="5108">
                  <c:v>4</c:v>
                </c:pt>
                <c:pt idx="5109">
                  <c:v>4</c:v>
                </c:pt>
                <c:pt idx="5110">
                  <c:v>4</c:v>
                </c:pt>
                <c:pt idx="5111">
                  <c:v>4</c:v>
                </c:pt>
                <c:pt idx="5112">
                  <c:v>4</c:v>
                </c:pt>
                <c:pt idx="5113">
                  <c:v>4</c:v>
                </c:pt>
                <c:pt idx="5114">
                  <c:v>4</c:v>
                </c:pt>
                <c:pt idx="5115">
                  <c:v>4</c:v>
                </c:pt>
                <c:pt idx="5116">
                  <c:v>4</c:v>
                </c:pt>
                <c:pt idx="5117">
                  <c:v>4</c:v>
                </c:pt>
                <c:pt idx="5118">
                  <c:v>4</c:v>
                </c:pt>
                <c:pt idx="5119">
                  <c:v>4</c:v>
                </c:pt>
                <c:pt idx="5120">
                  <c:v>4</c:v>
                </c:pt>
                <c:pt idx="5121">
                  <c:v>4</c:v>
                </c:pt>
                <c:pt idx="5122">
                  <c:v>4</c:v>
                </c:pt>
                <c:pt idx="5123">
                  <c:v>4</c:v>
                </c:pt>
                <c:pt idx="5124">
                  <c:v>4</c:v>
                </c:pt>
                <c:pt idx="5125">
                  <c:v>4</c:v>
                </c:pt>
                <c:pt idx="5126">
                  <c:v>4</c:v>
                </c:pt>
                <c:pt idx="5127">
                  <c:v>4</c:v>
                </c:pt>
                <c:pt idx="5128">
                  <c:v>4</c:v>
                </c:pt>
                <c:pt idx="5129">
                  <c:v>4</c:v>
                </c:pt>
                <c:pt idx="5130">
                  <c:v>4</c:v>
                </c:pt>
                <c:pt idx="5131">
                  <c:v>4</c:v>
                </c:pt>
                <c:pt idx="5132">
                  <c:v>4</c:v>
                </c:pt>
                <c:pt idx="5133">
                  <c:v>4</c:v>
                </c:pt>
                <c:pt idx="5134">
                  <c:v>4</c:v>
                </c:pt>
                <c:pt idx="5135">
                  <c:v>4</c:v>
                </c:pt>
                <c:pt idx="5136">
                  <c:v>4</c:v>
                </c:pt>
                <c:pt idx="5137">
                  <c:v>4</c:v>
                </c:pt>
                <c:pt idx="5138">
                  <c:v>4</c:v>
                </c:pt>
                <c:pt idx="5139">
                  <c:v>4</c:v>
                </c:pt>
                <c:pt idx="5140">
                  <c:v>4</c:v>
                </c:pt>
                <c:pt idx="6901">
                  <c:v>5</c:v>
                </c:pt>
                <c:pt idx="6902">
                  <c:v>5</c:v>
                </c:pt>
                <c:pt idx="6903">
                  <c:v>5</c:v>
                </c:pt>
                <c:pt idx="6904">
                  <c:v>5</c:v>
                </c:pt>
                <c:pt idx="6905">
                  <c:v>5</c:v>
                </c:pt>
                <c:pt idx="6906">
                  <c:v>5</c:v>
                </c:pt>
                <c:pt idx="6907">
                  <c:v>5</c:v>
                </c:pt>
                <c:pt idx="6908">
                  <c:v>5</c:v>
                </c:pt>
                <c:pt idx="690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83-421E-88E9-22CAEC34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353391"/>
        <c:axId val="810354223"/>
      </c:scatterChart>
      <c:valAx>
        <c:axId val="810353391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0354223"/>
        <c:crosses val="autoZero"/>
        <c:crossBetween val="midCat"/>
        <c:majorUnit val="1000"/>
      </c:valAx>
      <c:valAx>
        <c:axId val="810354223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035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1_76_LE_MALE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transpose!$J$1</c:f>
              <c:strCache>
                <c:ptCount val="1"/>
                <c:pt idx="0">
                  <c:v>Megy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transpose!$J$2:$J$7653</c:f>
              <c:numCache>
                <c:formatCode>General</c:formatCode>
                <c:ptCount val="7652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6</c:v>
                </c:pt>
                <c:pt idx="680">
                  <c:v>6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6</c:v>
                </c:pt>
                <c:pt idx="686">
                  <c:v>6</c:v>
                </c:pt>
                <c:pt idx="687">
                  <c:v>6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6</c:v>
                </c:pt>
                <c:pt idx="694">
                  <c:v>6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6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6</c:v>
                </c:pt>
                <c:pt idx="708">
                  <c:v>6</c:v>
                </c:pt>
                <c:pt idx="709">
                  <c:v>6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6</c:v>
                </c:pt>
                <c:pt idx="716">
                  <c:v>6</c:v>
                </c:pt>
                <c:pt idx="717">
                  <c:v>6</c:v>
                </c:pt>
                <c:pt idx="718">
                  <c:v>6</c:v>
                </c:pt>
                <c:pt idx="719">
                  <c:v>6</c:v>
                </c:pt>
                <c:pt idx="720">
                  <c:v>6</c:v>
                </c:pt>
                <c:pt idx="721">
                  <c:v>6</c:v>
                </c:pt>
                <c:pt idx="722">
                  <c:v>6</c:v>
                </c:pt>
                <c:pt idx="723">
                  <c:v>6</c:v>
                </c:pt>
                <c:pt idx="724">
                  <c:v>6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6</c:v>
                </c:pt>
                <c:pt idx="729">
                  <c:v>6</c:v>
                </c:pt>
                <c:pt idx="730">
                  <c:v>6</c:v>
                </c:pt>
                <c:pt idx="731">
                  <c:v>6</c:v>
                </c:pt>
                <c:pt idx="732">
                  <c:v>6</c:v>
                </c:pt>
                <c:pt idx="733">
                  <c:v>6</c:v>
                </c:pt>
                <c:pt idx="734">
                  <c:v>6</c:v>
                </c:pt>
                <c:pt idx="735">
                  <c:v>6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6</c:v>
                </c:pt>
                <c:pt idx="740">
                  <c:v>6</c:v>
                </c:pt>
                <c:pt idx="741">
                  <c:v>6</c:v>
                </c:pt>
                <c:pt idx="742">
                  <c:v>6</c:v>
                </c:pt>
                <c:pt idx="743">
                  <c:v>6</c:v>
                </c:pt>
                <c:pt idx="744">
                  <c:v>6</c:v>
                </c:pt>
                <c:pt idx="745">
                  <c:v>6</c:v>
                </c:pt>
                <c:pt idx="746">
                  <c:v>6</c:v>
                </c:pt>
                <c:pt idx="747">
                  <c:v>6</c:v>
                </c:pt>
                <c:pt idx="748">
                  <c:v>6</c:v>
                </c:pt>
                <c:pt idx="749">
                  <c:v>6</c:v>
                </c:pt>
                <c:pt idx="750">
                  <c:v>6</c:v>
                </c:pt>
                <c:pt idx="751">
                  <c:v>6</c:v>
                </c:pt>
                <c:pt idx="752">
                  <c:v>6</c:v>
                </c:pt>
                <c:pt idx="753">
                  <c:v>6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6</c:v>
                </c:pt>
                <c:pt idx="758">
                  <c:v>6</c:v>
                </c:pt>
                <c:pt idx="759">
                  <c:v>6</c:v>
                </c:pt>
                <c:pt idx="760">
                  <c:v>6</c:v>
                </c:pt>
                <c:pt idx="761">
                  <c:v>6</c:v>
                </c:pt>
                <c:pt idx="762">
                  <c:v>6</c:v>
                </c:pt>
                <c:pt idx="763">
                  <c:v>6</c:v>
                </c:pt>
                <c:pt idx="764">
                  <c:v>6</c:v>
                </c:pt>
                <c:pt idx="765">
                  <c:v>6</c:v>
                </c:pt>
                <c:pt idx="766">
                  <c:v>6</c:v>
                </c:pt>
                <c:pt idx="767">
                  <c:v>6</c:v>
                </c:pt>
                <c:pt idx="768">
                  <c:v>6</c:v>
                </c:pt>
                <c:pt idx="769">
                  <c:v>6</c:v>
                </c:pt>
                <c:pt idx="770">
                  <c:v>6</c:v>
                </c:pt>
                <c:pt idx="771">
                  <c:v>6</c:v>
                </c:pt>
                <c:pt idx="772">
                  <c:v>6</c:v>
                </c:pt>
                <c:pt idx="773">
                  <c:v>6</c:v>
                </c:pt>
                <c:pt idx="774">
                  <c:v>6</c:v>
                </c:pt>
                <c:pt idx="775">
                  <c:v>6</c:v>
                </c:pt>
                <c:pt idx="776">
                  <c:v>6</c:v>
                </c:pt>
                <c:pt idx="777">
                  <c:v>6</c:v>
                </c:pt>
                <c:pt idx="778">
                  <c:v>6</c:v>
                </c:pt>
                <c:pt idx="821">
                  <c:v>7</c:v>
                </c:pt>
                <c:pt idx="822">
                  <c:v>7</c:v>
                </c:pt>
                <c:pt idx="823">
                  <c:v>7</c:v>
                </c:pt>
                <c:pt idx="824">
                  <c:v>7</c:v>
                </c:pt>
                <c:pt idx="825">
                  <c:v>7</c:v>
                </c:pt>
                <c:pt idx="826">
                  <c:v>7</c:v>
                </c:pt>
                <c:pt idx="827">
                  <c:v>7</c:v>
                </c:pt>
                <c:pt idx="828">
                  <c:v>7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7</c:v>
                </c:pt>
                <c:pt idx="833">
                  <c:v>7</c:v>
                </c:pt>
                <c:pt idx="834">
                  <c:v>7</c:v>
                </c:pt>
                <c:pt idx="835">
                  <c:v>7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7</c:v>
                </c:pt>
                <c:pt idx="840">
                  <c:v>7</c:v>
                </c:pt>
                <c:pt idx="841">
                  <c:v>7</c:v>
                </c:pt>
                <c:pt idx="842">
                  <c:v>7</c:v>
                </c:pt>
                <c:pt idx="843">
                  <c:v>7</c:v>
                </c:pt>
                <c:pt idx="844">
                  <c:v>7</c:v>
                </c:pt>
                <c:pt idx="845">
                  <c:v>7</c:v>
                </c:pt>
                <c:pt idx="846">
                  <c:v>7</c:v>
                </c:pt>
                <c:pt idx="847">
                  <c:v>7</c:v>
                </c:pt>
                <c:pt idx="848">
                  <c:v>7</c:v>
                </c:pt>
                <c:pt idx="849">
                  <c:v>7</c:v>
                </c:pt>
                <c:pt idx="850">
                  <c:v>7</c:v>
                </c:pt>
                <c:pt idx="851">
                  <c:v>7</c:v>
                </c:pt>
                <c:pt idx="852">
                  <c:v>7</c:v>
                </c:pt>
                <c:pt idx="853">
                  <c:v>7</c:v>
                </c:pt>
                <c:pt idx="854">
                  <c:v>7</c:v>
                </c:pt>
                <c:pt idx="855">
                  <c:v>7</c:v>
                </c:pt>
                <c:pt idx="856">
                  <c:v>7</c:v>
                </c:pt>
                <c:pt idx="857">
                  <c:v>7</c:v>
                </c:pt>
                <c:pt idx="858">
                  <c:v>7</c:v>
                </c:pt>
                <c:pt idx="859">
                  <c:v>7</c:v>
                </c:pt>
                <c:pt idx="860">
                  <c:v>7</c:v>
                </c:pt>
                <c:pt idx="861">
                  <c:v>7</c:v>
                </c:pt>
                <c:pt idx="862">
                  <c:v>7</c:v>
                </c:pt>
                <c:pt idx="863">
                  <c:v>7</c:v>
                </c:pt>
                <c:pt idx="864">
                  <c:v>7</c:v>
                </c:pt>
                <c:pt idx="865">
                  <c:v>7</c:v>
                </c:pt>
                <c:pt idx="866">
                  <c:v>7</c:v>
                </c:pt>
                <c:pt idx="867">
                  <c:v>7</c:v>
                </c:pt>
                <c:pt idx="868">
                  <c:v>7</c:v>
                </c:pt>
                <c:pt idx="869">
                  <c:v>7</c:v>
                </c:pt>
                <c:pt idx="870">
                  <c:v>7</c:v>
                </c:pt>
                <c:pt idx="871">
                  <c:v>7</c:v>
                </c:pt>
                <c:pt idx="872">
                  <c:v>7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7</c:v>
                </c:pt>
                <c:pt idx="877">
                  <c:v>7</c:v>
                </c:pt>
                <c:pt idx="878">
                  <c:v>7</c:v>
                </c:pt>
                <c:pt idx="879">
                  <c:v>7</c:v>
                </c:pt>
                <c:pt idx="880">
                  <c:v>7</c:v>
                </c:pt>
                <c:pt idx="881">
                  <c:v>7</c:v>
                </c:pt>
                <c:pt idx="882">
                  <c:v>7</c:v>
                </c:pt>
                <c:pt idx="883">
                  <c:v>7</c:v>
                </c:pt>
                <c:pt idx="884">
                  <c:v>7</c:v>
                </c:pt>
                <c:pt idx="885">
                  <c:v>7</c:v>
                </c:pt>
                <c:pt idx="886">
                  <c:v>7</c:v>
                </c:pt>
                <c:pt idx="887">
                  <c:v>7</c:v>
                </c:pt>
                <c:pt idx="888">
                  <c:v>7</c:v>
                </c:pt>
                <c:pt idx="889">
                  <c:v>7</c:v>
                </c:pt>
                <c:pt idx="890">
                  <c:v>7</c:v>
                </c:pt>
                <c:pt idx="891">
                  <c:v>7</c:v>
                </c:pt>
                <c:pt idx="892">
                  <c:v>7</c:v>
                </c:pt>
                <c:pt idx="893">
                  <c:v>7</c:v>
                </c:pt>
                <c:pt idx="894">
                  <c:v>7</c:v>
                </c:pt>
                <c:pt idx="895">
                  <c:v>7</c:v>
                </c:pt>
                <c:pt idx="896">
                  <c:v>7</c:v>
                </c:pt>
                <c:pt idx="897">
                  <c:v>7</c:v>
                </c:pt>
                <c:pt idx="898">
                  <c:v>7</c:v>
                </c:pt>
                <c:pt idx="899">
                  <c:v>7</c:v>
                </c:pt>
                <c:pt idx="900">
                  <c:v>7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7</c:v>
                </c:pt>
                <c:pt idx="906">
                  <c:v>7</c:v>
                </c:pt>
                <c:pt idx="907">
                  <c:v>7</c:v>
                </c:pt>
                <c:pt idx="908">
                  <c:v>7</c:v>
                </c:pt>
                <c:pt idx="909">
                  <c:v>7</c:v>
                </c:pt>
                <c:pt idx="910">
                  <c:v>7</c:v>
                </c:pt>
                <c:pt idx="911">
                  <c:v>7</c:v>
                </c:pt>
                <c:pt idx="912">
                  <c:v>7</c:v>
                </c:pt>
                <c:pt idx="913">
                  <c:v>7</c:v>
                </c:pt>
                <c:pt idx="914">
                  <c:v>7</c:v>
                </c:pt>
                <c:pt idx="915">
                  <c:v>7</c:v>
                </c:pt>
                <c:pt idx="916">
                  <c:v>7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62">
                  <c:v>9</c:v>
                </c:pt>
                <c:pt idx="963">
                  <c:v>9</c:v>
                </c:pt>
                <c:pt idx="964">
                  <c:v>9</c:v>
                </c:pt>
                <c:pt idx="965">
                  <c:v>9</c:v>
                </c:pt>
                <c:pt idx="966">
                  <c:v>9</c:v>
                </c:pt>
                <c:pt idx="967">
                  <c:v>9</c:v>
                </c:pt>
                <c:pt idx="968">
                  <c:v>9</c:v>
                </c:pt>
                <c:pt idx="969">
                  <c:v>9</c:v>
                </c:pt>
                <c:pt idx="970">
                  <c:v>9</c:v>
                </c:pt>
                <c:pt idx="971">
                  <c:v>9</c:v>
                </c:pt>
                <c:pt idx="972">
                  <c:v>9</c:v>
                </c:pt>
                <c:pt idx="973">
                  <c:v>9</c:v>
                </c:pt>
                <c:pt idx="974">
                  <c:v>9</c:v>
                </c:pt>
                <c:pt idx="975">
                  <c:v>9</c:v>
                </c:pt>
                <c:pt idx="976">
                  <c:v>9</c:v>
                </c:pt>
                <c:pt idx="977">
                  <c:v>9</c:v>
                </c:pt>
                <c:pt idx="978">
                  <c:v>9</c:v>
                </c:pt>
                <c:pt idx="979">
                  <c:v>9</c:v>
                </c:pt>
                <c:pt idx="980">
                  <c:v>9</c:v>
                </c:pt>
                <c:pt idx="981">
                  <c:v>9</c:v>
                </c:pt>
                <c:pt idx="982">
                  <c:v>9</c:v>
                </c:pt>
                <c:pt idx="983">
                  <c:v>9</c:v>
                </c:pt>
                <c:pt idx="984">
                  <c:v>9</c:v>
                </c:pt>
                <c:pt idx="985">
                  <c:v>9</c:v>
                </c:pt>
                <c:pt idx="986">
                  <c:v>9</c:v>
                </c:pt>
                <c:pt idx="987">
                  <c:v>9</c:v>
                </c:pt>
                <c:pt idx="1040">
                  <c:v>10</c:v>
                </c:pt>
                <c:pt idx="1041">
                  <c:v>10</c:v>
                </c:pt>
                <c:pt idx="1042">
                  <c:v>10</c:v>
                </c:pt>
                <c:pt idx="1043">
                  <c:v>10</c:v>
                </c:pt>
                <c:pt idx="1044">
                  <c:v>10</c:v>
                </c:pt>
                <c:pt idx="1045">
                  <c:v>10</c:v>
                </c:pt>
                <c:pt idx="1046">
                  <c:v>10</c:v>
                </c:pt>
                <c:pt idx="1047">
                  <c:v>10</c:v>
                </c:pt>
                <c:pt idx="1048">
                  <c:v>10</c:v>
                </c:pt>
                <c:pt idx="1049">
                  <c:v>10</c:v>
                </c:pt>
                <c:pt idx="1050">
                  <c:v>10</c:v>
                </c:pt>
                <c:pt idx="1051">
                  <c:v>10</c:v>
                </c:pt>
                <c:pt idx="1052">
                  <c:v>10</c:v>
                </c:pt>
                <c:pt idx="1053">
                  <c:v>10</c:v>
                </c:pt>
                <c:pt idx="1054">
                  <c:v>10</c:v>
                </c:pt>
                <c:pt idx="1055">
                  <c:v>10</c:v>
                </c:pt>
                <c:pt idx="1056">
                  <c:v>10</c:v>
                </c:pt>
                <c:pt idx="1057">
                  <c:v>10</c:v>
                </c:pt>
                <c:pt idx="1058">
                  <c:v>10</c:v>
                </c:pt>
                <c:pt idx="1059">
                  <c:v>10</c:v>
                </c:pt>
                <c:pt idx="1060">
                  <c:v>10</c:v>
                </c:pt>
                <c:pt idx="1061">
                  <c:v>10</c:v>
                </c:pt>
                <c:pt idx="1062">
                  <c:v>10</c:v>
                </c:pt>
                <c:pt idx="1063">
                  <c:v>10</c:v>
                </c:pt>
                <c:pt idx="1064">
                  <c:v>10</c:v>
                </c:pt>
                <c:pt idx="1065">
                  <c:v>10</c:v>
                </c:pt>
                <c:pt idx="1066">
                  <c:v>10</c:v>
                </c:pt>
                <c:pt idx="1067">
                  <c:v>10</c:v>
                </c:pt>
                <c:pt idx="1068">
                  <c:v>10</c:v>
                </c:pt>
                <c:pt idx="1069">
                  <c:v>10</c:v>
                </c:pt>
                <c:pt idx="1070">
                  <c:v>10</c:v>
                </c:pt>
                <c:pt idx="1071">
                  <c:v>10</c:v>
                </c:pt>
                <c:pt idx="1072">
                  <c:v>10</c:v>
                </c:pt>
                <c:pt idx="1073">
                  <c:v>10</c:v>
                </c:pt>
                <c:pt idx="1074">
                  <c:v>10</c:v>
                </c:pt>
                <c:pt idx="1075">
                  <c:v>10</c:v>
                </c:pt>
                <c:pt idx="1076">
                  <c:v>10</c:v>
                </c:pt>
                <c:pt idx="1077">
                  <c:v>10</c:v>
                </c:pt>
                <c:pt idx="1078">
                  <c:v>10</c:v>
                </c:pt>
                <c:pt idx="1079">
                  <c:v>10</c:v>
                </c:pt>
                <c:pt idx="1080">
                  <c:v>10</c:v>
                </c:pt>
                <c:pt idx="1081">
                  <c:v>10</c:v>
                </c:pt>
                <c:pt idx="1082">
                  <c:v>10</c:v>
                </c:pt>
                <c:pt idx="1083">
                  <c:v>10</c:v>
                </c:pt>
                <c:pt idx="1084">
                  <c:v>10</c:v>
                </c:pt>
                <c:pt idx="1085">
                  <c:v>10</c:v>
                </c:pt>
                <c:pt idx="1086">
                  <c:v>10</c:v>
                </c:pt>
                <c:pt idx="1087">
                  <c:v>10</c:v>
                </c:pt>
                <c:pt idx="1088">
                  <c:v>10</c:v>
                </c:pt>
                <c:pt idx="1089">
                  <c:v>10</c:v>
                </c:pt>
                <c:pt idx="1090">
                  <c:v>10</c:v>
                </c:pt>
                <c:pt idx="1091">
                  <c:v>10</c:v>
                </c:pt>
                <c:pt idx="1092">
                  <c:v>10</c:v>
                </c:pt>
                <c:pt idx="1093">
                  <c:v>10</c:v>
                </c:pt>
                <c:pt idx="1094">
                  <c:v>10</c:v>
                </c:pt>
                <c:pt idx="1095">
                  <c:v>10</c:v>
                </c:pt>
                <c:pt idx="1096">
                  <c:v>10</c:v>
                </c:pt>
                <c:pt idx="1097">
                  <c:v>10</c:v>
                </c:pt>
                <c:pt idx="1098">
                  <c:v>10</c:v>
                </c:pt>
                <c:pt idx="1099">
                  <c:v>10</c:v>
                </c:pt>
                <c:pt idx="1100">
                  <c:v>10</c:v>
                </c:pt>
                <c:pt idx="1101">
                  <c:v>10</c:v>
                </c:pt>
                <c:pt idx="1102">
                  <c:v>10</c:v>
                </c:pt>
                <c:pt idx="1103">
                  <c:v>10</c:v>
                </c:pt>
                <c:pt idx="1104">
                  <c:v>10</c:v>
                </c:pt>
                <c:pt idx="1105">
                  <c:v>10</c:v>
                </c:pt>
                <c:pt idx="1106">
                  <c:v>10</c:v>
                </c:pt>
                <c:pt idx="1107">
                  <c:v>10</c:v>
                </c:pt>
                <c:pt idx="1108">
                  <c:v>10</c:v>
                </c:pt>
                <c:pt idx="1109">
                  <c:v>10</c:v>
                </c:pt>
                <c:pt idx="1110">
                  <c:v>10</c:v>
                </c:pt>
                <c:pt idx="1111">
                  <c:v>10</c:v>
                </c:pt>
                <c:pt idx="1112">
                  <c:v>10</c:v>
                </c:pt>
                <c:pt idx="1113">
                  <c:v>10</c:v>
                </c:pt>
                <c:pt idx="1114">
                  <c:v>10</c:v>
                </c:pt>
                <c:pt idx="1115">
                  <c:v>10</c:v>
                </c:pt>
                <c:pt idx="1116">
                  <c:v>10</c:v>
                </c:pt>
                <c:pt idx="1117">
                  <c:v>10</c:v>
                </c:pt>
                <c:pt idx="1118">
                  <c:v>10</c:v>
                </c:pt>
                <c:pt idx="1119">
                  <c:v>10</c:v>
                </c:pt>
                <c:pt idx="1120">
                  <c:v>10</c:v>
                </c:pt>
                <c:pt idx="1121">
                  <c:v>10</c:v>
                </c:pt>
                <c:pt idx="1122">
                  <c:v>10</c:v>
                </c:pt>
                <c:pt idx="1123">
                  <c:v>10</c:v>
                </c:pt>
                <c:pt idx="1124">
                  <c:v>10</c:v>
                </c:pt>
                <c:pt idx="1125">
                  <c:v>10</c:v>
                </c:pt>
                <c:pt idx="1126">
                  <c:v>10</c:v>
                </c:pt>
                <c:pt idx="1127">
                  <c:v>10</c:v>
                </c:pt>
                <c:pt idx="1128">
                  <c:v>10</c:v>
                </c:pt>
                <c:pt idx="1129">
                  <c:v>10</c:v>
                </c:pt>
                <c:pt idx="1130">
                  <c:v>10</c:v>
                </c:pt>
                <c:pt idx="1131">
                  <c:v>10</c:v>
                </c:pt>
                <c:pt idx="1132">
                  <c:v>10</c:v>
                </c:pt>
                <c:pt idx="1133">
                  <c:v>10</c:v>
                </c:pt>
                <c:pt idx="1134">
                  <c:v>10</c:v>
                </c:pt>
                <c:pt idx="1135">
                  <c:v>10</c:v>
                </c:pt>
                <c:pt idx="1136">
                  <c:v>10</c:v>
                </c:pt>
                <c:pt idx="1137">
                  <c:v>10</c:v>
                </c:pt>
                <c:pt idx="1138">
                  <c:v>10</c:v>
                </c:pt>
                <c:pt idx="1139">
                  <c:v>10</c:v>
                </c:pt>
                <c:pt idx="1140">
                  <c:v>10</c:v>
                </c:pt>
                <c:pt idx="1141">
                  <c:v>10</c:v>
                </c:pt>
                <c:pt idx="1142">
                  <c:v>10</c:v>
                </c:pt>
                <c:pt idx="1143">
                  <c:v>10</c:v>
                </c:pt>
                <c:pt idx="1144">
                  <c:v>10</c:v>
                </c:pt>
                <c:pt idx="1145">
                  <c:v>10</c:v>
                </c:pt>
                <c:pt idx="1146">
                  <c:v>10</c:v>
                </c:pt>
                <c:pt idx="1147">
                  <c:v>10</c:v>
                </c:pt>
                <c:pt idx="1148">
                  <c:v>10</c:v>
                </c:pt>
                <c:pt idx="1149">
                  <c:v>10</c:v>
                </c:pt>
                <c:pt idx="1240">
                  <c:v>11</c:v>
                </c:pt>
                <c:pt idx="1241">
                  <c:v>11</c:v>
                </c:pt>
                <c:pt idx="1242">
                  <c:v>11</c:v>
                </c:pt>
                <c:pt idx="1243">
                  <c:v>11</c:v>
                </c:pt>
                <c:pt idx="1244">
                  <c:v>11</c:v>
                </c:pt>
                <c:pt idx="1245">
                  <c:v>11</c:v>
                </c:pt>
                <c:pt idx="1246">
                  <c:v>11</c:v>
                </c:pt>
                <c:pt idx="1247">
                  <c:v>11</c:v>
                </c:pt>
                <c:pt idx="1248">
                  <c:v>11</c:v>
                </c:pt>
                <c:pt idx="1249">
                  <c:v>11</c:v>
                </c:pt>
                <c:pt idx="1250">
                  <c:v>11</c:v>
                </c:pt>
                <c:pt idx="1251">
                  <c:v>11</c:v>
                </c:pt>
                <c:pt idx="1252">
                  <c:v>11</c:v>
                </c:pt>
                <c:pt idx="1253">
                  <c:v>11</c:v>
                </c:pt>
                <c:pt idx="1254">
                  <c:v>11</c:v>
                </c:pt>
                <c:pt idx="1255">
                  <c:v>11</c:v>
                </c:pt>
                <c:pt idx="1256">
                  <c:v>11</c:v>
                </c:pt>
                <c:pt idx="1257">
                  <c:v>11</c:v>
                </c:pt>
                <c:pt idx="1258">
                  <c:v>11</c:v>
                </c:pt>
                <c:pt idx="1259">
                  <c:v>11</c:v>
                </c:pt>
                <c:pt idx="1260">
                  <c:v>11</c:v>
                </c:pt>
                <c:pt idx="1261">
                  <c:v>11</c:v>
                </c:pt>
                <c:pt idx="1262">
                  <c:v>11</c:v>
                </c:pt>
                <c:pt idx="1263">
                  <c:v>11</c:v>
                </c:pt>
                <c:pt idx="1264">
                  <c:v>11</c:v>
                </c:pt>
                <c:pt idx="1265">
                  <c:v>11</c:v>
                </c:pt>
                <c:pt idx="1266">
                  <c:v>11</c:v>
                </c:pt>
                <c:pt idx="1267">
                  <c:v>11</c:v>
                </c:pt>
                <c:pt idx="1268">
                  <c:v>11</c:v>
                </c:pt>
                <c:pt idx="1269">
                  <c:v>11</c:v>
                </c:pt>
                <c:pt idx="1270">
                  <c:v>11</c:v>
                </c:pt>
                <c:pt idx="1271">
                  <c:v>11</c:v>
                </c:pt>
                <c:pt idx="1272">
                  <c:v>11</c:v>
                </c:pt>
                <c:pt idx="1273">
                  <c:v>11</c:v>
                </c:pt>
                <c:pt idx="1274">
                  <c:v>11</c:v>
                </c:pt>
                <c:pt idx="1275">
                  <c:v>11</c:v>
                </c:pt>
                <c:pt idx="1276">
                  <c:v>11</c:v>
                </c:pt>
                <c:pt idx="1277">
                  <c:v>11</c:v>
                </c:pt>
                <c:pt idx="1278">
                  <c:v>11</c:v>
                </c:pt>
                <c:pt idx="1279">
                  <c:v>11</c:v>
                </c:pt>
                <c:pt idx="1280">
                  <c:v>11</c:v>
                </c:pt>
                <c:pt idx="1281">
                  <c:v>11</c:v>
                </c:pt>
                <c:pt idx="1282">
                  <c:v>11</c:v>
                </c:pt>
                <c:pt idx="1283">
                  <c:v>11</c:v>
                </c:pt>
                <c:pt idx="1284">
                  <c:v>11</c:v>
                </c:pt>
                <c:pt idx="1285">
                  <c:v>11</c:v>
                </c:pt>
                <c:pt idx="1286">
                  <c:v>11</c:v>
                </c:pt>
                <c:pt idx="1287">
                  <c:v>11</c:v>
                </c:pt>
                <c:pt idx="1288">
                  <c:v>11</c:v>
                </c:pt>
                <c:pt idx="1289">
                  <c:v>11</c:v>
                </c:pt>
                <c:pt idx="1290">
                  <c:v>11</c:v>
                </c:pt>
                <c:pt idx="1291">
                  <c:v>11</c:v>
                </c:pt>
                <c:pt idx="1292">
                  <c:v>11</c:v>
                </c:pt>
                <c:pt idx="1293">
                  <c:v>11</c:v>
                </c:pt>
                <c:pt idx="1294">
                  <c:v>11</c:v>
                </c:pt>
                <c:pt idx="1295">
                  <c:v>11</c:v>
                </c:pt>
                <c:pt idx="1296">
                  <c:v>11</c:v>
                </c:pt>
                <c:pt idx="1297">
                  <c:v>11</c:v>
                </c:pt>
                <c:pt idx="1298">
                  <c:v>11</c:v>
                </c:pt>
                <c:pt idx="1299">
                  <c:v>11</c:v>
                </c:pt>
                <c:pt idx="1300">
                  <c:v>11</c:v>
                </c:pt>
                <c:pt idx="1301">
                  <c:v>11</c:v>
                </c:pt>
                <c:pt idx="1302">
                  <c:v>11</c:v>
                </c:pt>
                <c:pt idx="1303">
                  <c:v>11</c:v>
                </c:pt>
                <c:pt idx="1304">
                  <c:v>11</c:v>
                </c:pt>
                <c:pt idx="1305">
                  <c:v>11</c:v>
                </c:pt>
                <c:pt idx="1348">
                  <c:v>12</c:v>
                </c:pt>
                <c:pt idx="1349">
                  <c:v>12</c:v>
                </c:pt>
                <c:pt idx="1350">
                  <c:v>12</c:v>
                </c:pt>
                <c:pt idx="1351">
                  <c:v>12</c:v>
                </c:pt>
                <c:pt idx="1352">
                  <c:v>12</c:v>
                </c:pt>
                <c:pt idx="1353">
                  <c:v>12</c:v>
                </c:pt>
                <c:pt idx="1354">
                  <c:v>12</c:v>
                </c:pt>
                <c:pt idx="1355">
                  <c:v>12</c:v>
                </c:pt>
                <c:pt idx="1356">
                  <c:v>12</c:v>
                </c:pt>
                <c:pt idx="1357">
                  <c:v>12</c:v>
                </c:pt>
                <c:pt idx="1358">
                  <c:v>12</c:v>
                </c:pt>
                <c:pt idx="1359">
                  <c:v>12</c:v>
                </c:pt>
                <c:pt idx="1360">
                  <c:v>12</c:v>
                </c:pt>
                <c:pt idx="1361">
                  <c:v>12</c:v>
                </c:pt>
                <c:pt idx="1362">
                  <c:v>12</c:v>
                </c:pt>
                <c:pt idx="1363">
                  <c:v>12</c:v>
                </c:pt>
                <c:pt idx="1364">
                  <c:v>12</c:v>
                </c:pt>
                <c:pt idx="1365">
                  <c:v>12</c:v>
                </c:pt>
                <c:pt idx="1366">
                  <c:v>12</c:v>
                </c:pt>
                <c:pt idx="1367">
                  <c:v>12</c:v>
                </c:pt>
                <c:pt idx="1368">
                  <c:v>12</c:v>
                </c:pt>
                <c:pt idx="1369">
                  <c:v>12</c:v>
                </c:pt>
                <c:pt idx="1370">
                  <c:v>12</c:v>
                </c:pt>
                <c:pt idx="1371">
                  <c:v>12</c:v>
                </c:pt>
                <c:pt idx="1372">
                  <c:v>12</c:v>
                </c:pt>
                <c:pt idx="1373">
                  <c:v>12</c:v>
                </c:pt>
                <c:pt idx="1374">
                  <c:v>12</c:v>
                </c:pt>
                <c:pt idx="1375">
                  <c:v>12</c:v>
                </c:pt>
                <c:pt idx="1490">
                  <c:v>13</c:v>
                </c:pt>
                <c:pt idx="1491">
                  <c:v>13</c:v>
                </c:pt>
                <c:pt idx="1492">
                  <c:v>13</c:v>
                </c:pt>
                <c:pt idx="1493">
                  <c:v>13</c:v>
                </c:pt>
                <c:pt idx="1494">
                  <c:v>13</c:v>
                </c:pt>
                <c:pt idx="1495">
                  <c:v>13</c:v>
                </c:pt>
                <c:pt idx="1496">
                  <c:v>13</c:v>
                </c:pt>
                <c:pt idx="1497">
                  <c:v>13</c:v>
                </c:pt>
                <c:pt idx="1498">
                  <c:v>13</c:v>
                </c:pt>
                <c:pt idx="1499">
                  <c:v>13</c:v>
                </c:pt>
                <c:pt idx="1500">
                  <c:v>13</c:v>
                </c:pt>
                <c:pt idx="1501">
                  <c:v>13</c:v>
                </c:pt>
                <c:pt idx="1502">
                  <c:v>13</c:v>
                </c:pt>
                <c:pt idx="1503">
                  <c:v>13</c:v>
                </c:pt>
                <c:pt idx="1504">
                  <c:v>13</c:v>
                </c:pt>
                <c:pt idx="1505">
                  <c:v>13</c:v>
                </c:pt>
                <c:pt idx="1506">
                  <c:v>13</c:v>
                </c:pt>
                <c:pt idx="1507">
                  <c:v>13</c:v>
                </c:pt>
                <c:pt idx="1508">
                  <c:v>13</c:v>
                </c:pt>
                <c:pt idx="1509">
                  <c:v>13</c:v>
                </c:pt>
                <c:pt idx="1510">
                  <c:v>13</c:v>
                </c:pt>
                <c:pt idx="1511">
                  <c:v>13</c:v>
                </c:pt>
                <c:pt idx="1512">
                  <c:v>13</c:v>
                </c:pt>
                <c:pt idx="1513">
                  <c:v>13</c:v>
                </c:pt>
                <c:pt idx="1514">
                  <c:v>13</c:v>
                </c:pt>
                <c:pt idx="1515">
                  <c:v>13</c:v>
                </c:pt>
                <c:pt idx="1516">
                  <c:v>13</c:v>
                </c:pt>
                <c:pt idx="1517">
                  <c:v>13</c:v>
                </c:pt>
                <c:pt idx="1518">
                  <c:v>13</c:v>
                </c:pt>
                <c:pt idx="1519">
                  <c:v>13</c:v>
                </c:pt>
                <c:pt idx="1520">
                  <c:v>13</c:v>
                </c:pt>
                <c:pt idx="1521">
                  <c:v>13</c:v>
                </c:pt>
                <c:pt idx="1522">
                  <c:v>13</c:v>
                </c:pt>
                <c:pt idx="1523">
                  <c:v>13</c:v>
                </c:pt>
                <c:pt idx="1524">
                  <c:v>13</c:v>
                </c:pt>
                <c:pt idx="1525">
                  <c:v>13</c:v>
                </c:pt>
                <c:pt idx="1526">
                  <c:v>13</c:v>
                </c:pt>
                <c:pt idx="1527">
                  <c:v>13</c:v>
                </c:pt>
                <c:pt idx="1528">
                  <c:v>13</c:v>
                </c:pt>
                <c:pt idx="1529">
                  <c:v>13</c:v>
                </c:pt>
                <c:pt idx="1530">
                  <c:v>13</c:v>
                </c:pt>
                <c:pt idx="1531">
                  <c:v>13</c:v>
                </c:pt>
                <c:pt idx="1532">
                  <c:v>13</c:v>
                </c:pt>
                <c:pt idx="1533">
                  <c:v>13</c:v>
                </c:pt>
                <c:pt idx="1534">
                  <c:v>13</c:v>
                </c:pt>
                <c:pt idx="1535">
                  <c:v>13</c:v>
                </c:pt>
                <c:pt idx="1536">
                  <c:v>13</c:v>
                </c:pt>
                <c:pt idx="1537">
                  <c:v>13</c:v>
                </c:pt>
                <c:pt idx="1538">
                  <c:v>13</c:v>
                </c:pt>
                <c:pt idx="1539">
                  <c:v>13</c:v>
                </c:pt>
                <c:pt idx="1540">
                  <c:v>13</c:v>
                </c:pt>
                <c:pt idx="1541">
                  <c:v>13</c:v>
                </c:pt>
                <c:pt idx="1542">
                  <c:v>13</c:v>
                </c:pt>
                <c:pt idx="1543">
                  <c:v>13</c:v>
                </c:pt>
                <c:pt idx="1544">
                  <c:v>13</c:v>
                </c:pt>
                <c:pt idx="1545">
                  <c:v>13</c:v>
                </c:pt>
                <c:pt idx="1546">
                  <c:v>13</c:v>
                </c:pt>
                <c:pt idx="1547">
                  <c:v>13</c:v>
                </c:pt>
                <c:pt idx="1548">
                  <c:v>13</c:v>
                </c:pt>
                <c:pt idx="1549">
                  <c:v>13</c:v>
                </c:pt>
                <c:pt idx="1550">
                  <c:v>13</c:v>
                </c:pt>
                <c:pt idx="1551">
                  <c:v>13</c:v>
                </c:pt>
                <c:pt idx="1552">
                  <c:v>13</c:v>
                </c:pt>
                <c:pt idx="1553">
                  <c:v>13</c:v>
                </c:pt>
                <c:pt idx="1554">
                  <c:v>13</c:v>
                </c:pt>
                <c:pt idx="1555">
                  <c:v>13</c:v>
                </c:pt>
                <c:pt idx="1645">
                  <c:v>14</c:v>
                </c:pt>
                <c:pt idx="1646">
                  <c:v>14</c:v>
                </c:pt>
                <c:pt idx="1647">
                  <c:v>14</c:v>
                </c:pt>
                <c:pt idx="1648">
                  <c:v>14</c:v>
                </c:pt>
                <c:pt idx="1649">
                  <c:v>14</c:v>
                </c:pt>
                <c:pt idx="1650">
                  <c:v>14</c:v>
                </c:pt>
                <c:pt idx="1651">
                  <c:v>14</c:v>
                </c:pt>
                <c:pt idx="1652">
                  <c:v>14</c:v>
                </c:pt>
                <c:pt idx="1653">
                  <c:v>14</c:v>
                </c:pt>
                <c:pt idx="1654">
                  <c:v>14</c:v>
                </c:pt>
                <c:pt idx="1655">
                  <c:v>14</c:v>
                </c:pt>
                <c:pt idx="1656">
                  <c:v>14</c:v>
                </c:pt>
                <c:pt idx="1657">
                  <c:v>14</c:v>
                </c:pt>
                <c:pt idx="1658">
                  <c:v>14</c:v>
                </c:pt>
                <c:pt idx="1931">
                  <c:v>15</c:v>
                </c:pt>
                <c:pt idx="1932">
                  <c:v>15</c:v>
                </c:pt>
                <c:pt idx="1933">
                  <c:v>15</c:v>
                </c:pt>
                <c:pt idx="1934">
                  <c:v>15</c:v>
                </c:pt>
                <c:pt idx="1935">
                  <c:v>15</c:v>
                </c:pt>
                <c:pt idx="1936">
                  <c:v>15</c:v>
                </c:pt>
                <c:pt idx="1937">
                  <c:v>15</c:v>
                </c:pt>
                <c:pt idx="1938">
                  <c:v>15</c:v>
                </c:pt>
                <c:pt idx="1939">
                  <c:v>15</c:v>
                </c:pt>
                <c:pt idx="1940">
                  <c:v>15</c:v>
                </c:pt>
                <c:pt idx="1941">
                  <c:v>15</c:v>
                </c:pt>
                <c:pt idx="2085">
                  <c:v>16</c:v>
                </c:pt>
                <c:pt idx="2086">
                  <c:v>16</c:v>
                </c:pt>
                <c:pt idx="2087">
                  <c:v>16</c:v>
                </c:pt>
                <c:pt idx="2088">
                  <c:v>16</c:v>
                </c:pt>
                <c:pt idx="2089">
                  <c:v>16</c:v>
                </c:pt>
                <c:pt idx="2090">
                  <c:v>16</c:v>
                </c:pt>
                <c:pt idx="2091">
                  <c:v>16</c:v>
                </c:pt>
                <c:pt idx="2092">
                  <c:v>16</c:v>
                </c:pt>
                <c:pt idx="2093">
                  <c:v>16</c:v>
                </c:pt>
                <c:pt idx="2094">
                  <c:v>16</c:v>
                </c:pt>
                <c:pt idx="2095">
                  <c:v>16</c:v>
                </c:pt>
                <c:pt idx="2096">
                  <c:v>16</c:v>
                </c:pt>
                <c:pt idx="2097">
                  <c:v>16</c:v>
                </c:pt>
                <c:pt idx="2098">
                  <c:v>16</c:v>
                </c:pt>
                <c:pt idx="2099">
                  <c:v>16</c:v>
                </c:pt>
                <c:pt idx="2100">
                  <c:v>16</c:v>
                </c:pt>
                <c:pt idx="2101">
                  <c:v>16</c:v>
                </c:pt>
                <c:pt idx="2102">
                  <c:v>16</c:v>
                </c:pt>
                <c:pt idx="2103">
                  <c:v>16</c:v>
                </c:pt>
                <c:pt idx="2104">
                  <c:v>16</c:v>
                </c:pt>
                <c:pt idx="2105">
                  <c:v>16</c:v>
                </c:pt>
                <c:pt idx="2106">
                  <c:v>16</c:v>
                </c:pt>
                <c:pt idx="2107">
                  <c:v>16</c:v>
                </c:pt>
                <c:pt idx="2108">
                  <c:v>16</c:v>
                </c:pt>
                <c:pt idx="2109">
                  <c:v>16</c:v>
                </c:pt>
                <c:pt idx="2110">
                  <c:v>16</c:v>
                </c:pt>
                <c:pt idx="2111">
                  <c:v>16</c:v>
                </c:pt>
                <c:pt idx="2112">
                  <c:v>16</c:v>
                </c:pt>
                <c:pt idx="2113">
                  <c:v>16</c:v>
                </c:pt>
                <c:pt idx="2114">
                  <c:v>16</c:v>
                </c:pt>
                <c:pt idx="2115">
                  <c:v>16</c:v>
                </c:pt>
                <c:pt idx="2116">
                  <c:v>16</c:v>
                </c:pt>
                <c:pt idx="2117">
                  <c:v>16</c:v>
                </c:pt>
                <c:pt idx="2118">
                  <c:v>16</c:v>
                </c:pt>
                <c:pt idx="2119">
                  <c:v>16</c:v>
                </c:pt>
                <c:pt idx="2120">
                  <c:v>16</c:v>
                </c:pt>
                <c:pt idx="2121">
                  <c:v>16</c:v>
                </c:pt>
                <c:pt idx="2122">
                  <c:v>16</c:v>
                </c:pt>
                <c:pt idx="2123">
                  <c:v>16</c:v>
                </c:pt>
                <c:pt idx="2124">
                  <c:v>16</c:v>
                </c:pt>
                <c:pt idx="2125">
                  <c:v>16</c:v>
                </c:pt>
                <c:pt idx="2126">
                  <c:v>16</c:v>
                </c:pt>
                <c:pt idx="2127">
                  <c:v>16</c:v>
                </c:pt>
                <c:pt idx="2128">
                  <c:v>16</c:v>
                </c:pt>
                <c:pt idx="2129">
                  <c:v>16</c:v>
                </c:pt>
                <c:pt idx="2130">
                  <c:v>16</c:v>
                </c:pt>
                <c:pt idx="2131">
                  <c:v>16</c:v>
                </c:pt>
                <c:pt idx="2132">
                  <c:v>16</c:v>
                </c:pt>
                <c:pt idx="2133">
                  <c:v>16</c:v>
                </c:pt>
                <c:pt idx="2134">
                  <c:v>16</c:v>
                </c:pt>
                <c:pt idx="2135">
                  <c:v>16</c:v>
                </c:pt>
                <c:pt idx="2136">
                  <c:v>16</c:v>
                </c:pt>
                <c:pt idx="2137">
                  <c:v>16</c:v>
                </c:pt>
                <c:pt idx="2138">
                  <c:v>16</c:v>
                </c:pt>
                <c:pt idx="2139">
                  <c:v>16</c:v>
                </c:pt>
                <c:pt idx="2140">
                  <c:v>16</c:v>
                </c:pt>
                <c:pt idx="2141">
                  <c:v>16</c:v>
                </c:pt>
                <c:pt idx="2142">
                  <c:v>16</c:v>
                </c:pt>
                <c:pt idx="2143">
                  <c:v>16</c:v>
                </c:pt>
                <c:pt idx="2144">
                  <c:v>16</c:v>
                </c:pt>
                <c:pt idx="2145">
                  <c:v>16</c:v>
                </c:pt>
                <c:pt idx="2146">
                  <c:v>16</c:v>
                </c:pt>
                <c:pt idx="2147">
                  <c:v>16</c:v>
                </c:pt>
                <c:pt idx="2148">
                  <c:v>16</c:v>
                </c:pt>
                <c:pt idx="2149">
                  <c:v>16</c:v>
                </c:pt>
                <c:pt idx="2150">
                  <c:v>16</c:v>
                </c:pt>
                <c:pt idx="2151">
                  <c:v>16</c:v>
                </c:pt>
                <c:pt idx="2152">
                  <c:v>16</c:v>
                </c:pt>
                <c:pt idx="2153">
                  <c:v>16</c:v>
                </c:pt>
                <c:pt idx="2168">
                  <c:v>17</c:v>
                </c:pt>
                <c:pt idx="2169">
                  <c:v>17</c:v>
                </c:pt>
                <c:pt idx="2170">
                  <c:v>17</c:v>
                </c:pt>
                <c:pt idx="2171">
                  <c:v>17</c:v>
                </c:pt>
                <c:pt idx="2172">
                  <c:v>17</c:v>
                </c:pt>
                <c:pt idx="2173">
                  <c:v>17</c:v>
                </c:pt>
                <c:pt idx="2174">
                  <c:v>17</c:v>
                </c:pt>
                <c:pt idx="2175">
                  <c:v>17</c:v>
                </c:pt>
                <c:pt idx="2176">
                  <c:v>17</c:v>
                </c:pt>
                <c:pt idx="2177">
                  <c:v>17</c:v>
                </c:pt>
                <c:pt idx="2178">
                  <c:v>17</c:v>
                </c:pt>
                <c:pt idx="2179">
                  <c:v>17</c:v>
                </c:pt>
                <c:pt idx="2180">
                  <c:v>17</c:v>
                </c:pt>
                <c:pt idx="2181">
                  <c:v>17</c:v>
                </c:pt>
                <c:pt idx="2182">
                  <c:v>17</c:v>
                </c:pt>
                <c:pt idx="2183">
                  <c:v>17</c:v>
                </c:pt>
                <c:pt idx="2184">
                  <c:v>17</c:v>
                </c:pt>
                <c:pt idx="2185">
                  <c:v>17</c:v>
                </c:pt>
                <c:pt idx="2186">
                  <c:v>17</c:v>
                </c:pt>
                <c:pt idx="2187">
                  <c:v>17</c:v>
                </c:pt>
                <c:pt idx="2188">
                  <c:v>17</c:v>
                </c:pt>
                <c:pt idx="2189">
                  <c:v>17</c:v>
                </c:pt>
                <c:pt idx="2190">
                  <c:v>17</c:v>
                </c:pt>
                <c:pt idx="2191">
                  <c:v>17</c:v>
                </c:pt>
                <c:pt idx="2192">
                  <c:v>17</c:v>
                </c:pt>
                <c:pt idx="2193">
                  <c:v>17</c:v>
                </c:pt>
                <c:pt idx="2194">
                  <c:v>17</c:v>
                </c:pt>
                <c:pt idx="2195">
                  <c:v>17</c:v>
                </c:pt>
                <c:pt idx="2196">
                  <c:v>17</c:v>
                </c:pt>
                <c:pt idx="2197">
                  <c:v>17</c:v>
                </c:pt>
                <c:pt idx="2198">
                  <c:v>17</c:v>
                </c:pt>
                <c:pt idx="2199">
                  <c:v>17</c:v>
                </c:pt>
                <c:pt idx="2200">
                  <c:v>17</c:v>
                </c:pt>
                <c:pt idx="2201">
                  <c:v>17</c:v>
                </c:pt>
                <c:pt idx="2202">
                  <c:v>17</c:v>
                </c:pt>
                <c:pt idx="2203">
                  <c:v>17</c:v>
                </c:pt>
                <c:pt idx="2204">
                  <c:v>17</c:v>
                </c:pt>
                <c:pt idx="2205">
                  <c:v>17</c:v>
                </c:pt>
                <c:pt idx="2206">
                  <c:v>17</c:v>
                </c:pt>
                <c:pt idx="2207">
                  <c:v>17</c:v>
                </c:pt>
                <c:pt idx="2208">
                  <c:v>17</c:v>
                </c:pt>
                <c:pt idx="2209">
                  <c:v>17</c:v>
                </c:pt>
                <c:pt idx="2210">
                  <c:v>17</c:v>
                </c:pt>
                <c:pt idx="2211">
                  <c:v>17</c:v>
                </c:pt>
                <c:pt idx="2212">
                  <c:v>17</c:v>
                </c:pt>
                <c:pt idx="2213">
                  <c:v>17</c:v>
                </c:pt>
                <c:pt idx="2214">
                  <c:v>17</c:v>
                </c:pt>
                <c:pt idx="2215">
                  <c:v>17</c:v>
                </c:pt>
                <c:pt idx="2216">
                  <c:v>17</c:v>
                </c:pt>
                <c:pt idx="2217">
                  <c:v>17</c:v>
                </c:pt>
                <c:pt idx="2218">
                  <c:v>17</c:v>
                </c:pt>
                <c:pt idx="2219">
                  <c:v>17</c:v>
                </c:pt>
                <c:pt idx="2220">
                  <c:v>17</c:v>
                </c:pt>
                <c:pt idx="2221">
                  <c:v>17</c:v>
                </c:pt>
                <c:pt idx="2222">
                  <c:v>17</c:v>
                </c:pt>
                <c:pt idx="2223">
                  <c:v>17</c:v>
                </c:pt>
                <c:pt idx="2224">
                  <c:v>17</c:v>
                </c:pt>
                <c:pt idx="2225">
                  <c:v>17</c:v>
                </c:pt>
                <c:pt idx="2226">
                  <c:v>17</c:v>
                </c:pt>
                <c:pt idx="2227">
                  <c:v>17</c:v>
                </c:pt>
                <c:pt idx="2228">
                  <c:v>17</c:v>
                </c:pt>
                <c:pt idx="2229">
                  <c:v>17</c:v>
                </c:pt>
                <c:pt idx="2230">
                  <c:v>17</c:v>
                </c:pt>
                <c:pt idx="2231">
                  <c:v>17</c:v>
                </c:pt>
                <c:pt idx="2232">
                  <c:v>17</c:v>
                </c:pt>
                <c:pt idx="2233">
                  <c:v>17</c:v>
                </c:pt>
                <c:pt idx="2234">
                  <c:v>17</c:v>
                </c:pt>
                <c:pt idx="2235">
                  <c:v>17</c:v>
                </c:pt>
                <c:pt idx="2236">
                  <c:v>17</c:v>
                </c:pt>
                <c:pt idx="2237">
                  <c:v>17</c:v>
                </c:pt>
                <c:pt idx="2238">
                  <c:v>17</c:v>
                </c:pt>
                <c:pt idx="2239">
                  <c:v>17</c:v>
                </c:pt>
                <c:pt idx="2240">
                  <c:v>17</c:v>
                </c:pt>
                <c:pt idx="2261">
                  <c:v>18</c:v>
                </c:pt>
                <c:pt idx="2262">
                  <c:v>18</c:v>
                </c:pt>
                <c:pt idx="2263">
                  <c:v>18</c:v>
                </c:pt>
                <c:pt idx="2264">
                  <c:v>18</c:v>
                </c:pt>
                <c:pt idx="2265">
                  <c:v>18</c:v>
                </c:pt>
                <c:pt idx="2266">
                  <c:v>18</c:v>
                </c:pt>
                <c:pt idx="2267">
                  <c:v>18</c:v>
                </c:pt>
                <c:pt idx="2268">
                  <c:v>18</c:v>
                </c:pt>
                <c:pt idx="2269">
                  <c:v>18</c:v>
                </c:pt>
                <c:pt idx="2270">
                  <c:v>18</c:v>
                </c:pt>
                <c:pt idx="2271">
                  <c:v>18</c:v>
                </c:pt>
                <c:pt idx="2272">
                  <c:v>18</c:v>
                </c:pt>
                <c:pt idx="2273">
                  <c:v>18</c:v>
                </c:pt>
                <c:pt idx="2274">
                  <c:v>18</c:v>
                </c:pt>
                <c:pt idx="2275">
                  <c:v>18</c:v>
                </c:pt>
                <c:pt idx="2276">
                  <c:v>18</c:v>
                </c:pt>
                <c:pt idx="2277">
                  <c:v>18</c:v>
                </c:pt>
                <c:pt idx="2278">
                  <c:v>18</c:v>
                </c:pt>
                <c:pt idx="2279">
                  <c:v>18</c:v>
                </c:pt>
                <c:pt idx="2280">
                  <c:v>18</c:v>
                </c:pt>
                <c:pt idx="2281">
                  <c:v>18</c:v>
                </c:pt>
                <c:pt idx="2282">
                  <c:v>18</c:v>
                </c:pt>
                <c:pt idx="2283">
                  <c:v>18</c:v>
                </c:pt>
                <c:pt idx="2284">
                  <c:v>18</c:v>
                </c:pt>
                <c:pt idx="2285">
                  <c:v>18</c:v>
                </c:pt>
                <c:pt idx="2286">
                  <c:v>18</c:v>
                </c:pt>
                <c:pt idx="2287">
                  <c:v>18</c:v>
                </c:pt>
                <c:pt idx="2288">
                  <c:v>18</c:v>
                </c:pt>
                <c:pt idx="2289">
                  <c:v>18</c:v>
                </c:pt>
                <c:pt idx="2290">
                  <c:v>18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18</c:v>
                </c:pt>
                <c:pt idx="2295">
                  <c:v>18</c:v>
                </c:pt>
                <c:pt idx="2296">
                  <c:v>18</c:v>
                </c:pt>
                <c:pt idx="2297">
                  <c:v>18</c:v>
                </c:pt>
                <c:pt idx="2298">
                  <c:v>18</c:v>
                </c:pt>
                <c:pt idx="2299">
                  <c:v>18</c:v>
                </c:pt>
                <c:pt idx="2300">
                  <c:v>18</c:v>
                </c:pt>
                <c:pt idx="2301">
                  <c:v>18</c:v>
                </c:pt>
                <c:pt idx="2302">
                  <c:v>18</c:v>
                </c:pt>
                <c:pt idx="2303">
                  <c:v>18</c:v>
                </c:pt>
                <c:pt idx="2304">
                  <c:v>18</c:v>
                </c:pt>
                <c:pt idx="2305">
                  <c:v>18</c:v>
                </c:pt>
                <c:pt idx="2306">
                  <c:v>18</c:v>
                </c:pt>
                <c:pt idx="2307">
                  <c:v>18</c:v>
                </c:pt>
                <c:pt idx="2308">
                  <c:v>18</c:v>
                </c:pt>
                <c:pt idx="2309">
                  <c:v>18</c:v>
                </c:pt>
                <c:pt idx="2310">
                  <c:v>18</c:v>
                </c:pt>
                <c:pt idx="2311">
                  <c:v>18</c:v>
                </c:pt>
                <c:pt idx="2312">
                  <c:v>18</c:v>
                </c:pt>
                <c:pt idx="2313">
                  <c:v>18</c:v>
                </c:pt>
                <c:pt idx="2314">
                  <c:v>18</c:v>
                </c:pt>
                <c:pt idx="2315">
                  <c:v>18</c:v>
                </c:pt>
                <c:pt idx="2316">
                  <c:v>18</c:v>
                </c:pt>
                <c:pt idx="2317">
                  <c:v>18</c:v>
                </c:pt>
                <c:pt idx="2318">
                  <c:v>18</c:v>
                </c:pt>
                <c:pt idx="2319">
                  <c:v>18</c:v>
                </c:pt>
                <c:pt idx="2320">
                  <c:v>18</c:v>
                </c:pt>
                <c:pt idx="2321">
                  <c:v>18</c:v>
                </c:pt>
                <c:pt idx="2322">
                  <c:v>18</c:v>
                </c:pt>
                <c:pt idx="2364">
                  <c:v>19</c:v>
                </c:pt>
                <c:pt idx="2365">
                  <c:v>19</c:v>
                </c:pt>
                <c:pt idx="2366">
                  <c:v>19</c:v>
                </c:pt>
                <c:pt idx="2367">
                  <c:v>19</c:v>
                </c:pt>
                <c:pt idx="2368">
                  <c:v>19</c:v>
                </c:pt>
                <c:pt idx="2369">
                  <c:v>19</c:v>
                </c:pt>
                <c:pt idx="2370">
                  <c:v>19</c:v>
                </c:pt>
                <c:pt idx="2371">
                  <c:v>19</c:v>
                </c:pt>
                <c:pt idx="2372">
                  <c:v>19</c:v>
                </c:pt>
                <c:pt idx="2373">
                  <c:v>19</c:v>
                </c:pt>
                <c:pt idx="2374">
                  <c:v>19</c:v>
                </c:pt>
                <c:pt idx="2375">
                  <c:v>19</c:v>
                </c:pt>
                <c:pt idx="2376">
                  <c:v>19</c:v>
                </c:pt>
                <c:pt idx="2377">
                  <c:v>19</c:v>
                </c:pt>
                <c:pt idx="2378">
                  <c:v>19</c:v>
                </c:pt>
                <c:pt idx="2379">
                  <c:v>19</c:v>
                </c:pt>
                <c:pt idx="2380">
                  <c:v>19</c:v>
                </c:pt>
                <c:pt idx="2381">
                  <c:v>19</c:v>
                </c:pt>
                <c:pt idx="2382">
                  <c:v>19</c:v>
                </c:pt>
                <c:pt idx="2383">
                  <c:v>19</c:v>
                </c:pt>
                <c:pt idx="2384">
                  <c:v>19</c:v>
                </c:pt>
                <c:pt idx="2385">
                  <c:v>19</c:v>
                </c:pt>
                <c:pt idx="2386">
                  <c:v>19</c:v>
                </c:pt>
                <c:pt idx="2387">
                  <c:v>19</c:v>
                </c:pt>
                <c:pt idx="2388">
                  <c:v>19</c:v>
                </c:pt>
                <c:pt idx="2389">
                  <c:v>19</c:v>
                </c:pt>
                <c:pt idx="2390">
                  <c:v>19</c:v>
                </c:pt>
                <c:pt idx="2391">
                  <c:v>19</c:v>
                </c:pt>
                <c:pt idx="2392">
                  <c:v>19</c:v>
                </c:pt>
                <c:pt idx="2393">
                  <c:v>19</c:v>
                </c:pt>
                <c:pt idx="2394">
                  <c:v>19</c:v>
                </c:pt>
                <c:pt idx="2395">
                  <c:v>19</c:v>
                </c:pt>
                <c:pt idx="2396">
                  <c:v>19</c:v>
                </c:pt>
                <c:pt idx="2397">
                  <c:v>19</c:v>
                </c:pt>
                <c:pt idx="2398">
                  <c:v>19</c:v>
                </c:pt>
                <c:pt idx="2399">
                  <c:v>19</c:v>
                </c:pt>
                <c:pt idx="2400">
                  <c:v>19</c:v>
                </c:pt>
                <c:pt idx="2401">
                  <c:v>19</c:v>
                </c:pt>
                <c:pt idx="2402">
                  <c:v>19</c:v>
                </c:pt>
                <c:pt idx="2403">
                  <c:v>19</c:v>
                </c:pt>
                <c:pt idx="2404">
                  <c:v>19</c:v>
                </c:pt>
                <c:pt idx="2405">
                  <c:v>19</c:v>
                </c:pt>
                <c:pt idx="2406">
                  <c:v>19</c:v>
                </c:pt>
                <c:pt idx="2407">
                  <c:v>19</c:v>
                </c:pt>
                <c:pt idx="2408">
                  <c:v>19</c:v>
                </c:pt>
                <c:pt idx="2409">
                  <c:v>19</c:v>
                </c:pt>
                <c:pt idx="2410">
                  <c:v>19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671">
                  <c:v>21</c:v>
                </c:pt>
                <c:pt idx="2672">
                  <c:v>21</c:v>
                </c:pt>
                <c:pt idx="2673">
                  <c:v>21</c:v>
                </c:pt>
                <c:pt idx="2739">
                  <c:v>22</c:v>
                </c:pt>
                <c:pt idx="2740">
                  <c:v>22</c:v>
                </c:pt>
                <c:pt idx="2741">
                  <c:v>22</c:v>
                </c:pt>
                <c:pt idx="2742">
                  <c:v>22</c:v>
                </c:pt>
                <c:pt idx="2743">
                  <c:v>22</c:v>
                </c:pt>
                <c:pt idx="2744">
                  <c:v>22</c:v>
                </c:pt>
                <c:pt idx="2745">
                  <c:v>22</c:v>
                </c:pt>
                <c:pt idx="2746">
                  <c:v>22</c:v>
                </c:pt>
                <c:pt idx="2747">
                  <c:v>22</c:v>
                </c:pt>
                <c:pt idx="2748">
                  <c:v>22</c:v>
                </c:pt>
                <c:pt idx="2749">
                  <c:v>22</c:v>
                </c:pt>
                <c:pt idx="2750">
                  <c:v>22</c:v>
                </c:pt>
                <c:pt idx="2751">
                  <c:v>22</c:v>
                </c:pt>
                <c:pt idx="2752">
                  <c:v>22</c:v>
                </c:pt>
                <c:pt idx="2753">
                  <c:v>22</c:v>
                </c:pt>
                <c:pt idx="2754">
                  <c:v>22</c:v>
                </c:pt>
                <c:pt idx="2755">
                  <c:v>22</c:v>
                </c:pt>
                <c:pt idx="2756">
                  <c:v>22</c:v>
                </c:pt>
                <c:pt idx="2757">
                  <c:v>22</c:v>
                </c:pt>
                <c:pt idx="2758">
                  <c:v>22</c:v>
                </c:pt>
                <c:pt idx="2759">
                  <c:v>22</c:v>
                </c:pt>
                <c:pt idx="2760">
                  <c:v>22</c:v>
                </c:pt>
                <c:pt idx="2761">
                  <c:v>22</c:v>
                </c:pt>
                <c:pt idx="2762">
                  <c:v>22</c:v>
                </c:pt>
                <c:pt idx="2763">
                  <c:v>22</c:v>
                </c:pt>
                <c:pt idx="2764">
                  <c:v>22</c:v>
                </c:pt>
                <c:pt idx="2765">
                  <c:v>22</c:v>
                </c:pt>
                <c:pt idx="2766">
                  <c:v>22</c:v>
                </c:pt>
                <c:pt idx="2767">
                  <c:v>22</c:v>
                </c:pt>
                <c:pt idx="2768">
                  <c:v>22</c:v>
                </c:pt>
                <c:pt idx="2769">
                  <c:v>22</c:v>
                </c:pt>
                <c:pt idx="2770">
                  <c:v>22</c:v>
                </c:pt>
                <c:pt idx="2771">
                  <c:v>22</c:v>
                </c:pt>
                <c:pt idx="2772">
                  <c:v>22</c:v>
                </c:pt>
                <c:pt idx="2773">
                  <c:v>22</c:v>
                </c:pt>
                <c:pt idx="2774">
                  <c:v>22</c:v>
                </c:pt>
                <c:pt idx="2775">
                  <c:v>22</c:v>
                </c:pt>
                <c:pt idx="2776">
                  <c:v>22</c:v>
                </c:pt>
                <c:pt idx="2777">
                  <c:v>22</c:v>
                </c:pt>
                <c:pt idx="2778">
                  <c:v>22</c:v>
                </c:pt>
                <c:pt idx="2779">
                  <c:v>22</c:v>
                </c:pt>
                <c:pt idx="2780">
                  <c:v>22</c:v>
                </c:pt>
                <c:pt idx="2781">
                  <c:v>22</c:v>
                </c:pt>
                <c:pt idx="2862">
                  <c:v>23</c:v>
                </c:pt>
                <c:pt idx="2863">
                  <c:v>23</c:v>
                </c:pt>
                <c:pt idx="2864">
                  <c:v>23</c:v>
                </c:pt>
                <c:pt idx="2865">
                  <c:v>23</c:v>
                </c:pt>
                <c:pt idx="2866">
                  <c:v>23</c:v>
                </c:pt>
                <c:pt idx="2867">
                  <c:v>23</c:v>
                </c:pt>
                <c:pt idx="2868">
                  <c:v>23</c:v>
                </c:pt>
                <c:pt idx="2887">
                  <c:v>24</c:v>
                </c:pt>
                <c:pt idx="2888">
                  <c:v>24</c:v>
                </c:pt>
                <c:pt idx="2889">
                  <c:v>24</c:v>
                </c:pt>
                <c:pt idx="2890">
                  <c:v>24</c:v>
                </c:pt>
                <c:pt idx="2891">
                  <c:v>24</c:v>
                </c:pt>
                <c:pt idx="2892">
                  <c:v>24</c:v>
                </c:pt>
                <c:pt idx="2893">
                  <c:v>24</c:v>
                </c:pt>
                <c:pt idx="2894">
                  <c:v>24</c:v>
                </c:pt>
                <c:pt idx="2976">
                  <c:v>25</c:v>
                </c:pt>
                <c:pt idx="2977">
                  <c:v>25</c:v>
                </c:pt>
                <c:pt idx="2978">
                  <c:v>25</c:v>
                </c:pt>
                <c:pt idx="2979">
                  <c:v>25</c:v>
                </c:pt>
                <c:pt idx="2980">
                  <c:v>25</c:v>
                </c:pt>
                <c:pt idx="2981">
                  <c:v>25</c:v>
                </c:pt>
                <c:pt idx="2982">
                  <c:v>25</c:v>
                </c:pt>
                <c:pt idx="2983">
                  <c:v>25</c:v>
                </c:pt>
                <c:pt idx="2984">
                  <c:v>25</c:v>
                </c:pt>
                <c:pt idx="2985">
                  <c:v>25</c:v>
                </c:pt>
                <c:pt idx="2986">
                  <c:v>25</c:v>
                </c:pt>
                <c:pt idx="2987">
                  <c:v>25</c:v>
                </c:pt>
                <c:pt idx="2988">
                  <c:v>25</c:v>
                </c:pt>
                <c:pt idx="2989">
                  <c:v>25</c:v>
                </c:pt>
                <c:pt idx="2990">
                  <c:v>25</c:v>
                </c:pt>
                <c:pt idx="2991">
                  <c:v>25</c:v>
                </c:pt>
                <c:pt idx="2992">
                  <c:v>25</c:v>
                </c:pt>
                <c:pt idx="2993">
                  <c:v>25</c:v>
                </c:pt>
                <c:pt idx="2994">
                  <c:v>25</c:v>
                </c:pt>
                <c:pt idx="2995">
                  <c:v>25</c:v>
                </c:pt>
                <c:pt idx="2996">
                  <c:v>25</c:v>
                </c:pt>
                <c:pt idx="3163">
                  <c:v>26</c:v>
                </c:pt>
                <c:pt idx="3164">
                  <c:v>26</c:v>
                </c:pt>
                <c:pt idx="3165">
                  <c:v>26</c:v>
                </c:pt>
                <c:pt idx="3166">
                  <c:v>26</c:v>
                </c:pt>
                <c:pt idx="3167">
                  <c:v>26</c:v>
                </c:pt>
                <c:pt idx="3168">
                  <c:v>26</c:v>
                </c:pt>
                <c:pt idx="3169">
                  <c:v>26</c:v>
                </c:pt>
                <c:pt idx="3170">
                  <c:v>26</c:v>
                </c:pt>
                <c:pt idx="3171">
                  <c:v>26</c:v>
                </c:pt>
                <c:pt idx="3172">
                  <c:v>26</c:v>
                </c:pt>
                <c:pt idx="3173">
                  <c:v>26</c:v>
                </c:pt>
                <c:pt idx="3174">
                  <c:v>26</c:v>
                </c:pt>
                <c:pt idx="3175">
                  <c:v>26</c:v>
                </c:pt>
                <c:pt idx="3176">
                  <c:v>26</c:v>
                </c:pt>
                <c:pt idx="3177">
                  <c:v>26</c:v>
                </c:pt>
                <c:pt idx="3178">
                  <c:v>26</c:v>
                </c:pt>
                <c:pt idx="3179">
                  <c:v>26</c:v>
                </c:pt>
                <c:pt idx="3180">
                  <c:v>26</c:v>
                </c:pt>
                <c:pt idx="3181">
                  <c:v>26</c:v>
                </c:pt>
                <c:pt idx="3182">
                  <c:v>26</c:v>
                </c:pt>
                <c:pt idx="3183">
                  <c:v>26</c:v>
                </c:pt>
                <c:pt idx="3184">
                  <c:v>26</c:v>
                </c:pt>
                <c:pt idx="3185">
                  <c:v>26</c:v>
                </c:pt>
                <c:pt idx="3186">
                  <c:v>26</c:v>
                </c:pt>
                <c:pt idx="3187">
                  <c:v>26</c:v>
                </c:pt>
                <c:pt idx="3188">
                  <c:v>26</c:v>
                </c:pt>
                <c:pt idx="3189">
                  <c:v>26</c:v>
                </c:pt>
                <c:pt idx="3190">
                  <c:v>26</c:v>
                </c:pt>
                <c:pt idx="3191">
                  <c:v>26</c:v>
                </c:pt>
                <c:pt idx="3192">
                  <c:v>26</c:v>
                </c:pt>
                <c:pt idx="3193">
                  <c:v>26</c:v>
                </c:pt>
                <c:pt idx="3194">
                  <c:v>26</c:v>
                </c:pt>
                <c:pt idx="3195">
                  <c:v>26</c:v>
                </c:pt>
                <c:pt idx="3196">
                  <c:v>26</c:v>
                </c:pt>
                <c:pt idx="3197">
                  <c:v>26</c:v>
                </c:pt>
                <c:pt idx="3198">
                  <c:v>26</c:v>
                </c:pt>
                <c:pt idx="3199">
                  <c:v>26</c:v>
                </c:pt>
                <c:pt idx="3200">
                  <c:v>26</c:v>
                </c:pt>
                <c:pt idx="3201">
                  <c:v>26</c:v>
                </c:pt>
                <c:pt idx="3202">
                  <c:v>26</c:v>
                </c:pt>
                <c:pt idx="3203">
                  <c:v>26</c:v>
                </c:pt>
                <c:pt idx="3204">
                  <c:v>26</c:v>
                </c:pt>
                <c:pt idx="3205">
                  <c:v>26</c:v>
                </c:pt>
                <c:pt idx="3206">
                  <c:v>26</c:v>
                </c:pt>
                <c:pt idx="3207">
                  <c:v>26</c:v>
                </c:pt>
                <c:pt idx="3208">
                  <c:v>26</c:v>
                </c:pt>
                <c:pt idx="3209">
                  <c:v>26</c:v>
                </c:pt>
                <c:pt idx="3210">
                  <c:v>26</c:v>
                </c:pt>
                <c:pt idx="3211">
                  <c:v>26</c:v>
                </c:pt>
                <c:pt idx="3212">
                  <c:v>26</c:v>
                </c:pt>
                <c:pt idx="3213">
                  <c:v>26</c:v>
                </c:pt>
                <c:pt idx="3214">
                  <c:v>26</c:v>
                </c:pt>
                <c:pt idx="3215">
                  <c:v>26</c:v>
                </c:pt>
                <c:pt idx="3216">
                  <c:v>26</c:v>
                </c:pt>
                <c:pt idx="3233">
                  <c:v>27</c:v>
                </c:pt>
                <c:pt idx="3234">
                  <c:v>27</c:v>
                </c:pt>
                <c:pt idx="3235">
                  <c:v>27</c:v>
                </c:pt>
                <c:pt idx="3236">
                  <c:v>27</c:v>
                </c:pt>
                <c:pt idx="3237">
                  <c:v>27</c:v>
                </c:pt>
                <c:pt idx="3238">
                  <c:v>27</c:v>
                </c:pt>
                <c:pt idx="3239">
                  <c:v>27</c:v>
                </c:pt>
                <c:pt idx="3240">
                  <c:v>27</c:v>
                </c:pt>
                <c:pt idx="3241">
                  <c:v>27</c:v>
                </c:pt>
                <c:pt idx="3242">
                  <c:v>27</c:v>
                </c:pt>
                <c:pt idx="3243">
                  <c:v>27</c:v>
                </c:pt>
                <c:pt idx="3244">
                  <c:v>27</c:v>
                </c:pt>
                <c:pt idx="3245">
                  <c:v>27</c:v>
                </c:pt>
                <c:pt idx="3246">
                  <c:v>27</c:v>
                </c:pt>
                <c:pt idx="3247">
                  <c:v>27</c:v>
                </c:pt>
                <c:pt idx="3248">
                  <c:v>27</c:v>
                </c:pt>
                <c:pt idx="3249">
                  <c:v>27</c:v>
                </c:pt>
                <c:pt idx="3250">
                  <c:v>27</c:v>
                </c:pt>
                <c:pt idx="3251">
                  <c:v>27</c:v>
                </c:pt>
                <c:pt idx="3252">
                  <c:v>27</c:v>
                </c:pt>
                <c:pt idx="3253">
                  <c:v>27</c:v>
                </c:pt>
                <c:pt idx="3254">
                  <c:v>27</c:v>
                </c:pt>
                <c:pt idx="3255">
                  <c:v>27</c:v>
                </c:pt>
                <c:pt idx="3256">
                  <c:v>27</c:v>
                </c:pt>
                <c:pt idx="3257">
                  <c:v>27</c:v>
                </c:pt>
                <c:pt idx="3258">
                  <c:v>27</c:v>
                </c:pt>
                <c:pt idx="3259">
                  <c:v>27</c:v>
                </c:pt>
                <c:pt idx="3282">
                  <c:v>28</c:v>
                </c:pt>
                <c:pt idx="3283">
                  <c:v>28</c:v>
                </c:pt>
                <c:pt idx="3284">
                  <c:v>28</c:v>
                </c:pt>
                <c:pt idx="3285">
                  <c:v>28</c:v>
                </c:pt>
                <c:pt idx="3286">
                  <c:v>28</c:v>
                </c:pt>
                <c:pt idx="3287">
                  <c:v>28</c:v>
                </c:pt>
                <c:pt idx="3288">
                  <c:v>28</c:v>
                </c:pt>
                <c:pt idx="3289">
                  <c:v>28</c:v>
                </c:pt>
                <c:pt idx="3290">
                  <c:v>28</c:v>
                </c:pt>
                <c:pt idx="3291">
                  <c:v>28</c:v>
                </c:pt>
                <c:pt idx="3292">
                  <c:v>28</c:v>
                </c:pt>
                <c:pt idx="3293">
                  <c:v>28</c:v>
                </c:pt>
                <c:pt idx="3294">
                  <c:v>28</c:v>
                </c:pt>
                <c:pt idx="3295">
                  <c:v>28</c:v>
                </c:pt>
                <c:pt idx="3296">
                  <c:v>28</c:v>
                </c:pt>
                <c:pt idx="3297">
                  <c:v>28</c:v>
                </c:pt>
                <c:pt idx="3368">
                  <c:v>29</c:v>
                </c:pt>
                <c:pt idx="3369">
                  <c:v>29</c:v>
                </c:pt>
                <c:pt idx="3370">
                  <c:v>29</c:v>
                </c:pt>
                <c:pt idx="3371">
                  <c:v>29</c:v>
                </c:pt>
                <c:pt idx="3372">
                  <c:v>29</c:v>
                </c:pt>
                <c:pt idx="3373">
                  <c:v>29</c:v>
                </c:pt>
                <c:pt idx="3377">
                  <c:v>30</c:v>
                </c:pt>
                <c:pt idx="3378">
                  <c:v>30</c:v>
                </c:pt>
                <c:pt idx="3379">
                  <c:v>30</c:v>
                </c:pt>
                <c:pt idx="3380">
                  <c:v>30</c:v>
                </c:pt>
                <c:pt idx="3381">
                  <c:v>30</c:v>
                </c:pt>
                <c:pt idx="3382">
                  <c:v>30</c:v>
                </c:pt>
                <c:pt idx="3383">
                  <c:v>30</c:v>
                </c:pt>
                <c:pt idx="3384">
                  <c:v>30</c:v>
                </c:pt>
                <c:pt idx="3385">
                  <c:v>30</c:v>
                </c:pt>
                <c:pt idx="3386">
                  <c:v>30</c:v>
                </c:pt>
                <c:pt idx="3387">
                  <c:v>30</c:v>
                </c:pt>
                <c:pt idx="3388">
                  <c:v>30</c:v>
                </c:pt>
                <c:pt idx="3389">
                  <c:v>30</c:v>
                </c:pt>
                <c:pt idx="3390">
                  <c:v>30</c:v>
                </c:pt>
                <c:pt idx="3391">
                  <c:v>30</c:v>
                </c:pt>
                <c:pt idx="3392">
                  <c:v>30</c:v>
                </c:pt>
                <c:pt idx="3393">
                  <c:v>30</c:v>
                </c:pt>
                <c:pt idx="3394">
                  <c:v>30</c:v>
                </c:pt>
                <c:pt idx="3395">
                  <c:v>30</c:v>
                </c:pt>
                <c:pt idx="3396">
                  <c:v>30</c:v>
                </c:pt>
                <c:pt idx="3397">
                  <c:v>30</c:v>
                </c:pt>
                <c:pt idx="3398">
                  <c:v>30</c:v>
                </c:pt>
                <c:pt idx="3399">
                  <c:v>30</c:v>
                </c:pt>
                <c:pt idx="3400">
                  <c:v>30</c:v>
                </c:pt>
                <c:pt idx="3401">
                  <c:v>30</c:v>
                </c:pt>
                <c:pt idx="3402">
                  <c:v>30</c:v>
                </c:pt>
                <c:pt idx="3442">
                  <c:v>31</c:v>
                </c:pt>
                <c:pt idx="3443">
                  <c:v>31</c:v>
                </c:pt>
                <c:pt idx="3444">
                  <c:v>31</c:v>
                </c:pt>
                <c:pt idx="3445">
                  <c:v>31</c:v>
                </c:pt>
                <c:pt idx="3446">
                  <c:v>31</c:v>
                </c:pt>
                <c:pt idx="3447">
                  <c:v>31</c:v>
                </c:pt>
                <c:pt idx="3448">
                  <c:v>31</c:v>
                </c:pt>
                <c:pt idx="3449">
                  <c:v>31</c:v>
                </c:pt>
                <c:pt idx="3450">
                  <c:v>31</c:v>
                </c:pt>
                <c:pt idx="3451">
                  <c:v>31</c:v>
                </c:pt>
                <c:pt idx="3452">
                  <c:v>31</c:v>
                </c:pt>
                <c:pt idx="3453">
                  <c:v>31</c:v>
                </c:pt>
                <c:pt idx="3454">
                  <c:v>31</c:v>
                </c:pt>
                <c:pt idx="3661">
                  <c:v>32</c:v>
                </c:pt>
                <c:pt idx="3662">
                  <c:v>32</c:v>
                </c:pt>
                <c:pt idx="3663">
                  <c:v>32</c:v>
                </c:pt>
                <c:pt idx="3664">
                  <c:v>32</c:v>
                </c:pt>
                <c:pt idx="3665">
                  <c:v>32</c:v>
                </c:pt>
                <c:pt idx="3666">
                  <c:v>32</c:v>
                </c:pt>
                <c:pt idx="3667">
                  <c:v>32</c:v>
                </c:pt>
                <c:pt idx="3668">
                  <c:v>32</c:v>
                </c:pt>
                <c:pt idx="3669">
                  <c:v>32</c:v>
                </c:pt>
                <c:pt idx="3670">
                  <c:v>32</c:v>
                </c:pt>
                <c:pt idx="3687">
                  <c:v>33</c:v>
                </c:pt>
                <c:pt idx="3688">
                  <c:v>33</c:v>
                </c:pt>
                <c:pt idx="3689">
                  <c:v>33</c:v>
                </c:pt>
                <c:pt idx="3690">
                  <c:v>33</c:v>
                </c:pt>
                <c:pt idx="3691">
                  <c:v>33</c:v>
                </c:pt>
                <c:pt idx="3692">
                  <c:v>33</c:v>
                </c:pt>
                <c:pt idx="3693">
                  <c:v>33</c:v>
                </c:pt>
                <c:pt idx="3694">
                  <c:v>33</c:v>
                </c:pt>
                <c:pt idx="3695">
                  <c:v>33</c:v>
                </c:pt>
                <c:pt idx="3696">
                  <c:v>33</c:v>
                </c:pt>
                <c:pt idx="3697">
                  <c:v>33</c:v>
                </c:pt>
                <c:pt idx="3698">
                  <c:v>33</c:v>
                </c:pt>
                <c:pt idx="3699">
                  <c:v>33</c:v>
                </c:pt>
                <c:pt idx="3700">
                  <c:v>33</c:v>
                </c:pt>
                <c:pt idx="3701">
                  <c:v>33</c:v>
                </c:pt>
                <c:pt idx="3702">
                  <c:v>33</c:v>
                </c:pt>
                <c:pt idx="3703">
                  <c:v>33</c:v>
                </c:pt>
                <c:pt idx="3704">
                  <c:v>33</c:v>
                </c:pt>
                <c:pt idx="3705">
                  <c:v>33</c:v>
                </c:pt>
                <c:pt idx="3706">
                  <c:v>33</c:v>
                </c:pt>
                <c:pt idx="3707">
                  <c:v>33</c:v>
                </c:pt>
                <c:pt idx="3708">
                  <c:v>33</c:v>
                </c:pt>
                <c:pt idx="3709">
                  <c:v>33</c:v>
                </c:pt>
                <c:pt idx="3710">
                  <c:v>33</c:v>
                </c:pt>
                <c:pt idx="3711">
                  <c:v>33</c:v>
                </c:pt>
                <c:pt idx="3712">
                  <c:v>33</c:v>
                </c:pt>
                <c:pt idx="3713">
                  <c:v>33</c:v>
                </c:pt>
                <c:pt idx="3714">
                  <c:v>33</c:v>
                </c:pt>
                <c:pt idx="3715">
                  <c:v>33</c:v>
                </c:pt>
                <c:pt idx="3716">
                  <c:v>33</c:v>
                </c:pt>
                <c:pt idx="3717">
                  <c:v>33</c:v>
                </c:pt>
                <c:pt idx="3718">
                  <c:v>33</c:v>
                </c:pt>
                <c:pt idx="3719">
                  <c:v>33</c:v>
                </c:pt>
                <c:pt idx="3720">
                  <c:v>33</c:v>
                </c:pt>
                <c:pt idx="3721">
                  <c:v>33</c:v>
                </c:pt>
                <c:pt idx="3722">
                  <c:v>33</c:v>
                </c:pt>
                <c:pt idx="3723">
                  <c:v>33</c:v>
                </c:pt>
                <c:pt idx="3724">
                  <c:v>33</c:v>
                </c:pt>
                <c:pt idx="3725">
                  <c:v>33</c:v>
                </c:pt>
                <c:pt idx="3726">
                  <c:v>33</c:v>
                </c:pt>
                <c:pt idx="3727">
                  <c:v>33</c:v>
                </c:pt>
                <c:pt idx="3728">
                  <c:v>33</c:v>
                </c:pt>
                <c:pt idx="3761">
                  <c:v>34</c:v>
                </c:pt>
                <c:pt idx="3762">
                  <c:v>34</c:v>
                </c:pt>
                <c:pt idx="3763">
                  <c:v>34</c:v>
                </c:pt>
                <c:pt idx="3764">
                  <c:v>34</c:v>
                </c:pt>
                <c:pt idx="3765">
                  <c:v>34</c:v>
                </c:pt>
                <c:pt idx="3766">
                  <c:v>34</c:v>
                </c:pt>
                <c:pt idx="3767">
                  <c:v>34</c:v>
                </c:pt>
                <c:pt idx="3768">
                  <c:v>34</c:v>
                </c:pt>
                <c:pt idx="3769">
                  <c:v>34</c:v>
                </c:pt>
                <c:pt idx="3770">
                  <c:v>34</c:v>
                </c:pt>
                <c:pt idx="3771">
                  <c:v>34</c:v>
                </c:pt>
                <c:pt idx="3772">
                  <c:v>34</c:v>
                </c:pt>
                <c:pt idx="3773">
                  <c:v>34</c:v>
                </c:pt>
                <c:pt idx="3774">
                  <c:v>34</c:v>
                </c:pt>
                <c:pt idx="3775">
                  <c:v>34</c:v>
                </c:pt>
                <c:pt idx="3776">
                  <c:v>34</c:v>
                </c:pt>
                <c:pt idx="3777">
                  <c:v>34</c:v>
                </c:pt>
                <c:pt idx="3789">
                  <c:v>35</c:v>
                </c:pt>
                <c:pt idx="3790">
                  <c:v>35</c:v>
                </c:pt>
                <c:pt idx="3791">
                  <c:v>35</c:v>
                </c:pt>
                <c:pt idx="3792">
                  <c:v>35</c:v>
                </c:pt>
                <c:pt idx="3793">
                  <c:v>35</c:v>
                </c:pt>
                <c:pt idx="3794">
                  <c:v>35</c:v>
                </c:pt>
                <c:pt idx="3795">
                  <c:v>35</c:v>
                </c:pt>
                <c:pt idx="3796">
                  <c:v>35</c:v>
                </c:pt>
                <c:pt idx="3797">
                  <c:v>35</c:v>
                </c:pt>
                <c:pt idx="3904">
                  <c:v>36</c:v>
                </c:pt>
                <c:pt idx="3905">
                  <c:v>36</c:v>
                </c:pt>
                <c:pt idx="3906">
                  <c:v>36</c:v>
                </c:pt>
                <c:pt idx="3907">
                  <c:v>36</c:v>
                </c:pt>
                <c:pt idx="3908">
                  <c:v>36</c:v>
                </c:pt>
                <c:pt idx="3909">
                  <c:v>36</c:v>
                </c:pt>
                <c:pt idx="3910">
                  <c:v>36</c:v>
                </c:pt>
                <c:pt idx="3911">
                  <c:v>36</c:v>
                </c:pt>
                <c:pt idx="3912">
                  <c:v>36</c:v>
                </c:pt>
                <c:pt idx="3913">
                  <c:v>36</c:v>
                </c:pt>
                <c:pt idx="3914">
                  <c:v>36</c:v>
                </c:pt>
                <c:pt idx="3915">
                  <c:v>36</c:v>
                </c:pt>
                <c:pt idx="3916">
                  <c:v>36</c:v>
                </c:pt>
                <c:pt idx="3917">
                  <c:v>36</c:v>
                </c:pt>
                <c:pt idx="3918">
                  <c:v>36</c:v>
                </c:pt>
                <c:pt idx="3919">
                  <c:v>36</c:v>
                </c:pt>
                <c:pt idx="3920">
                  <c:v>36</c:v>
                </c:pt>
                <c:pt idx="3921">
                  <c:v>36</c:v>
                </c:pt>
                <c:pt idx="3922">
                  <c:v>36</c:v>
                </c:pt>
                <c:pt idx="3923">
                  <c:v>36</c:v>
                </c:pt>
                <c:pt idx="3924">
                  <c:v>36</c:v>
                </c:pt>
                <c:pt idx="3925">
                  <c:v>36</c:v>
                </c:pt>
                <c:pt idx="3926">
                  <c:v>36</c:v>
                </c:pt>
                <c:pt idx="3945">
                  <c:v>37</c:v>
                </c:pt>
                <c:pt idx="3946">
                  <c:v>37</c:v>
                </c:pt>
                <c:pt idx="3947">
                  <c:v>37</c:v>
                </c:pt>
                <c:pt idx="3948">
                  <c:v>37</c:v>
                </c:pt>
                <c:pt idx="3949">
                  <c:v>37</c:v>
                </c:pt>
                <c:pt idx="3950">
                  <c:v>37</c:v>
                </c:pt>
                <c:pt idx="3951">
                  <c:v>37</c:v>
                </c:pt>
                <c:pt idx="3952">
                  <c:v>37</c:v>
                </c:pt>
                <c:pt idx="3953">
                  <c:v>37</c:v>
                </c:pt>
                <c:pt idx="3954">
                  <c:v>37</c:v>
                </c:pt>
                <c:pt idx="3955">
                  <c:v>37</c:v>
                </c:pt>
                <c:pt idx="3956">
                  <c:v>37</c:v>
                </c:pt>
                <c:pt idx="3957">
                  <c:v>37</c:v>
                </c:pt>
                <c:pt idx="3958">
                  <c:v>37</c:v>
                </c:pt>
                <c:pt idx="3959">
                  <c:v>37</c:v>
                </c:pt>
                <c:pt idx="3960">
                  <c:v>37</c:v>
                </c:pt>
                <c:pt idx="3961">
                  <c:v>37</c:v>
                </c:pt>
                <c:pt idx="3962">
                  <c:v>37</c:v>
                </c:pt>
                <c:pt idx="3963">
                  <c:v>37</c:v>
                </c:pt>
                <c:pt idx="3964">
                  <c:v>37</c:v>
                </c:pt>
                <c:pt idx="3965">
                  <c:v>37</c:v>
                </c:pt>
                <c:pt idx="4038">
                  <c:v>38</c:v>
                </c:pt>
                <c:pt idx="4039">
                  <c:v>38</c:v>
                </c:pt>
                <c:pt idx="4040">
                  <c:v>38</c:v>
                </c:pt>
                <c:pt idx="4041">
                  <c:v>38</c:v>
                </c:pt>
                <c:pt idx="4042">
                  <c:v>38</c:v>
                </c:pt>
                <c:pt idx="4043">
                  <c:v>38</c:v>
                </c:pt>
                <c:pt idx="4050">
                  <c:v>39</c:v>
                </c:pt>
                <c:pt idx="4051">
                  <c:v>39</c:v>
                </c:pt>
                <c:pt idx="4052">
                  <c:v>39</c:v>
                </c:pt>
                <c:pt idx="4053">
                  <c:v>39</c:v>
                </c:pt>
                <c:pt idx="4054">
                  <c:v>39</c:v>
                </c:pt>
                <c:pt idx="4055">
                  <c:v>39</c:v>
                </c:pt>
                <c:pt idx="4056">
                  <c:v>39</c:v>
                </c:pt>
                <c:pt idx="4057">
                  <c:v>39</c:v>
                </c:pt>
                <c:pt idx="4058">
                  <c:v>39</c:v>
                </c:pt>
                <c:pt idx="4059">
                  <c:v>39</c:v>
                </c:pt>
                <c:pt idx="4060">
                  <c:v>39</c:v>
                </c:pt>
                <c:pt idx="4061">
                  <c:v>39</c:v>
                </c:pt>
                <c:pt idx="4062">
                  <c:v>39</c:v>
                </c:pt>
                <c:pt idx="4063">
                  <c:v>39</c:v>
                </c:pt>
                <c:pt idx="4064">
                  <c:v>39</c:v>
                </c:pt>
                <c:pt idx="4065">
                  <c:v>39</c:v>
                </c:pt>
                <c:pt idx="4066">
                  <c:v>39</c:v>
                </c:pt>
                <c:pt idx="4067">
                  <c:v>39</c:v>
                </c:pt>
                <c:pt idx="4068">
                  <c:v>39</c:v>
                </c:pt>
                <c:pt idx="4069">
                  <c:v>39</c:v>
                </c:pt>
                <c:pt idx="4070">
                  <c:v>39</c:v>
                </c:pt>
                <c:pt idx="4071">
                  <c:v>39</c:v>
                </c:pt>
                <c:pt idx="4072">
                  <c:v>39</c:v>
                </c:pt>
                <c:pt idx="4073">
                  <c:v>39</c:v>
                </c:pt>
                <c:pt idx="4074">
                  <c:v>39</c:v>
                </c:pt>
                <c:pt idx="4075">
                  <c:v>39</c:v>
                </c:pt>
                <c:pt idx="4076">
                  <c:v>39</c:v>
                </c:pt>
                <c:pt idx="4083">
                  <c:v>40</c:v>
                </c:pt>
                <c:pt idx="4084">
                  <c:v>40</c:v>
                </c:pt>
                <c:pt idx="4085">
                  <c:v>40</c:v>
                </c:pt>
                <c:pt idx="4086">
                  <c:v>40</c:v>
                </c:pt>
                <c:pt idx="4087">
                  <c:v>40</c:v>
                </c:pt>
                <c:pt idx="4088">
                  <c:v>40</c:v>
                </c:pt>
                <c:pt idx="4089">
                  <c:v>40</c:v>
                </c:pt>
                <c:pt idx="4090">
                  <c:v>40</c:v>
                </c:pt>
                <c:pt idx="4091">
                  <c:v>40</c:v>
                </c:pt>
                <c:pt idx="4092">
                  <c:v>40</c:v>
                </c:pt>
                <c:pt idx="4093">
                  <c:v>40</c:v>
                </c:pt>
                <c:pt idx="4094">
                  <c:v>40</c:v>
                </c:pt>
                <c:pt idx="4095">
                  <c:v>40</c:v>
                </c:pt>
                <c:pt idx="4096">
                  <c:v>40</c:v>
                </c:pt>
                <c:pt idx="4112">
                  <c:v>41</c:v>
                </c:pt>
                <c:pt idx="4113">
                  <c:v>41</c:v>
                </c:pt>
                <c:pt idx="4114">
                  <c:v>41</c:v>
                </c:pt>
                <c:pt idx="4115">
                  <c:v>41</c:v>
                </c:pt>
                <c:pt idx="4116">
                  <c:v>41</c:v>
                </c:pt>
                <c:pt idx="4117">
                  <c:v>41</c:v>
                </c:pt>
                <c:pt idx="4118">
                  <c:v>41</c:v>
                </c:pt>
                <c:pt idx="4119">
                  <c:v>41</c:v>
                </c:pt>
                <c:pt idx="4125">
                  <c:v>42</c:v>
                </c:pt>
                <c:pt idx="4126">
                  <c:v>42</c:v>
                </c:pt>
                <c:pt idx="4127">
                  <c:v>42</c:v>
                </c:pt>
                <c:pt idx="4128">
                  <c:v>42</c:v>
                </c:pt>
                <c:pt idx="4129">
                  <c:v>42</c:v>
                </c:pt>
                <c:pt idx="4130">
                  <c:v>42</c:v>
                </c:pt>
                <c:pt idx="4131">
                  <c:v>42</c:v>
                </c:pt>
                <c:pt idx="4132">
                  <c:v>42</c:v>
                </c:pt>
                <c:pt idx="4133">
                  <c:v>42</c:v>
                </c:pt>
                <c:pt idx="4134">
                  <c:v>42</c:v>
                </c:pt>
                <c:pt idx="4135">
                  <c:v>42</c:v>
                </c:pt>
                <c:pt idx="4136">
                  <c:v>42</c:v>
                </c:pt>
                <c:pt idx="4137">
                  <c:v>42</c:v>
                </c:pt>
                <c:pt idx="4138">
                  <c:v>42</c:v>
                </c:pt>
                <c:pt idx="4139">
                  <c:v>42</c:v>
                </c:pt>
                <c:pt idx="4140">
                  <c:v>42</c:v>
                </c:pt>
                <c:pt idx="4141">
                  <c:v>42</c:v>
                </c:pt>
                <c:pt idx="4142">
                  <c:v>42</c:v>
                </c:pt>
                <c:pt idx="4143">
                  <c:v>42</c:v>
                </c:pt>
                <c:pt idx="4144">
                  <c:v>42</c:v>
                </c:pt>
                <c:pt idx="4145">
                  <c:v>42</c:v>
                </c:pt>
                <c:pt idx="4146">
                  <c:v>42</c:v>
                </c:pt>
                <c:pt idx="4147">
                  <c:v>42</c:v>
                </c:pt>
                <c:pt idx="4148">
                  <c:v>42</c:v>
                </c:pt>
                <c:pt idx="4149">
                  <c:v>42</c:v>
                </c:pt>
                <c:pt idx="4150">
                  <c:v>42</c:v>
                </c:pt>
                <c:pt idx="4151">
                  <c:v>42</c:v>
                </c:pt>
                <c:pt idx="4152">
                  <c:v>42</c:v>
                </c:pt>
                <c:pt idx="4328">
                  <c:v>43</c:v>
                </c:pt>
                <c:pt idx="4329">
                  <c:v>43</c:v>
                </c:pt>
                <c:pt idx="4330">
                  <c:v>43</c:v>
                </c:pt>
                <c:pt idx="4331">
                  <c:v>43</c:v>
                </c:pt>
                <c:pt idx="4332">
                  <c:v>43</c:v>
                </c:pt>
                <c:pt idx="4333">
                  <c:v>43</c:v>
                </c:pt>
                <c:pt idx="4334">
                  <c:v>43</c:v>
                </c:pt>
                <c:pt idx="4335">
                  <c:v>43</c:v>
                </c:pt>
                <c:pt idx="4412">
                  <c:v>44</c:v>
                </c:pt>
                <c:pt idx="4413">
                  <c:v>44</c:v>
                </c:pt>
                <c:pt idx="4414">
                  <c:v>44</c:v>
                </c:pt>
                <c:pt idx="4415">
                  <c:v>44</c:v>
                </c:pt>
                <c:pt idx="4416">
                  <c:v>44</c:v>
                </c:pt>
                <c:pt idx="4417">
                  <c:v>44</c:v>
                </c:pt>
                <c:pt idx="4418">
                  <c:v>44</c:v>
                </c:pt>
                <c:pt idx="4419">
                  <c:v>44</c:v>
                </c:pt>
                <c:pt idx="4420">
                  <c:v>44</c:v>
                </c:pt>
                <c:pt idx="4421">
                  <c:v>44</c:v>
                </c:pt>
                <c:pt idx="4422">
                  <c:v>44</c:v>
                </c:pt>
                <c:pt idx="4423">
                  <c:v>44</c:v>
                </c:pt>
                <c:pt idx="4424">
                  <c:v>44</c:v>
                </c:pt>
                <c:pt idx="4425">
                  <c:v>44</c:v>
                </c:pt>
                <c:pt idx="4426">
                  <c:v>44</c:v>
                </c:pt>
                <c:pt idx="4427">
                  <c:v>44</c:v>
                </c:pt>
                <c:pt idx="4428">
                  <c:v>44</c:v>
                </c:pt>
                <c:pt idx="4429">
                  <c:v>44</c:v>
                </c:pt>
                <c:pt idx="4430">
                  <c:v>44</c:v>
                </c:pt>
                <c:pt idx="4431">
                  <c:v>44</c:v>
                </c:pt>
                <c:pt idx="4432">
                  <c:v>44</c:v>
                </c:pt>
                <c:pt idx="4433">
                  <c:v>44</c:v>
                </c:pt>
                <c:pt idx="4434">
                  <c:v>44</c:v>
                </c:pt>
                <c:pt idx="4435">
                  <c:v>44</c:v>
                </c:pt>
                <c:pt idx="4436">
                  <c:v>44</c:v>
                </c:pt>
                <c:pt idx="4437">
                  <c:v>44</c:v>
                </c:pt>
                <c:pt idx="4438">
                  <c:v>44</c:v>
                </c:pt>
                <c:pt idx="4439">
                  <c:v>44</c:v>
                </c:pt>
                <c:pt idx="4440">
                  <c:v>44</c:v>
                </c:pt>
                <c:pt idx="4441">
                  <c:v>44</c:v>
                </c:pt>
                <c:pt idx="4442">
                  <c:v>44</c:v>
                </c:pt>
                <c:pt idx="4443">
                  <c:v>44</c:v>
                </c:pt>
                <c:pt idx="4444">
                  <c:v>44</c:v>
                </c:pt>
                <c:pt idx="4445">
                  <c:v>44</c:v>
                </c:pt>
                <c:pt idx="4446">
                  <c:v>44</c:v>
                </c:pt>
                <c:pt idx="4447">
                  <c:v>44</c:v>
                </c:pt>
                <c:pt idx="4448">
                  <c:v>44</c:v>
                </c:pt>
                <c:pt idx="4449">
                  <c:v>44</c:v>
                </c:pt>
                <c:pt idx="4450">
                  <c:v>44</c:v>
                </c:pt>
                <c:pt idx="4451">
                  <c:v>44</c:v>
                </c:pt>
                <c:pt idx="4474">
                  <c:v>45</c:v>
                </c:pt>
                <c:pt idx="4475">
                  <c:v>45</c:v>
                </c:pt>
                <c:pt idx="4476">
                  <c:v>45</c:v>
                </c:pt>
                <c:pt idx="4477">
                  <c:v>45</c:v>
                </c:pt>
                <c:pt idx="4478">
                  <c:v>45</c:v>
                </c:pt>
                <c:pt idx="4479">
                  <c:v>45</c:v>
                </c:pt>
                <c:pt idx="4480">
                  <c:v>45</c:v>
                </c:pt>
                <c:pt idx="4481">
                  <c:v>45</c:v>
                </c:pt>
                <c:pt idx="4482">
                  <c:v>45</c:v>
                </c:pt>
                <c:pt idx="4483">
                  <c:v>45</c:v>
                </c:pt>
                <c:pt idx="4484">
                  <c:v>45</c:v>
                </c:pt>
                <c:pt idx="4485">
                  <c:v>45</c:v>
                </c:pt>
                <c:pt idx="4486">
                  <c:v>45</c:v>
                </c:pt>
                <c:pt idx="4487">
                  <c:v>45</c:v>
                </c:pt>
                <c:pt idx="4488">
                  <c:v>45</c:v>
                </c:pt>
                <c:pt idx="4489">
                  <c:v>45</c:v>
                </c:pt>
                <c:pt idx="4490">
                  <c:v>45</c:v>
                </c:pt>
                <c:pt idx="4491">
                  <c:v>45</c:v>
                </c:pt>
                <c:pt idx="4492">
                  <c:v>45</c:v>
                </c:pt>
                <c:pt idx="4493">
                  <c:v>45</c:v>
                </c:pt>
                <c:pt idx="4494">
                  <c:v>45</c:v>
                </c:pt>
                <c:pt idx="4495">
                  <c:v>45</c:v>
                </c:pt>
                <c:pt idx="4496">
                  <c:v>45</c:v>
                </c:pt>
                <c:pt idx="4497">
                  <c:v>45</c:v>
                </c:pt>
                <c:pt idx="4498">
                  <c:v>45</c:v>
                </c:pt>
                <c:pt idx="4499">
                  <c:v>45</c:v>
                </c:pt>
                <c:pt idx="4500">
                  <c:v>45</c:v>
                </c:pt>
                <c:pt idx="4501">
                  <c:v>45</c:v>
                </c:pt>
                <c:pt idx="4502">
                  <c:v>45</c:v>
                </c:pt>
                <c:pt idx="4503">
                  <c:v>45</c:v>
                </c:pt>
                <c:pt idx="4504">
                  <c:v>45</c:v>
                </c:pt>
                <c:pt idx="4505">
                  <c:v>45</c:v>
                </c:pt>
                <c:pt idx="4506">
                  <c:v>45</c:v>
                </c:pt>
                <c:pt idx="4507">
                  <c:v>45</c:v>
                </c:pt>
                <c:pt idx="4508">
                  <c:v>45</c:v>
                </c:pt>
                <c:pt idx="4509">
                  <c:v>45</c:v>
                </c:pt>
                <c:pt idx="4510">
                  <c:v>45</c:v>
                </c:pt>
                <c:pt idx="4511">
                  <c:v>45</c:v>
                </c:pt>
                <c:pt idx="4512">
                  <c:v>45</c:v>
                </c:pt>
                <c:pt idx="4513">
                  <c:v>45</c:v>
                </c:pt>
                <c:pt idx="4514">
                  <c:v>45</c:v>
                </c:pt>
                <c:pt idx="4515">
                  <c:v>45</c:v>
                </c:pt>
                <c:pt idx="4516">
                  <c:v>45</c:v>
                </c:pt>
                <c:pt idx="4517">
                  <c:v>45</c:v>
                </c:pt>
                <c:pt idx="4541">
                  <c:v>46</c:v>
                </c:pt>
                <c:pt idx="4542">
                  <c:v>46</c:v>
                </c:pt>
                <c:pt idx="4543">
                  <c:v>46</c:v>
                </c:pt>
                <c:pt idx="4544">
                  <c:v>46</c:v>
                </c:pt>
                <c:pt idx="4545">
                  <c:v>46</c:v>
                </c:pt>
                <c:pt idx="4546">
                  <c:v>46</c:v>
                </c:pt>
                <c:pt idx="4547">
                  <c:v>46</c:v>
                </c:pt>
                <c:pt idx="4548">
                  <c:v>46</c:v>
                </c:pt>
                <c:pt idx="4549">
                  <c:v>46</c:v>
                </c:pt>
                <c:pt idx="4550">
                  <c:v>46</c:v>
                </c:pt>
                <c:pt idx="4551">
                  <c:v>46</c:v>
                </c:pt>
                <c:pt idx="4552">
                  <c:v>46</c:v>
                </c:pt>
                <c:pt idx="4618">
                  <c:v>47</c:v>
                </c:pt>
                <c:pt idx="4619">
                  <c:v>47</c:v>
                </c:pt>
                <c:pt idx="4620">
                  <c:v>47</c:v>
                </c:pt>
                <c:pt idx="4621">
                  <c:v>47</c:v>
                </c:pt>
                <c:pt idx="4622">
                  <c:v>47</c:v>
                </c:pt>
                <c:pt idx="4623">
                  <c:v>47</c:v>
                </c:pt>
                <c:pt idx="4624">
                  <c:v>47</c:v>
                </c:pt>
                <c:pt idx="4625">
                  <c:v>47</c:v>
                </c:pt>
                <c:pt idx="4626">
                  <c:v>47</c:v>
                </c:pt>
                <c:pt idx="4627">
                  <c:v>47</c:v>
                </c:pt>
                <c:pt idx="4628">
                  <c:v>47</c:v>
                </c:pt>
                <c:pt idx="4629">
                  <c:v>47</c:v>
                </c:pt>
                <c:pt idx="4630">
                  <c:v>47</c:v>
                </c:pt>
                <c:pt idx="4631">
                  <c:v>47</c:v>
                </c:pt>
                <c:pt idx="4632">
                  <c:v>47</c:v>
                </c:pt>
                <c:pt idx="4633">
                  <c:v>47</c:v>
                </c:pt>
                <c:pt idx="4634">
                  <c:v>47</c:v>
                </c:pt>
                <c:pt idx="4635">
                  <c:v>47</c:v>
                </c:pt>
                <c:pt idx="4636">
                  <c:v>47</c:v>
                </c:pt>
                <c:pt idx="4637">
                  <c:v>47</c:v>
                </c:pt>
                <c:pt idx="4638">
                  <c:v>47</c:v>
                </c:pt>
                <c:pt idx="4639">
                  <c:v>47</c:v>
                </c:pt>
                <c:pt idx="4688">
                  <c:v>48</c:v>
                </c:pt>
                <c:pt idx="4689">
                  <c:v>48</c:v>
                </c:pt>
                <c:pt idx="4690">
                  <c:v>48</c:v>
                </c:pt>
                <c:pt idx="4691">
                  <c:v>48</c:v>
                </c:pt>
                <c:pt idx="4692">
                  <c:v>48</c:v>
                </c:pt>
                <c:pt idx="4706">
                  <c:v>49</c:v>
                </c:pt>
                <c:pt idx="4707">
                  <c:v>49</c:v>
                </c:pt>
                <c:pt idx="4708">
                  <c:v>49</c:v>
                </c:pt>
                <c:pt idx="4709">
                  <c:v>49</c:v>
                </c:pt>
                <c:pt idx="4710">
                  <c:v>49</c:v>
                </c:pt>
                <c:pt idx="4711">
                  <c:v>49</c:v>
                </c:pt>
                <c:pt idx="4712">
                  <c:v>49</c:v>
                </c:pt>
                <c:pt idx="4713">
                  <c:v>49</c:v>
                </c:pt>
                <c:pt idx="4714">
                  <c:v>49</c:v>
                </c:pt>
                <c:pt idx="4715">
                  <c:v>49</c:v>
                </c:pt>
                <c:pt idx="4716">
                  <c:v>49</c:v>
                </c:pt>
                <c:pt idx="4717">
                  <c:v>49</c:v>
                </c:pt>
                <c:pt idx="4718">
                  <c:v>49</c:v>
                </c:pt>
                <c:pt idx="4719">
                  <c:v>49</c:v>
                </c:pt>
                <c:pt idx="4720">
                  <c:v>49</c:v>
                </c:pt>
                <c:pt idx="4721">
                  <c:v>49</c:v>
                </c:pt>
                <c:pt idx="4722">
                  <c:v>49</c:v>
                </c:pt>
                <c:pt idx="4723">
                  <c:v>49</c:v>
                </c:pt>
                <c:pt idx="4724">
                  <c:v>49</c:v>
                </c:pt>
                <c:pt idx="4725">
                  <c:v>49</c:v>
                </c:pt>
                <c:pt idx="4726">
                  <c:v>49</c:v>
                </c:pt>
                <c:pt idx="5001">
                  <c:v>50</c:v>
                </c:pt>
                <c:pt idx="5002">
                  <c:v>50</c:v>
                </c:pt>
                <c:pt idx="5003">
                  <c:v>50</c:v>
                </c:pt>
                <c:pt idx="5004">
                  <c:v>50</c:v>
                </c:pt>
                <c:pt idx="5005">
                  <c:v>50</c:v>
                </c:pt>
                <c:pt idx="5006">
                  <c:v>50</c:v>
                </c:pt>
                <c:pt idx="5007">
                  <c:v>50</c:v>
                </c:pt>
                <c:pt idx="5008">
                  <c:v>50</c:v>
                </c:pt>
                <c:pt idx="5009">
                  <c:v>50</c:v>
                </c:pt>
                <c:pt idx="5010">
                  <c:v>50</c:v>
                </c:pt>
                <c:pt idx="5011">
                  <c:v>50</c:v>
                </c:pt>
                <c:pt idx="5012">
                  <c:v>50</c:v>
                </c:pt>
                <c:pt idx="5013">
                  <c:v>50</c:v>
                </c:pt>
                <c:pt idx="5014">
                  <c:v>50</c:v>
                </c:pt>
                <c:pt idx="5015">
                  <c:v>50</c:v>
                </c:pt>
                <c:pt idx="5016">
                  <c:v>50</c:v>
                </c:pt>
                <c:pt idx="5017">
                  <c:v>50</c:v>
                </c:pt>
                <c:pt idx="5018">
                  <c:v>50</c:v>
                </c:pt>
                <c:pt idx="5019">
                  <c:v>50</c:v>
                </c:pt>
                <c:pt idx="5020">
                  <c:v>50</c:v>
                </c:pt>
                <c:pt idx="5021">
                  <c:v>50</c:v>
                </c:pt>
                <c:pt idx="5022">
                  <c:v>50</c:v>
                </c:pt>
                <c:pt idx="5023">
                  <c:v>50</c:v>
                </c:pt>
                <c:pt idx="5024">
                  <c:v>50</c:v>
                </c:pt>
                <c:pt idx="5025">
                  <c:v>50</c:v>
                </c:pt>
                <c:pt idx="5026">
                  <c:v>50</c:v>
                </c:pt>
                <c:pt idx="5027">
                  <c:v>50</c:v>
                </c:pt>
                <c:pt idx="5028">
                  <c:v>50</c:v>
                </c:pt>
                <c:pt idx="5029">
                  <c:v>50</c:v>
                </c:pt>
                <c:pt idx="5030">
                  <c:v>50</c:v>
                </c:pt>
                <c:pt idx="5031">
                  <c:v>50</c:v>
                </c:pt>
                <c:pt idx="5032">
                  <c:v>50</c:v>
                </c:pt>
                <c:pt idx="5033">
                  <c:v>50</c:v>
                </c:pt>
                <c:pt idx="5034">
                  <c:v>50</c:v>
                </c:pt>
                <c:pt idx="5035">
                  <c:v>50</c:v>
                </c:pt>
                <c:pt idx="5061">
                  <c:v>51</c:v>
                </c:pt>
                <c:pt idx="5062">
                  <c:v>51</c:v>
                </c:pt>
                <c:pt idx="5063">
                  <c:v>51</c:v>
                </c:pt>
                <c:pt idx="5064">
                  <c:v>51</c:v>
                </c:pt>
                <c:pt idx="5065">
                  <c:v>51</c:v>
                </c:pt>
                <c:pt idx="5066">
                  <c:v>51</c:v>
                </c:pt>
                <c:pt idx="5067">
                  <c:v>51</c:v>
                </c:pt>
                <c:pt idx="5068">
                  <c:v>51</c:v>
                </c:pt>
                <c:pt idx="5069">
                  <c:v>51</c:v>
                </c:pt>
                <c:pt idx="5070">
                  <c:v>51</c:v>
                </c:pt>
                <c:pt idx="5071">
                  <c:v>51</c:v>
                </c:pt>
                <c:pt idx="5072">
                  <c:v>51</c:v>
                </c:pt>
                <c:pt idx="5073">
                  <c:v>51</c:v>
                </c:pt>
                <c:pt idx="5074">
                  <c:v>51</c:v>
                </c:pt>
                <c:pt idx="5075">
                  <c:v>51</c:v>
                </c:pt>
                <c:pt idx="5076">
                  <c:v>51</c:v>
                </c:pt>
                <c:pt idx="5077">
                  <c:v>51</c:v>
                </c:pt>
                <c:pt idx="5078">
                  <c:v>51</c:v>
                </c:pt>
                <c:pt idx="5079">
                  <c:v>51</c:v>
                </c:pt>
                <c:pt idx="5080">
                  <c:v>51</c:v>
                </c:pt>
                <c:pt idx="5081">
                  <c:v>51</c:v>
                </c:pt>
                <c:pt idx="5082">
                  <c:v>51</c:v>
                </c:pt>
                <c:pt idx="5083">
                  <c:v>51</c:v>
                </c:pt>
                <c:pt idx="5084">
                  <c:v>51</c:v>
                </c:pt>
                <c:pt idx="5085">
                  <c:v>51</c:v>
                </c:pt>
                <c:pt idx="5086">
                  <c:v>51</c:v>
                </c:pt>
                <c:pt idx="5087">
                  <c:v>51</c:v>
                </c:pt>
                <c:pt idx="5088">
                  <c:v>51</c:v>
                </c:pt>
                <c:pt idx="5089">
                  <c:v>51</c:v>
                </c:pt>
                <c:pt idx="5090">
                  <c:v>51</c:v>
                </c:pt>
                <c:pt idx="5091">
                  <c:v>51</c:v>
                </c:pt>
                <c:pt idx="5092">
                  <c:v>51</c:v>
                </c:pt>
                <c:pt idx="5093">
                  <c:v>51</c:v>
                </c:pt>
                <c:pt idx="5094">
                  <c:v>51</c:v>
                </c:pt>
                <c:pt idx="5095">
                  <c:v>51</c:v>
                </c:pt>
                <c:pt idx="5096">
                  <c:v>51</c:v>
                </c:pt>
                <c:pt idx="5097">
                  <c:v>51</c:v>
                </c:pt>
                <c:pt idx="5098">
                  <c:v>51</c:v>
                </c:pt>
                <c:pt idx="5099">
                  <c:v>51</c:v>
                </c:pt>
                <c:pt idx="5100">
                  <c:v>51</c:v>
                </c:pt>
                <c:pt idx="5101">
                  <c:v>51</c:v>
                </c:pt>
                <c:pt idx="5142">
                  <c:v>52</c:v>
                </c:pt>
                <c:pt idx="5143">
                  <c:v>52</c:v>
                </c:pt>
                <c:pt idx="5144">
                  <c:v>52</c:v>
                </c:pt>
                <c:pt idx="5145">
                  <c:v>52</c:v>
                </c:pt>
                <c:pt idx="5146">
                  <c:v>52</c:v>
                </c:pt>
                <c:pt idx="5147">
                  <c:v>52</c:v>
                </c:pt>
                <c:pt idx="5148">
                  <c:v>52</c:v>
                </c:pt>
                <c:pt idx="5149">
                  <c:v>52</c:v>
                </c:pt>
                <c:pt idx="5150">
                  <c:v>52</c:v>
                </c:pt>
                <c:pt idx="5151">
                  <c:v>52</c:v>
                </c:pt>
                <c:pt idx="5152">
                  <c:v>52</c:v>
                </c:pt>
                <c:pt idx="5153">
                  <c:v>52</c:v>
                </c:pt>
                <c:pt idx="5154">
                  <c:v>52</c:v>
                </c:pt>
                <c:pt idx="5155">
                  <c:v>52</c:v>
                </c:pt>
                <c:pt idx="5156">
                  <c:v>52</c:v>
                </c:pt>
                <c:pt idx="5157">
                  <c:v>52</c:v>
                </c:pt>
                <c:pt idx="5158">
                  <c:v>52</c:v>
                </c:pt>
                <c:pt idx="5159">
                  <c:v>52</c:v>
                </c:pt>
                <c:pt idx="5160">
                  <c:v>52</c:v>
                </c:pt>
                <c:pt idx="5161">
                  <c:v>52</c:v>
                </c:pt>
                <c:pt idx="5162">
                  <c:v>52</c:v>
                </c:pt>
                <c:pt idx="5163">
                  <c:v>52</c:v>
                </c:pt>
                <c:pt idx="5164">
                  <c:v>52</c:v>
                </c:pt>
                <c:pt idx="5165">
                  <c:v>52</c:v>
                </c:pt>
                <c:pt idx="5166">
                  <c:v>52</c:v>
                </c:pt>
                <c:pt idx="5167">
                  <c:v>52</c:v>
                </c:pt>
                <c:pt idx="5168">
                  <c:v>52</c:v>
                </c:pt>
                <c:pt idx="5169">
                  <c:v>52</c:v>
                </c:pt>
                <c:pt idx="5170">
                  <c:v>52</c:v>
                </c:pt>
                <c:pt idx="5171">
                  <c:v>52</c:v>
                </c:pt>
                <c:pt idx="5172">
                  <c:v>52</c:v>
                </c:pt>
                <c:pt idx="5173">
                  <c:v>52</c:v>
                </c:pt>
                <c:pt idx="5174">
                  <c:v>52</c:v>
                </c:pt>
                <c:pt idx="5175">
                  <c:v>52</c:v>
                </c:pt>
                <c:pt idx="5213">
                  <c:v>53</c:v>
                </c:pt>
                <c:pt idx="5214">
                  <c:v>53</c:v>
                </c:pt>
                <c:pt idx="5215">
                  <c:v>53</c:v>
                </c:pt>
                <c:pt idx="5216">
                  <c:v>53</c:v>
                </c:pt>
                <c:pt idx="5217">
                  <c:v>53</c:v>
                </c:pt>
                <c:pt idx="5218">
                  <c:v>53</c:v>
                </c:pt>
                <c:pt idx="5219">
                  <c:v>53</c:v>
                </c:pt>
                <c:pt idx="5220">
                  <c:v>53</c:v>
                </c:pt>
                <c:pt idx="5221">
                  <c:v>53</c:v>
                </c:pt>
                <c:pt idx="5222">
                  <c:v>53</c:v>
                </c:pt>
                <c:pt idx="5223">
                  <c:v>53</c:v>
                </c:pt>
                <c:pt idx="5257">
                  <c:v>54</c:v>
                </c:pt>
                <c:pt idx="5258">
                  <c:v>54</c:v>
                </c:pt>
                <c:pt idx="5259">
                  <c:v>54</c:v>
                </c:pt>
                <c:pt idx="5260">
                  <c:v>54</c:v>
                </c:pt>
                <c:pt idx="5261">
                  <c:v>54</c:v>
                </c:pt>
                <c:pt idx="5262">
                  <c:v>54</c:v>
                </c:pt>
                <c:pt idx="5263">
                  <c:v>54</c:v>
                </c:pt>
                <c:pt idx="5264">
                  <c:v>54</c:v>
                </c:pt>
                <c:pt idx="5265">
                  <c:v>54</c:v>
                </c:pt>
                <c:pt idx="5415">
                  <c:v>55</c:v>
                </c:pt>
                <c:pt idx="5416">
                  <c:v>55</c:v>
                </c:pt>
                <c:pt idx="5417">
                  <c:v>55</c:v>
                </c:pt>
                <c:pt idx="5418">
                  <c:v>55</c:v>
                </c:pt>
                <c:pt idx="5419">
                  <c:v>55</c:v>
                </c:pt>
                <c:pt idx="5420">
                  <c:v>55</c:v>
                </c:pt>
                <c:pt idx="5421">
                  <c:v>55</c:v>
                </c:pt>
                <c:pt idx="5422">
                  <c:v>55</c:v>
                </c:pt>
                <c:pt idx="5423">
                  <c:v>55</c:v>
                </c:pt>
                <c:pt idx="5434">
                  <c:v>56</c:v>
                </c:pt>
                <c:pt idx="5435">
                  <c:v>56</c:v>
                </c:pt>
                <c:pt idx="5436">
                  <c:v>56</c:v>
                </c:pt>
                <c:pt idx="5437">
                  <c:v>56</c:v>
                </c:pt>
                <c:pt idx="5438">
                  <c:v>56</c:v>
                </c:pt>
                <c:pt idx="5439">
                  <c:v>56</c:v>
                </c:pt>
                <c:pt idx="5440">
                  <c:v>56</c:v>
                </c:pt>
                <c:pt idx="5441">
                  <c:v>56</c:v>
                </c:pt>
                <c:pt idx="5442">
                  <c:v>56</c:v>
                </c:pt>
                <c:pt idx="5443">
                  <c:v>56</c:v>
                </c:pt>
                <c:pt idx="5444">
                  <c:v>56</c:v>
                </c:pt>
                <c:pt idx="5445">
                  <c:v>56</c:v>
                </c:pt>
                <c:pt idx="5446">
                  <c:v>56</c:v>
                </c:pt>
                <c:pt idx="5447">
                  <c:v>56</c:v>
                </c:pt>
                <c:pt idx="5448">
                  <c:v>56</c:v>
                </c:pt>
                <c:pt idx="5563">
                  <c:v>57</c:v>
                </c:pt>
                <c:pt idx="5564">
                  <c:v>57</c:v>
                </c:pt>
                <c:pt idx="5565">
                  <c:v>57</c:v>
                </c:pt>
                <c:pt idx="5566">
                  <c:v>57</c:v>
                </c:pt>
                <c:pt idx="5567">
                  <c:v>57</c:v>
                </c:pt>
                <c:pt idx="5568">
                  <c:v>57</c:v>
                </c:pt>
                <c:pt idx="5569">
                  <c:v>57</c:v>
                </c:pt>
                <c:pt idx="5570">
                  <c:v>57</c:v>
                </c:pt>
                <c:pt idx="5571">
                  <c:v>57</c:v>
                </c:pt>
                <c:pt idx="5572">
                  <c:v>57</c:v>
                </c:pt>
                <c:pt idx="5573">
                  <c:v>57</c:v>
                </c:pt>
                <c:pt idx="5574">
                  <c:v>57</c:v>
                </c:pt>
                <c:pt idx="5575">
                  <c:v>57</c:v>
                </c:pt>
                <c:pt idx="5576">
                  <c:v>57</c:v>
                </c:pt>
                <c:pt idx="5577">
                  <c:v>57</c:v>
                </c:pt>
                <c:pt idx="5578">
                  <c:v>57</c:v>
                </c:pt>
                <c:pt idx="5579">
                  <c:v>57</c:v>
                </c:pt>
                <c:pt idx="5580">
                  <c:v>57</c:v>
                </c:pt>
                <c:pt idx="5581">
                  <c:v>57</c:v>
                </c:pt>
                <c:pt idx="5582">
                  <c:v>57</c:v>
                </c:pt>
                <c:pt idx="5583">
                  <c:v>57</c:v>
                </c:pt>
                <c:pt idx="5584">
                  <c:v>57</c:v>
                </c:pt>
                <c:pt idx="5759">
                  <c:v>58</c:v>
                </c:pt>
                <c:pt idx="5760">
                  <c:v>58</c:v>
                </c:pt>
                <c:pt idx="5761">
                  <c:v>58</c:v>
                </c:pt>
                <c:pt idx="5762">
                  <c:v>58</c:v>
                </c:pt>
                <c:pt idx="5763">
                  <c:v>58</c:v>
                </c:pt>
                <c:pt idx="5764">
                  <c:v>58</c:v>
                </c:pt>
                <c:pt idx="5765">
                  <c:v>58</c:v>
                </c:pt>
                <c:pt idx="5766">
                  <c:v>58</c:v>
                </c:pt>
                <c:pt idx="5767">
                  <c:v>58</c:v>
                </c:pt>
                <c:pt idx="5768">
                  <c:v>58</c:v>
                </c:pt>
                <c:pt idx="5769">
                  <c:v>58</c:v>
                </c:pt>
                <c:pt idx="5770">
                  <c:v>58</c:v>
                </c:pt>
                <c:pt idx="5771">
                  <c:v>58</c:v>
                </c:pt>
                <c:pt idx="5772">
                  <c:v>58</c:v>
                </c:pt>
                <c:pt idx="5773">
                  <c:v>58</c:v>
                </c:pt>
                <c:pt idx="5774">
                  <c:v>58</c:v>
                </c:pt>
                <c:pt idx="5775">
                  <c:v>58</c:v>
                </c:pt>
                <c:pt idx="5776">
                  <c:v>58</c:v>
                </c:pt>
                <c:pt idx="5777">
                  <c:v>58</c:v>
                </c:pt>
                <c:pt idx="5778">
                  <c:v>58</c:v>
                </c:pt>
                <c:pt idx="5779">
                  <c:v>58</c:v>
                </c:pt>
                <c:pt idx="5780">
                  <c:v>58</c:v>
                </c:pt>
                <c:pt idx="5781">
                  <c:v>58</c:v>
                </c:pt>
                <c:pt idx="5782">
                  <c:v>58</c:v>
                </c:pt>
                <c:pt idx="5783">
                  <c:v>58</c:v>
                </c:pt>
                <c:pt idx="5784">
                  <c:v>58</c:v>
                </c:pt>
                <c:pt idx="5785">
                  <c:v>58</c:v>
                </c:pt>
                <c:pt idx="5786">
                  <c:v>58</c:v>
                </c:pt>
                <c:pt idx="5875">
                  <c:v>59</c:v>
                </c:pt>
                <c:pt idx="5876">
                  <c:v>59</c:v>
                </c:pt>
                <c:pt idx="5877">
                  <c:v>59</c:v>
                </c:pt>
                <c:pt idx="5878">
                  <c:v>59</c:v>
                </c:pt>
                <c:pt idx="5879">
                  <c:v>59</c:v>
                </c:pt>
                <c:pt idx="5880">
                  <c:v>59</c:v>
                </c:pt>
                <c:pt idx="5881">
                  <c:v>59</c:v>
                </c:pt>
                <c:pt idx="5882">
                  <c:v>59</c:v>
                </c:pt>
                <c:pt idx="5883">
                  <c:v>59</c:v>
                </c:pt>
                <c:pt idx="5884">
                  <c:v>59</c:v>
                </c:pt>
                <c:pt idx="5885">
                  <c:v>59</c:v>
                </c:pt>
                <c:pt idx="5886">
                  <c:v>59</c:v>
                </c:pt>
                <c:pt idx="5887">
                  <c:v>59</c:v>
                </c:pt>
                <c:pt idx="5888">
                  <c:v>59</c:v>
                </c:pt>
                <c:pt idx="5889">
                  <c:v>59</c:v>
                </c:pt>
                <c:pt idx="5890">
                  <c:v>59</c:v>
                </c:pt>
                <c:pt idx="5891">
                  <c:v>59</c:v>
                </c:pt>
                <c:pt idx="5892">
                  <c:v>59</c:v>
                </c:pt>
                <c:pt idx="5893">
                  <c:v>59</c:v>
                </c:pt>
                <c:pt idx="6025">
                  <c:v>60</c:v>
                </c:pt>
                <c:pt idx="6026">
                  <c:v>60</c:v>
                </c:pt>
                <c:pt idx="6027">
                  <c:v>60</c:v>
                </c:pt>
                <c:pt idx="6028">
                  <c:v>60</c:v>
                </c:pt>
                <c:pt idx="6029">
                  <c:v>60</c:v>
                </c:pt>
                <c:pt idx="6030">
                  <c:v>60</c:v>
                </c:pt>
                <c:pt idx="6031">
                  <c:v>60</c:v>
                </c:pt>
                <c:pt idx="6032">
                  <c:v>60</c:v>
                </c:pt>
                <c:pt idx="6064">
                  <c:v>61</c:v>
                </c:pt>
                <c:pt idx="6065">
                  <c:v>61</c:v>
                </c:pt>
                <c:pt idx="6066">
                  <c:v>61</c:v>
                </c:pt>
                <c:pt idx="6067">
                  <c:v>61</c:v>
                </c:pt>
                <c:pt idx="6068">
                  <c:v>61</c:v>
                </c:pt>
                <c:pt idx="6069">
                  <c:v>61</c:v>
                </c:pt>
                <c:pt idx="6070">
                  <c:v>61</c:v>
                </c:pt>
                <c:pt idx="6071">
                  <c:v>61</c:v>
                </c:pt>
                <c:pt idx="6072">
                  <c:v>61</c:v>
                </c:pt>
                <c:pt idx="6073">
                  <c:v>61</c:v>
                </c:pt>
                <c:pt idx="6074">
                  <c:v>61</c:v>
                </c:pt>
                <c:pt idx="6075">
                  <c:v>61</c:v>
                </c:pt>
                <c:pt idx="6076">
                  <c:v>61</c:v>
                </c:pt>
                <c:pt idx="6077">
                  <c:v>61</c:v>
                </c:pt>
                <c:pt idx="6078">
                  <c:v>61</c:v>
                </c:pt>
                <c:pt idx="6079">
                  <c:v>61</c:v>
                </c:pt>
                <c:pt idx="6080">
                  <c:v>61</c:v>
                </c:pt>
                <c:pt idx="6081">
                  <c:v>61</c:v>
                </c:pt>
                <c:pt idx="6082">
                  <c:v>61</c:v>
                </c:pt>
                <c:pt idx="6083">
                  <c:v>61</c:v>
                </c:pt>
                <c:pt idx="6084">
                  <c:v>61</c:v>
                </c:pt>
                <c:pt idx="6085">
                  <c:v>61</c:v>
                </c:pt>
                <c:pt idx="6086">
                  <c:v>61</c:v>
                </c:pt>
                <c:pt idx="6087">
                  <c:v>61</c:v>
                </c:pt>
                <c:pt idx="6088">
                  <c:v>61</c:v>
                </c:pt>
                <c:pt idx="6089">
                  <c:v>61</c:v>
                </c:pt>
                <c:pt idx="6090">
                  <c:v>61</c:v>
                </c:pt>
                <c:pt idx="6091">
                  <c:v>61</c:v>
                </c:pt>
                <c:pt idx="6092">
                  <c:v>61</c:v>
                </c:pt>
                <c:pt idx="6093">
                  <c:v>61</c:v>
                </c:pt>
                <c:pt idx="6094">
                  <c:v>61</c:v>
                </c:pt>
                <c:pt idx="6095">
                  <c:v>61</c:v>
                </c:pt>
                <c:pt idx="6096">
                  <c:v>61</c:v>
                </c:pt>
                <c:pt idx="6097">
                  <c:v>61</c:v>
                </c:pt>
                <c:pt idx="6098">
                  <c:v>61</c:v>
                </c:pt>
                <c:pt idx="6099">
                  <c:v>61</c:v>
                </c:pt>
                <c:pt idx="6100">
                  <c:v>61</c:v>
                </c:pt>
                <c:pt idx="6101">
                  <c:v>61</c:v>
                </c:pt>
                <c:pt idx="6102">
                  <c:v>61</c:v>
                </c:pt>
                <c:pt idx="6103">
                  <c:v>61</c:v>
                </c:pt>
                <c:pt idx="6104">
                  <c:v>61</c:v>
                </c:pt>
                <c:pt idx="6105">
                  <c:v>61</c:v>
                </c:pt>
                <c:pt idx="6106">
                  <c:v>61</c:v>
                </c:pt>
                <c:pt idx="6107">
                  <c:v>61</c:v>
                </c:pt>
                <c:pt idx="6108">
                  <c:v>61</c:v>
                </c:pt>
                <c:pt idx="6148">
                  <c:v>62</c:v>
                </c:pt>
                <c:pt idx="6149">
                  <c:v>62</c:v>
                </c:pt>
                <c:pt idx="6150">
                  <c:v>62</c:v>
                </c:pt>
                <c:pt idx="6151">
                  <c:v>62</c:v>
                </c:pt>
                <c:pt idx="6152">
                  <c:v>62</c:v>
                </c:pt>
                <c:pt idx="6153">
                  <c:v>62</c:v>
                </c:pt>
                <c:pt idx="6154">
                  <c:v>62</c:v>
                </c:pt>
                <c:pt idx="6155">
                  <c:v>62</c:v>
                </c:pt>
                <c:pt idx="6156">
                  <c:v>62</c:v>
                </c:pt>
                <c:pt idx="6157">
                  <c:v>62</c:v>
                </c:pt>
                <c:pt idx="6158">
                  <c:v>62</c:v>
                </c:pt>
                <c:pt idx="6159">
                  <c:v>62</c:v>
                </c:pt>
                <c:pt idx="6160">
                  <c:v>62</c:v>
                </c:pt>
                <c:pt idx="6161">
                  <c:v>62</c:v>
                </c:pt>
                <c:pt idx="6162">
                  <c:v>62</c:v>
                </c:pt>
                <c:pt idx="6163">
                  <c:v>62</c:v>
                </c:pt>
                <c:pt idx="6164">
                  <c:v>62</c:v>
                </c:pt>
                <c:pt idx="6165">
                  <c:v>62</c:v>
                </c:pt>
                <c:pt idx="6166">
                  <c:v>62</c:v>
                </c:pt>
                <c:pt idx="6167">
                  <c:v>62</c:v>
                </c:pt>
                <c:pt idx="6168">
                  <c:v>62</c:v>
                </c:pt>
                <c:pt idx="6169">
                  <c:v>62</c:v>
                </c:pt>
                <c:pt idx="6170">
                  <c:v>62</c:v>
                </c:pt>
                <c:pt idx="6171">
                  <c:v>62</c:v>
                </c:pt>
                <c:pt idx="6172">
                  <c:v>62</c:v>
                </c:pt>
                <c:pt idx="6173">
                  <c:v>62</c:v>
                </c:pt>
                <c:pt idx="6174">
                  <c:v>62</c:v>
                </c:pt>
                <c:pt idx="6175">
                  <c:v>62</c:v>
                </c:pt>
                <c:pt idx="6176">
                  <c:v>62</c:v>
                </c:pt>
                <c:pt idx="6177">
                  <c:v>62</c:v>
                </c:pt>
                <c:pt idx="6178">
                  <c:v>62</c:v>
                </c:pt>
                <c:pt idx="6179">
                  <c:v>62</c:v>
                </c:pt>
                <c:pt idx="6180">
                  <c:v>62</c:v>
                </c:pt>
                <c:pt idx="6181">
                  <c:v>62</c:v>
                </c:pt>
                <c:pt idx="6182">
                  <c:v>62</c:v>
                </c:pt>
                <c:pt idx="6183">
                  <c:v>62</c:v>
                </c:pt>
                <c:pt idx="6184">
                  <c:v>62</c:v>
                </c:pt>
                <c:pt idx="6185">
                  <c:v>62</c:v>
                </c:pt>
                <c:pt idx="6186">
                  <c:v>62</c:v>
                </c:pt>
                <c:pt idx="6187">
                  <c:v>62</c:v>
                </c:pt>
                <c:pt idx="6188">
                  <c:v>62</c:v>
                </c:pt>
                <c:pt idx="6189">
                  <c:v>62</c:v>
                </c:pt>
                <c:pt idx="6190">
                  <c:v>62</c:v>
                </c:pt>
                <c:pt idx="6197">
                  <c:v>63</c:v>
                </c:pt>
                <c:pt idx="6198">
                  <c:v>63</c:v>
                </c:pt>
                <c:pt idx="6199">
                  <c:v>63</c:v>
                </c:pt>
                <c:pt idx="6200">
                  <c:v>63</c:v>
                </c:pt>
                <c:pt idx="6201">
                  <c:v>63</c:v>
                </c:pt>
                <c:pt idx="6202">
                  <c:v>63</c:v>
                </c:pt>
                <c:pt idx="6233">
                  <c:v>64</c:v>
                </c:pt>
                <c:pt idx="6234">
                  <c:v>64</c:v>
                </c:pt>
                <c:pt idx="6235">
                  <c:v>64</c:v>
                </c:pt>
                <c:pt idx="6236">
                  <c:v>64</c:v>
                </c:pt>
                <c:pt idx="6237">
                  <c:v>64</c:v>
                </c:pt>
                <c:pt idx="6238">
                  <c:v>64</c:v>
                </c:pt>
                <c:pt idx="6239">
                  <c:v>64</c:v>
                </c:pt>
                <c:pt idx="6240">
                  <c:v>64</c:v>
                </c:pt>
                <c:pt idx="6241">
                  <c:v>64</c:v>
                </c:pt>
                <c:pt idx="6242">
                  <c:v>64</c:v>
                </c:pt>
                <c:pt idx="6243">
                  <c:v>64</c:v>
                </c:pt>
                <c:pt idx="6244">
                  <c:v>64</c:v>
                </c:pt>
                <c:pt idx="6245">
                  <c:v>64</c:v>
                </c:pt>
                <c:pt idx="6246">
                  <c:v>64</c:v>
                </c:pt>
                <c:pt idx="6247">
                  <c:v>64</c:v>
                </c:pt>
                <c:pt idx="6248">
                  <c:v>64</c:v>
                </c:pt>
                <c:pt idx="6249">
                  <c:v>64</c:v>
                </c:pt>
                <c:pt idx="6250">
                  <c:v>64</c:v>
                </c:pt>
                <c:pt idx="6251">
                  <c:v>64</c:v>
                </c:pt>
                <c:pt idx="6252">
                  <c:v>64</c:v>
                </c:pt>
                <c:pt idx="6253">
                  <c:v>64</c:v>
                </c:pt>
                <c:pt idx="6254">
                  <c:v>64</c:v>
                </c:pt>
                <c:pt idx="6255">
                  <c:v>64</c:v>
                </c:pt>
                <c:pt idx="6256">
                  <c:v>64</c:v>
                </c:pt>
                <c:pt idx="6257">
                  <c:v>64</c:v>
                </c:pt>
                <c:pt idx="6258">
                  <c:v>64</c:v>
                </c:pt>
                <c:pt idx="6259">
                  <c:v>64</c:v>
                </c:pt>
                <c:pt idx="6260">
                  <c:v>64</c:v>
                </c:pt>
                <c:pt idx="6261">
                  <c:v>64</c:v>
                </c:pt>
                <c:pt idx="6262">
                  <c:v>64</c:v>
                </c:pt>
                <c:pt idx="6263">
                  <c:v>64</c:v>
                </c:pt>
                <c:pt idx="6385">
                  <c:v>65</c:v>
                </c:pt>
                <c:pt idx="6386">
                  <c:v>65</c:v>
                </c:pt>
                <c:pt idx="6387">
                  <c:v>65</c:v>
                </c:pt>
                <c:pt idx="6388">
                  <c:v>65</c:v>
                </c:pt>
                <c:pt idx="6389">
                  <c:v>65</c:v>
                </c:pt>
                <c:pt idx="6390">
                  <c:v>65</c:v>
                </c:pt>
                <c:pt idx="6391">
                  <c:v>65</c:v>
                </c:pt>
                <c:pt idx="6392">
                  <c:v>65</c:v>
                </c:pt>
                <c:pt idx="6393">
                  <c:v>65</c:v>
                </c:pt>
                <c:pt idx="6450">
                  <c:v>66</c:v>
                </c:pt>
                <c:pt idx="6451">
                  <c:v>66</c:v>
                </c:pt>
                <c:pt idx="6452">
                  <c:v>66</c:v>
                </c:pt>
                <c:pt idx="6453">
                  <c:v>66</c:v>
                </c:pt>
                <c:pt idx="6494">
                  <c:v>67</c:v>
                </c:pt>
                <c:pt idx="6495">
                  <c:v>67</c:v>
                </c:pt>
                <c:pt idx="6496">
                  <c:v>67</c:v>
                </c:pt>
                <c:pt idx="6497">
                  <c:v>67</c:v>
                </c:pt>
                <c:pt idx="6498">
                  <c:v>67</c:v>
                </c:pt>
                <c:pt idx="6499">
                  <c:v>67</c:v>
                </c:pt>
                <c:pt idx="6500">
                  <c:v>67</c:v>
                </c:pt>
                <c:pt idx="6501">
                  <c:v>67</c:v>
                </c:pt>
                <c:pt idx="6502">
                  <c:v>67</c:v>
                </c:pt>
                <c:pt idx="6503">
                  <c:v>67</c:v>
                </c:pt>
                <c:pt idx="6504">
                  <c:v>67</c:v>
                </c:pt>
                <c:pt idx="6505">
                  <c:v>67</c:v>
                </c:pt>
                <c:pt idx="6506">
                  <c:v>67</c:v>
                </c:pt>
                <c:pt idx="6507">
                  <c:v>67</c:v>
                </c:pt>
                <c:pt idx="6508">
                  <c:v>67</c:v>
                </c:pt>
                <c:pt idx="6509">
                  <c:v>67</c:v>
                </c:pt>
                <c:pt idx="6510">
                  <c:v>67</c:v>
                </c:pt>
                <c:pt idx="6511">
                  <c:v>67</c:v>
                </c:pt>
                <c:pt idx="6512">
                  <c:v>67</c:v>
                </c:pt>
                <c:pt idx="6513">
                  <c:v>67</c:v>
                </c:pt>
                <c:pt idx="6514">
                  <c:v>67</c:v>
                </c:pt>
                <c:pt idx="6515">
                  <c:v>67</c:v>
                </c:pt>
                <c:pt idx="6516">
                  <c:v>67</c:v>
                </c:pt>
                <c:pt idx="6517">
                  <c:v>67</c:v>
                </c:pt>
                <c:pt idx="6518">
                  <c:v>67</c:v>
                </c:pt>
                <c:pt idx="6519">
                  <c:v>67</c:v>
                </c:pt>
                <c:pt idx="6520">
                  <c:v>67</c:v>
                </c:pt>
                <c:pt idx="6620">
                  <c:v>68</c:v>
                </c:pt>
                <c:pt idx="6621">
                  <c:v>68</c:v>
                </c:pt>
                <c:pt idx="6622">
                  <c:v>68</c:v>
                </c:pt>
                <c:pt idx="6623">
                  <c:v>68</c:v>
                </c:pt>
                <c:pt idx="6624">
                  <c:v>68</c:v>
                </c:pt>
                <c:pt idx="6625">
                  <c:v>68</c:v>
                </c:pt>
                <c:pt idx="6626">
                  <c:v>68</c:v>
                </c:pt>
                <c:pt idx="6627">
                  <c:v>68</c:v>
                </c:pt>
                <c:pt idx="6628">
                  <c:v>68</c:v>
                </c:pt>
                <c:pt idx="6629">
                  <c:v>68</c:v>
                </c:pt>
                <c:pt idx="6630">
                  <c:v>68</c:v>
                </c:pt>
                <c:pt idx="6631">
                  <c:v>68</c:v>
                </c:pt>
                <c:pt idx="6632">
                  <c:v>68</c:v>
                </c:pt>
                <c:pt idx="6633">
                  <c:v>68</c:v>
                </c:pt>
                <c:pt idx="6634">
                  <c:v>68</c:v>
                </c:pt>
                <c:pt idx="6635">
                  <c:v>68</c:v>
                </c:pt>
                <c:pt idx="6636">
                  <c:v>68</c:v>
                </c:pt>
                <c:pt idx="6637">
                  <c:v>68</c:v>
                </c:pt>
                <c:pt idx="6638">
                  <c:v>68</c:v>
                </c:pt>
                <c:pt idx="6639">
                  <c:v>68</c:v>
                </c:pt>
                <c:pt idx="6640">
                  <c:v>68</c:v>
                </c:pt>
                <c:pt idx="6641">
                  <c:v>68</c:v>
                </c:pt>
                <c:pt idx="6642">
                  <c:v>68</c:v>
                </c:pt>
                <c:pt idx="6643">
                  <c:v>68</c:v>
                </c:pt>
                <c:pt idx="6644">
                  <c:v>68</c:v>
                </c:pt>
                <c:pt idx="6645">
                  <c:v>68</c:v>
                </c:pt>
                <c:pt idx="6646">
                  <c:v>68</c:v>
                </c:pt>
                <c:pt idx="6647">
                  <c:v>68</c:v>
                </c:pt>
                <c:pt idx="6648">
                  <c:v>68</c:v>
                </c:pt>
                <c:pt idx="6649">
                  <c:v>68</c:v>
                </c:pt>
                <c:pt idx="6650">
                  <c:v>68</c:v>
                </c:pt>
                <c:pt idx="6651">
                  <c:v>68</c:v>
                </c:pt>
                <c:pt idx="6688">
                  <c:v>69</c:v>
                </c:pt>
                <c:pt idx="6689">
                  <c:v>69</c:v>
                </c:pt>
                <c:pt idx="6690">
                  <c:v>69</c:v>
                </c:pt>
                <c:pt idx="6691">
                  <c:v>69</c:v>
                </c:pt>
                <c:pt idx="6692">
                  <c:v>69</c:v>
                </c:pt>
                <c:pt idx="6693">
                  <c:v>69</c:v>
                </c:pt>
                <c:pt idx="6694">
                  <c:v>69</c:v>
                </c:pt>
                <c:pt idx="6695">
                  <c:v>69</c:v>
                </c:pt>
                <c:pt idx="6696">
                  <c:v>69</c:v>
                </c:pt>
                <c:pt idx="6697">
                  <c:v>69</c:v>
                </c:pt>
                <c:pt idx="6698">
                  <c:v>69</c:v>
                </c:pt>
                <c:pt idx="6699">
                  <c:v>69</c:v>
                </c:pt>
                <c:pt idx="6700">
                  <c:v>69</c:v>
                </c:pt>
                <c:pt idx="6701">
                  <c:v>69</c:v>
                </c:pt>
                <c:pt idx="6702">
                  <c:v>69</c:v>
                </c:pt>
                <c:pt idx="6703">
                  <c:v>69</c:v>
                </c:pt>
                <c:pt idx="6704">
                  <c:v>69</c:v>
                </c:pt>
                <c:pt idx="6705">
                  <c:v>69</c:v>
                </c:pt>
                <c:pt idx="6719">
                  <c:v>70</c:v>
                </c:pt>
                <c:pt idx="6720">
                  <c:v>70</c:v>
                </c:pt>
                <c:pt idx="6721">
                  <c:v>70</c:v>
                </c:pt>
                <c:pt idx="6722">
                  <c:v>70</c:v>
                </c:pt>
                <c:pt idx="6723">
                  <c:v>70</c:v>
                </c:pt>
                <c:pt idx="6724">
                  <c:v>70</c:v>
                </c:pt>
                <c:pt idx="6725">
                  <c:v>70</c:v>
                </c:pt>
                <c:pt idx="6726">
                  <c:v>70</c:v>
                </c:pt>
                <c:pt idx="6727">
                  <c:v>70</c:v>
                </c:pt>
                <c:pt idx="6728">
                  <c:v>70</c:v>
                </c:pt>
                <c:pt idx="6729">
                  <c:v>70</c:v>
                </c:pt>
                <c:pt idx="6730">
                  <c:v>70</c:v>
                </c:pt>
                <c:pt idx="6731">
                  <c:v>70</c:v>
                </c:pt>
                <c:pt idx="6732">
                  <c:v>70</c:v>
                </c:pt>
                <c:pt idx="6774">
                  <c:v>71</c:v>
                </c:pt>
                <c:pt idx="6775">
                  <c:v>71</c:v>
                </c:pt>
                <c:pt idx="6776">
                  <c:v>71</c:v>
                </c:pt>
                <c:pt idx="6777">
                  <c:v>71</c:v>
                </c:pt>
                <c:pt idx="6778">
                  <c:v>71</c:v>
                </c:pt>
                <c:pt idx="6779">
                  <c:v>71</c:v>
                </c:pt>
                <c:pt idx="6780">
                  <c:v>71</c:v>
                </c:pt>
                <c:pt idx="6781">
                  <c:v>71</c:v>
                </c:pt>
                <c:pt idx="6782">
                  <c:v>71</c:v>
                </c:pt>
                <c:pt idx="6783">
                  <c:v>71</c:v>
                </c:pt>
                <c:pt idx="6784">
                  <c:v>71</c:v>
                </c:pt>
                <c:pt idx="6802">
                  <c:v>72</c:v>
                </c:pt>
                <c:pt idx="6803">
                  <c:v>72</c:v>
                </c:pt>
                <c:pt idx="6804">
                  <c:v>72</c:v>
                </c:pt>
                <c:pt idx="6805">
                  <c:v>72</c:v>
                </c:pt>
                <c:pt idx="6806">
                  <c:v>72</c:v>
                </c:pt>
                <c:pt idx="6829">
                  <c:v>73</c:v>
                </c:pt>
                <c:pt idx="6830">
                  <c:v>73</c:v>
                </c:pt>
                <c:pt idx="6831">
                  <c:v>73</c:v>
                </c:pt>
                <c:pt idx="6832">
                  <c:v>73</c:v>
                </c:pt>
                <c:pt idx="6833">
                  <c:v>73</c:v>
                </c:pt>
                <c:pt idx="6834">
                  <c:v>73</c:v>
                </c:pt>
                <c:pt idx="6835">
                  <c:v>73</c:v>
                </c:pt>
                <c:pt idx="6836">
                  <c:v>73</c:v>
                </c:pt>
                <c:pt idx="6837">
                  <c:v>73</c:v>
                </c:pt>
                <c:pt idx="6838">
                  <c:v>73</c:v>
                </c:pt>
                <c:pt idx="6839">
                  <c:v>73</c:v>
                </c:pt>
                <c:pt idx="6840">
                  <c:v>73</c:v>
                </c:pt>
                <c:pt idx="6841">
                  <c:v>73</c:v>
                </c:pt>
                <c:pt idx="6842">
                  <c:v>73</c:v>
                </c:pt>
                <c:pt idx="6843">
                  <c:v>73</c:v>
                </c:pt>
                <c:pt idx="6844">
                  <c:v>73</c:v>
                </c:pt>
                <c:pt idx="6845">
                  <c:v>73</c:v>
                </c:pt>
                <c:pt idx="6846">
                  <c:v>73</c:v>
                </c:pt>
                <c:pt idx="6847">
                  <c:v>73</c:v>
                </c:pt>
                <c:pt idx="6848">
                  <c:v>73</c:v>
                </c:pt>
                <c:pt idx="6849">
                  <c:v>73</c:v>
                </c:pt>
                <c:pt idx="6850">
                  <c:v>73</c:v>
                </c:pt>
                <c:pt idx="6851">
                  <c:v>73</c:v>
                </c:pt>
                <c:pt idx="6852">
                  <c:v>73</c:v>
                </c:pt>
                <c:pt idx="6853">
                  <c:v>73</c:v>
                </c:pt>
                <c:pt idx="6854">
                  <c:v>73</c:v>
                </c:pt>
                <c:pt idx="6855">
                  <c:v>73</c:v>
                </c:pt>
                <c:pt idx="6856">
                  <c:v>73</c:v>
                </c:pt>
                <c:pt idx="6857">
                  <c:v>73</c:v>
                </c:pt>
                <c:pt idx="6858">
                  <c:v>73</c:v>
                </c:pt>
                <c:pt idx="6859">
                  <c:v>73</c:v>
                </c:pt>
                <c:pt idx="6860">
                  <c:v>73</c:v>
                </c:pt>
                <c:pt idx="6861">
                  <c:v>73</c:v>
                </c:pt>
                <c:pt idx="6862">
                  <c:v>73</c:v>
                </c:pt>
                <c:pt idx="6863">
                  <c:v>73</c:v>
                </c:pt>
                <c:pt idx="6864">
                  <c:v>73</c:v>
                </c:pt>
                <c:pt idx="6865">
                  <c:v>73</c:v>
                </c:pt>
                <c:pt idx="6866">
                  <c:v>73</c:v>
                </c:pt>
                <c:pt idx="6867">
                  <c:v>73</c:v>
                </c:pt>
                <c:pt idx="6877">
                  <c:v>74</c:v>
                </c:pt>
                <c:pt idx="6878">
                  <c:v>74</c:v>
                </c:pt>
                <c:pt idx="6879">
                  <c:v>74</c:v>
                </c:pt>
                <c:pt idx="6880">
                  <c:v>74</c:v>
                </c:pt>
                <c:pt idx="6881">
                  <c:v>74</c:v>
                </c:pt>
                <c:pt idx="6882">
                  <c:v>74</c:v>
                </c:pt>
                <c:pt idx="6883">
                  <c:v>74</c:v>
                </c:pt>
                <c:pt idx="6884">
                  <c:v>74</c:v>
                </c:pt>
                <c:pt idx="6885">
                  <c:v>74</c:v>
                </c:pt>
                <c:pt idx="6886">
                  <c:v>74</c:v>
                </c:pt>
                <c:pt idx="6887">
                  <c:v>74</c:v>
                </c:pt>
                <c:pt idx="6888">
                  <c:v>74</c:v>
                </c:pt>
                <c:pt idx="6889">
                  <c:v>74</c:v>
                </c:pt>
                <c:pt idx="6890">
                  <c:v>74</c:v>
                </c:pt>
                <c:pt idx="6891">
                  <c:v>74</c:v>
                </c:pt>
                <c:pt idx="6892">
                  <c:v>74</c:v>
                </c:pt>
                <c:pt idx="6893">
                  <c:v>74</c:v>
                </c:pt>
                <c:pt idx="6894">
                  <c:v>74</c:v>
                </c:pt>
                <c:pt idx="6895">
                  <c:v>74</c:v>
                </c:pt>
                <c:pt idx="6896">
                  <c:v>74</c:v>
                </c:pt>
                <c:pt idx="6897">
                  <c:v>74</c:v>
                </c:pt>
                <c:pt idx="6898">
                  <c:v>74</c:v>
                </c:pt>
                <c:pt idx="6899">
                  <c:v>74</c:v>
                </c:pt>
                <c:pt idx="6900">
                  <c:v>74</c:v>
                </c:pt>
                <c:pt idx="6910">
                  <c:v>75</c:v>
                </c:pt>
                <c:pt idx="6911">
                  <c:v>75</c:v>
                </c:pt>
                <c:pt idx="6912">
                  <c:v>75</c:v>
                </c:pt>
                <c:pt idx="6913">
                  <c:v>75</c:v>
                </c:pt>
                <c:pt idx="6914">
                  <c:v>75</c:v>
                </c:pt>
                <c:pt idx="6915">
                  <c:v>75</c:v>
                </c:pt>
                <c:pt idx="6916">
                  <c:v>75</c:v>
                </c:pt>
                <c:pt idx="6917">
                  <c:v>75</c:v>
                </c:pt>
                <c:pt idx="6918">
                  <c:v>75</c:v>
                </c:pt>
                <c:pt idx="6932">
                  <c:v>76</c:v>
                </c:pt>
                <c:pt idx="6933">
                  <c:v>76</c:v>
                </c:pt>
                <c:pt idx="6934">
                  <c:v>76</c:v>
                </c:pt>
                <c:pt idx="6935">
                  <c:v>76</c:v>
                </c:pt>
                <c:pt idx="6936">
                  <c:v>76</c:v>
                </c:pt>
                <c:pt idx="6937">
                  <c:v>76</c:v>
                </c:pt>
                <c:pt idx="6938">
                  <c:v>76</c:v>
                </c:pt>
                <c:pt idx="6939">
                  <c:v>76</c:v>
                </c:pt>
                <c:pt idx="6940">
                  <c:v>76</c:v>
                </c:pt>
                <c:pt idx="6941">
                  <c:v>76</c:v>
                </c:pt>
                <c:pt idx="6942">
                  <c:v>76</c:v>
                </c:pt>
                <c:pt idx="6943">
                  <c:v>76</c:v>
                </c:pt>
                <c:pt idx="6981">
                  <c:v>77</c:v>
                </c:pt>
                <c:pt idx="6982">
                  <c:v>77</c:v>
                </c:pt>
                <c:pt idx="6983">
                  <c:v>77</c:v>
                </c:pt>
                <c:pt idx="6984">
                  <c:v>77</c:v>
                </c:pt>
                <c:pt idx="6985">
                  <c:v>77</c:v>
                </c:pt>
                <c:pt idx="6986">
                  <c:v>77</c:v>
                </c:pt>
                <c:pt idx="6987">
                  <c:v>77</c:v>
                </c:pt>
                <c:pt idx="6988">
                  <c:v>77</c:v>
                </c:pt>
                <c:pt idx="6989">
                  <c:v>77</c:v>
                </c:pt>
                <c:pt idx="6990">
                  <c:v>77</c:v>
                </c:pt>
                <c:pt idx="6991">
                  <c:v>77</c:v>
                </c:pt>
                <c:pt idx="6992">
                  <c:v>77</c:v>
                </c:pt>
                <c:pt idx="6993">
                  <c:v>77</c:v>
                </c:pt>
                <c:pt idx="6994">
                  <c:v>77</c:v>
                </c:pt>
                <c:pt idx="6995">
                  <c:v>77</c:v>
                </c:pt>
                <c:pt idx="6996">
                  <c:v>77</c:v>
                </c:pt>
                <c:pt idx="6997">
                  <c:v>77</c:v>
                </c:pt>
                <c:pt idx="6998">
                  <c:v>77</c:v>
                </c:pt>
                <c:pt idx="6999">
                  <c:v>77</c:v>
                </c:pt>
                <c:pt idx="7000">
                  <c:v>77</c:v>
                </c:pt>
                <c:pt idx="7001">
                  <c:v>77</c:v>
                </c:pt>
                <c:pt idx="7002">
                  <c:v>77</c:v>
                </c:pt>
                <c:pt idx="7003">
                  <c:v>77</c:v>
                </c:pt>
                <c:pt idx="7004">
                  <c:v>77</c:v>
                </c:pt>
                <c:pt idx="7005">
                  <c:v>77</c:v>
                </c:pt>
                <c:pt idx="7006">
                  <c:v>77</c:v>
                </c:pt>
                <c:pt idx="7007">
                  <c:v>77</c:v>
                </c:pt>
                <c:pt idx="7008">
                  <c:v>77</c:v>
                </c:pt>
                <c:pt idx="7009">
                  <c:v>77</c:v>
                </c:pt>
                <c:pt idx="7010">
                  <c:v>77</c:v>
                </c:pt>
                <c:pt idx="7011">
                  <c:v>77</c:v>
                </c:pt>
                <c:pt idx="7047">
                  <c:v>78</c:v>
                </c:pt>
                <c:pt idx="7048">
                  <c:v>78</c:v>
                </c:pt>
                <c:pt idx="7049">
                  <c:v>78</c:v>
                </c:pt>
                <c:pt idx="7050">
                  <c:v>78</c:v>
                </c:pt>
                <c:pt idx="7051">
                  <c:v>78</c:v>
                </c:pt>
                <c:pt idx="7052">
                  <c:v>78</c:v>
                </c:pt>
                <c:pt idx="7053">
                  <c:v>78</c:v>
                </c:pt>
                <c:pt idx="7054">
                  <c:v>78</c:v>
                </c:pt>
                <c:pt idx="7055">
                  <c:v>78</c:v>
                </c:pt>
                <c:pt idx="7056">
                  <c:v>78</c:v>
                </c:pt>
                <c:pt idx="7057">
                  <c:v>78</c:v>
                </c:pt>
                <c:pt idx="7058">
                  <c:v>78</c:v>
                </c:pt>
                <c:pt idx="7059">
                  <c:v>78</c:v>
                </c:pt>
                <c:pt idx="7060">
                  <c:v>78</c:v>
                </c:pt>
                <c:pt idx="7061">
                  <c:v>78</c:v>
                </c:pt>
                <c:pt idx="7062">
                  <c:v>78</c:v>
                </c:pt>
                <c:pt idx="7063">
                  <c:v>78</c:v>
                </c:pt>
                <c:pt idx="7064">
                  <c:v>78</c:v>
                </c:pt>
                <c:pt idx="7065">
                  <c:v>78</c:v>
                </c:pt>
                <c:pt idx="7066">
                  <c:v>78</c:v>
                </c:pt>
                <c:pt idx="7067">
                  <c:v>78</c:v>
                </c:pt>
                <c:pt idx="7068">
                  <c:v>78</c:v>
                </c:pt>
                <c:pt idx="7069">
                  <c:v>78</c:v>
                </c:pt>
                <c:pt idx="7070">
                  <c:v>78</c:v>
                </c:pt>
                <c:pt idx="7071">
                  <c:v>78</c:v>
                </c:pt>
                <c:pt idx="7072">
                  <c:v>78</c:v>
                </c:pt>
                <c:pt idx="7073">
                  <c:v>78</c:v>
                </c:pt>
                <c:pt idx="7074">
                  <c:v>78</c:v>
                </c:pt>
                <c:pt idx="7075">
                  <c:v>78</c:v>
                </c:pt>
                <c:pt idx="7076">
                  <c:v>78</c:v>
                </c:pt>
                <c:pt idx="7077">
                  <c:v>78</c:v>
                </c:pt>
                <c:pt idx="7078">
                  <c:v>78</c:v>
                </c:pt>
                <c:pt idx="7079">
                  <c:v>78</c:v>
                </c:pt>
                <c:pt idx="7080">
                  <c:v>78</c:v>
                </c:pt>
                <c:pt idx="7081">
                  <c:v>78</c:v>
                </c:pt>
                <c:pt idx="7082">
                  <c:v>78</c:v>
                </c:pt>
                <c:pt idx="7083">
                  <c:v>78</c:v>
                </c:pt>
                <c:pt idx="7084">
                  <c:v>78</c:v>
                </c:pt>
                <c:pt idx="7085">
                  <c:v>78</c:v>
                </c:pt>
                <c:pt idx="7086">
                  <c:v>78</c:v>
                </c:pt>
                <c:pt idx="7095">
                  <c:v>79</c:v>
                </c:pt>
                <c:pt idx="7096">
                  <c:v>79</c:v>
                </c:pt>
                <c:pt idx="7097">
                  <c:v>79</c:v>
                </c:pt>
                <c:pt idx="7098">
                  <c:v>79</c:v>
                </c:pt>
                <c:pt idx="7099">
                  <c:v>79</c:v>
                </c:pt>
                <c:pt idx="7100">
                  <c:v>79</c:v>
                </c:pt>
                <c:pt idx="7101">
                  <c:v>79</c:v>
                </c:pt>
                <c:pt idx="7102">
                  <c:v>79</c:v>
                </c:pt>
                <c:pt idx="7103">
                  <c:v>79</c:v>
                </c:pt>
                <c:pt idx="7104">
                  <c:v>79</c:v>
                </c:pt>
                <c:pt idx="7105">
                  <c:v>79</c:v>
                </c:pt>
                <c:pt idx="7106">
                  <c:v>79</c:v>
                </c:pt>
                <c:pt idx="7107">
                  <c:v>79</c:v>
                </c:pt>
                <c:pt idx="7108">
                  <c:v>79</c:v>
                </c:pt>
                <c:pt idx="7109">
                  <c:v>79</c:v>
                </c:pt>
                <c:pt idx="7110">
                  <c:v>79</c:v>
                </c:pt>
                <c:pt idx="7111">
                  <c:v>79</c:v>
                </c:pt>
                <c:pt idx="7112">
                  <c:v>79</c:v>
                </c:pt>
                <c:pt idx="7113">
                  <c:v>79</c:v>
                </c:pt>
                <c:pt idx="7114">
                  <c:v>79</c:v>
                </c:pt>
                <c:pt idx="7115">
                  <c:v>79</c:v>
                </c:pt>
                <c:pt idx="7130">
                  <c:v>80</c:v>
                </c:pt>
                <c:pt idx="7131">
                  <c:v>80</c:v>
                </c:pt>
                <c:pt idx="7132">
                  <c:v>80</c:v>
                </c:pt>
                <c:pt idx="7133">
                  <c:v>80</c:v>
                </c:pt>
                <c:pt idx="7134">
                  <c:v>80</c:v>
                </c:pt>
                <c:pt idx="7135">
                  <c:v>80</c:v>
                </c:pt>
                <c:pt idx="7136">
                  <c:v>80</c:v>
                </c:pt>
                <c:pt idx="7137">
                  <c:v>80</c:v>
                </c:pt>
                <c:pt idx="7138">
                  <c:v>80</c:v>
                </c:pt>
                <c:pt idx="7139">
                  <c:v>80</c:v>
                </c:pt>
                <c:pt idx="7140">
                  <c:v>80</c:v>
                </c:pt>
                <c:pt idx="7141">
                  <c:v>80</c:v>
                </c:pt>
                <c:pt idx="7142">
                  <c:v>80</c:v>
                </c:pt>
                <c:pt idx="7143">
                  <c:v>80</c:v>
                </c:pt>
                <c:pt idx="7144">
                  <c:v>80</c:v>
                </c:pt>
                <c:pt idx="7145">
                  <c:v>80</c:v>
                </c:pt>
                <c:pt idx="7146">
                  <c:v>80</c:v>
                </c:pt>
                <c:pt idx="7147">
                  <c:v>80</c:v>
                </c:pt>
                <c:pt idx="7148">
                  <c:v>80</c:v>
                </c:pt>
                <c:pt idx="7149">
                  <c:v>80</c:v>
                </c:pt>
                <c:pt idx="7150">
                  <c:v>80</c:v>
                </c:pt>
                <c:pt idx="7151">
                  <c:v>80</c:v>
                </c:pt>
                <c:pt idx="7152">
                  <c:v>80</c:v>
                </c:pt>
                <c:pt idx="7153">
                  <c:v>80</c:v>
                </c:pt>
                <c:pt idx="7154">
                  <c:v>80</c:v>
                </c:pt>
                <c:pt idx="7155">
                  <c:v>80</c:v>
                </c:pt>
                <c:pt idx="7156">
                  <c:v>80</c:v>
                </c:pt>
                <c:pt idx="7157">
                  <c:v>80</c:v>
                </c:pt>
                <c:pt idx="7158">
                  <c:v>80</c:v>
                </c:pt>
                <c:pt idx="7183">
                  <c:v>81</c:v>
                </c:pt>
                <c:pt idx="7184">
                  <c:v>81</c:v>
                </c:pt>
                <c:pt idx="7185">
                  <c:v>81</c:v>
                </c:pt>
                <c:pt idx="7186">
                  <c:v>81</c:v>
                </c:pt>
                <c:pt idx="7187">
                  <c:v>81</c:v>
                </c:pt>
                <c:pt idx="7188">
                  <c:v>81</c:v>
                </c:pt>
                <c:pt idx="7189">
                  <c:v>81</c:v>
                </c:pt>
                <c:pt idx="7190">
                  <c:v>81</c:v>
                </c:pt>
                <c:pt idx="7191">
                  <c:v>81</c:v>
                </c:pt>
                <c:pt idx="7192">
                  <c:v>81</c:v>
                </c:pt>
                <c:pt idx="7193">
                  <c:v>81</c:v>
                </c:pt>
                <c:pt idx="7214">
                  <c:v>82</c:v>
                </c:pt>
                <c:pt idx="7215">
                  <c:v>82</c:v>
                </c:pt>
                <c:pt idx="7216">
                  <c:v>82</c:v>
                </c:pt>
                <c:pt idx="7217">
                  <c:v>82</c:v>
                </c:pt>
                <c:pt idx="7218">
                  <c:v>82</c:v>
                </c:pt>
                <c:pt idx="7219">
                  <c:v>82</c:v>
                </c:pt>
                <c:pt idx="7220">
                  <c:v>82</c:v>
                </c:pt>
                <c:pt idx="7221">
                  <c:v>82</c:v>
                </c:pt>
                <c:pt idx="7222">
                  <c:v>82</c:v>
                </c:pt>
                <c:pt idx="7291">
                  <c:v>83</c:v>
                </c:pt>
                <c:pt idx="7292">
                  <c:v>83</c:v>
                </c:pt>
                <c:pt idx="7293">
                  <c:v>83</c:v>
                </c:pt>
                <c:pt idx="7294">
                  <c:v>83</c:v>
                </c:pt>
                <c:pt idx="7304">
                  <c:v>84</c:v>
                </c:pt>
                <c:pt idx="7305">
                  <c:v>84</c:v>
                </c:pt>
                <c:pt idx="7306">
                  <c:v>84</c:v>
                </c:pt>
                <c:pt idx="7307">
                  <c:v>84</c:v>
                </c:pt>
                <c:pt idx="7308">
                  <c:v>84</c:v>
                </c:pt>
                <c:pt idx="7309">
                  <c:v>84</c:v>
                </c:pt>
                <c:pt idx="7310">
                  <c:v>84</c:v>
                </c:pt>
                <c:pt idx="7311">
                  <c:v>84</c:v>
                </c:pt>
                <c:pt idx="7434">
                  <c:v>85</c:v>
                </c:pt>
                <c:pt idx="7435">
                  <c:v>85</c:v>
                </c:pt>
                <c:pt idx="7436">
                  <c:v>85</c:v>
                </c:pt>
                <c:pt idx="7437">
                  <c:v>85</c:v>
                </c:pt>
                <c:pt idx="7438">
                  <c:v>85</c:v>
                </c:pt>
                <c:pt idx="7439">
                  <c:v>85</c:v>
                </c:pt>
                <c:pt idx="7440">
                  <c:v>85</c:v>
                </c:pt>
                <c:pt idx="7441">
                  <c:v>85</c:v>
                </c:pt>
                <c:pt idx="7442">
                  <c:v>85</c:v>
                </c:pt>
                <c:pt idx="7443">
                  <c:v>85</c:v>
                </c:pt>
                <c:pt idx="7444">
                  <c:v>85</c:v>
                </c:pt>
                <c:pt idx="7445">
                  <c:v>85</c:v>
                </c:pt>
                <c:pt idx="7446">
                  <c:v>85</c:v>
                </c:pt>
                <c:pt idx="7447">
                  <c:v>85</c:v>
                </c:pt>
                <c:pt idx="7448">
                  <c:v>85</c:v>
                </c:pt>
                <c:pt idx="7449">
                  <c:v>85</c:v>
                </c:pt>
                <c:pt idx="7450">
                  <c:v>85</c:v>
                </c:pt>
                <c:pt idx="7451">
                  <c:v>85</c:v>
                </c:pt>
                <c:pt idx="7452">
                  <c:v>85</c:v>
                </c:pt>
                <c:pt idx="7453">
                  <c:v>85</c:v>
                </c:pt>
                <c:pt idx="7454">
                  <c:v>85</c:v>
                </c:pt>
                <c:pt idx="7455">
                  <c:v>85</c:v>
                </c:pt>
                <c:pt idx="7456">
                  <c:v>85</c:v>
                </c:pt>
                <c:pt idx="7457">
                  <c:v>85</c:v>
                </c:pt>
                <c:pt idx="7458">
                  <c:v>85</c:v>
                </c:pt>
                <c:pt idx="7459">
                  <c:v>85</c:v>
                </c:pt>
                <c:pt idx="7460">
                  <c:v>85</c:v>
                </c:pt>
                <c:pt idx="7461">
                  <c:v>85</c:v>
                </c:pt>
                <c:pt idx="7462">
                  <c:v>85</c:v>
                </c:pt>
                <c:pt idx="7463">
                  <c:v>85</c:v>
                </c:pt>
                <c:pt idx="7464">
                  <c:v>85</c:v>
                </c:pt>
                <c:pt idx="7472">
                  <c:v>86</c:v>
                </c:pt>
                <c:pt idx="7473">
                  <c:v>86</c:v>
                </c:pt>
                <c:pt idx="7474">
                  <c:v>86</c:v>
                </c:pt>
                <c:pt idx="7475">
                  <c:v>86</c:v>
                </c:pt>
                <c:pt idx="7476">
                  <c:v>86</c:v>
                </c:pt>
                <c:pt idx="7477">
                  <c:v>86</c:v>
                </c:pt>
                <c:pt idx="7478">
                  <c:v>86</c:v>
                </c:pt>
                <c:pt idx="7490">
                  <c:v>87</c:v>
                </c:pt>
                <c:pt idx="7491">
                  <c:v>87</c:v>
                </c:pt>
                <c:pt idx="7492">
                  <c:v>87</c:v>
                </c:pt>
                <c:pt idx="7493">
                  <c:v>87</c:v>
                </c:pt>
                <c:pt idx="7494">
                  <c:v>87</c:v>
                </c:pt>
                <c:pt idx="7495">
                  <c:v>87</c:v>
                </c:pt>
                <c:pt idx="7496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F-414C-AE11-397EDF516594}"/>
            </c:ext>
          </c:extLst>
        </c:ser>
        <c:ser>
          <c:idx val="1"/>
          <c:order val="1"/>
          <c:tx>
            <c:strRef>
              <c:f>transpose!$AW$1</c:f>
              <c:strCache>
                <c:ptCount val="1"/>
                <c:pt idx="0">
                  <c:v>ÁLL_röviden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transpose!$AW$2:$AW$7653</c:f>
              <c:numCache>
                <c:formatCode>General</c:formatCode>
                <c:ptCount val="7652"/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674">
                  <c:v>3</c:v>
                </c:pt>
                <c:pt idx="3230">
                  <c:v>4</c:v>
                </c:pt>
                <c:pt idx="3231">
                  <c:v>4</c:v>
                </c:pt>
                <c:pt idx="3232">
                  <c:v>4</c:v>
                </c:pt>
                <c:pt idx="3280">
                  <c:v>5</c:v>
                </c:pt>
                <c:pt idx="3281">
                  <c:v>5</c:v>
                </c:pt>
                <c:pt idx="3365">
                  <c:v>6</c:v>
                </c:pt>
                <c:pt idx="3366">
                  <c:v>6</c:v>
                </c:pt>
                <c:pt idx="3367">
                  <c:v>6</c:v>
                </c:pt>
                <c:pt idx="3441">
                  <c:v>7</c:v>
                </c:pt>
                <c:pt idx="3659">
                  <c:v>8</c:v>
                </c:pt>
                <c:pt idx="3660">
                  <c:v>8</c:v>
                </c:pt>
                <c:pt idx="3803">
                  <c:v>9</c:v>
                </c:pt>
                <c:pt idx="3804">
                  <c:v>9</c:v>
                </c:pt>
                <c:pt idx="3944">
                  <c:v>10</c:v>
                </c:pt>
                <c:pt idx="4082">
                  <c:v>11</c:v>
                </c:pt>
                <c:pt idx="4153">
                  <c:v>12</c:v>
                </c:pt>
                <c:pt idx="4327">
                  <c:v>13</c:v>
                </c:pt>
                <c:pt idx="5141">
                  <c:v>14</c:v>
                </c:pt>
                <c:pt idx="5373">
                  <c:v>15</c:v>
                </c:pt>
                <c:pt idx="5424">
                  <c:v>16</c:v>
                </c:pt>
                <c:pt idx="5425">
                  <c:v>16</c:v>
                </c:pt>
                <c:pt idx="5426">
                  <c:v>16</c:v>
                </c:pt>
                <c:pt idx="5427">
                  <c:v>16</c:v>
                </c:pt>
                <c:pt idx="5428">
                  <c:v>16</c:v>
                </c:pt>
                <c:pt idx="5429">
                  <c:v>16</c:v>
                </c:pt>
                <c:pt idx="5430">
                  <c:v>16</c:v>
                </c:pt>
                <c:pt idx="5431">
                  <c:v>16</c:v>
                </c:pt>
                <c:pt idx="5432">
                  <c:v>16</c:v>
                </c:pt>
                <c:pt idx="5433">
                  <c:v>16</c:v>
                </c:pt>
                <c:pt idx="5562">
                  <c:v>17</c:v>
                </c:pt>
                <c:pt idx="5754">
                  <c:v>18</c:v>
                </c:pt>
                <c:pt idx="5755">
                  <c:v>18</c:v>
                </c:pt>
                <c:pt idx="5756">
                  <c:v>18</c:v>
                </c:pt>
                <c:pt idx="5757">
                  <c:v>18</c:v>
                </c:pt>
                <c:pt idx="5758">
                  <c:v>18</c:v>
                </c:pt>
                <c:pt idx="5894">
                  <c:v>19</c:v>
                </c:pt>
                <c:pt idx="5895">
                  <c:v>19</c:v>
                </c:pt>
                <c:pt idx="5896">
                  <c:v>19</c:v>
                </c:pt>
                <c:pt idx="5897">
                  <c:v>19</c:v>
                </c:pt>
                <c:pt idx="5898">
                  <c:v>19</c:v>
                </c:pt>
                <c:pt idx="5899">
                  <c:v>19</c:v>
                </c:pt>
                <c:pt idx="5900">
                  <c:v>19</c:v>
                </c:pt>
                <c:pt idx="5901">
                  <c:v>19</c:v>
                </c:pt>
                <c:pt idx="6144">
                  <c:v>20</c:v>
                </c:pt>
                <c:pt idx="6145">
                  <c:v>20</c:v>
                </c:pt>
                <c:pt idx="6146">
                  <c:v>20</c:v>
                </c:pt>
                <c:pt idx="6147">
                  <c:v>20</c:v>
                </c:pt>
                <c:pt idx="6231">
                  <c:v>21</c:v>
                </c:pt>
                <c:pt idx="6232">
                  <c:v>21</c:v>
                </c:pt>
                <c:pt idx="6409">
                  <c:v>22</c:v>
                </c:pt>
                <c:pt idx="6493">
                  <c:v>23</c:v>
                </c:pt>
                <c:pt idx="6718">
                  <c:v>24</c:v>
                </c:pt>
                <c:pt idx="6978">
                  <c:v>25</c:v>
                </c:pt>
                <c:pt idx="6979">
                  <c:v>25</c:v>
                </c:pt>
                <c:pt idx="6980">
                  <c:v>25</c:v>
                </c:pt>
                <c:pt idx="7303">
                  <c:v>26</c:v>
                </c:pt>
                <c:pt idx="7465">
                  <c:v>27</c:v>
                </c:pt>
                <c:pt idx="7466">
                  <c:v>27</c:v>
                </c:pt>
                <c:pt idx="7467">
                  <c:v>27</c:v>
                </c:pt>
                <c:pt idx="7468">
                  <c:v>27</c:v>
                </c:pt>
                <c:pt idx="7469">
                  <c:v>27</c:v>
                </c:pt>
                <c:pt idx="7470">
                  <c:v>27</c:v>
                </c:pt>
                <c:pt idx="7471">
                  <c:v>27</c:v>
                </c:pt>
                <c:pt idx="7497">
                  <c:v>28</c:v>
                </c:pt>
                <c:pt idx="7498">
                  <c:v>28</c:v>
                </c:pt>
                <c:pt idx="7499">
                  <c:v>28</c:v>
                </c:pt>
                <c:pt idx="7500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FF-414C-AE11-397EDF516594}"/>
            </c:ext>
          </c:extLst>
        </c:ser>
        <c:ser>
          <c:idx val="2"/>
          <c:order val="2"/>
          <c:tx>
            <c:strRef>
              <c:f>transpose!$AT$1</c:f>
              <c:strCache>
                <c:ptCount val="1"/>
                <c:pt idx="0">
                  <c:v>pihen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transpose!$AT$2:$AT$7653</c:f>
              <c:numCache>
                <c:formatCode>General</c:formatCode>
                <c:ptCount val="7652"/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</c:v>
                </c:pt>
                <c:pt idx="1155">
                  <c:v>4</c:v>
                </c:pt>
                <c:pt idx="1156">
                  <c:v>4</c:v>
                </c:pt>
                <c:pt idx="1157">
                  <c:v>4</c:v>
                </c:pt>
                <c:pt idx="1158">
                  <c:v>4</c:v>
                </c:pt>
                <c:pt idx="1159">
                  <c:v>4</c:v>
                </c:pt>
                <c:pt idx="1160">
                  <c:v>4</c:v>
                </c:pt>
                <c:pt idx="1161">
                  <c:v>4</c:v>
                </c:pt>
                <c:pt idx="1162">
                  <c:v>4</c:v>
                </c:pt>
                <c:pt idx="1163">
                  <c:v>4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4</c:v>
                </c:pt>
                <c:pt idx="1170">
                  <c:v>4</c:v>
                </c:pt>
                <c:pt idx="1171">
                  <c:v>4</c:v>
                </c:pt>
                <c:pt idx="1172">
                  <c:v>4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4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4</c:v>
                </c:pt>
                <c:pt idx="1181">
                  <c:v>4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659">
                  <c:v>5</c:v>
                </c:pt>
                <c:pt idx="1660">
                  <c:v>5</c:v>
                </c:pt>
                <c:pt idx="1661">
                  <c:v>5</c:v>
                </c:pt>
                <c:pt idx="1662">
                  <c:v>5</c:v>
                </c:pt>
                <c:pt idx="1663">
                  <c:v>5</c:v>
                </c:pt>
                <c:pt idx="1664">
                  <c:v>5</c:v>
                </c:pt>
                <c:pt idx="1665">
                  <c:v>5</c:v>
                </c:pt>
                <c:pt idx="1666">
                  <c:v>5</c:v>
                </c:pt>
                <c:pt idx="1667">
                  <c:v>5</c:v>
                </c:pt>
                <c:pt idx="1668">
                  <c:v>5</c:v>
                </c:pt>
                <c:pt idx="1669">
                  <c:v>5</c:v>
                </c:pt>
                <c:pt idx="1670">
                  <c:v>5</c:v>
                </c:pt>
                <c:pt idx="1671">
                  <c:v>5</c:v>
                </c:pt>
                <c:pt idx="1672">
                  <c:v>5</c:v>
                </c:pt>
                <c:pt idx="1673">
                  <c:v>5</c:v>
                </c:pt>
                <c:pt idx="1674">
                  <c:v>5</c:v>
                </c:pt>
                <c:pt idx="1675">
                  <c:v>5</c:v>
                </c:pt>
                <c:pt idx="1676">
                  <c:v>5</c:v>
                </c:pt>
                <c:pt idx="1677">
                  <c:v>5</c:v>
                </c:pt>
                <c:pt idx="1678">
                  <c:v>5</c:v>
                </c:pt>
                <c:pt idx="1679">
                  <c:v>5</c:v>
                </c:pt>
                <c:pt idx="1680">
                  <c:v>5</c:v>
                </c:pt>
                <c:pt idx="1681">
                  <c:v>5</c:v>
                </c:pt>
                <c:pt idx="1682">
                  <c:v>5</c:v>
                </c:pt>
                <c:pt idx="1683">
                  <c:v>5</c:v>
                </c:pt>
                <c:pt idx="1684">
                  <c:v>5</c:v>
                </c:pt>
                <c:pt idx="1685">
                  <c:v>5</c:v>
                </c:pt>
                <c:pt idx="1686">
                  <c:v>5</c:v>
                </c:pt>
                <c:pt idx="1687">
                  <c:v>5</c:v>
                </c:pt>
                <c:pt idx="1688">
                  <c:v>5</c:v>
                </c:pt>
                <c:pt idx="1689">
                  <c:v>5</c:v>
                </c:pt>
                <c:pt idx="1690">
                  <c:v>5</c:v>
                </c:pt>
                <c:pt idx="1691">
                  <c:v>5</c:v>
                </c:pt>
                <c:pt idx="1692">
                  <c:v>5</c:v>
                </c:pt>
                <c:pt idx="1693">
                  <c:v>5</c:v>
                </c:pt>
                <c:pt idx="1694">
                  <c:v>5</c:v>
                </c:pt>
                <c:pt idx="1695">
                  <c:v>5</c:v>
                </c:pt>
                <c:pt idx="1696">
                  <c:v>5</c:v>
                </c:pt>
                <c:pt idx="1697">
                  <c:v>5</c:v>
                </c:pt>
                <c:pt idx="1698">
                  <c:v>5</c:v>
                </c:pt>
                <c:pt idx="1699">
                  <c:v>5</c:v>
                </c:pt>
                <c:pt idx="1700">
                  <c:v>5</c:v>
                </c:pt>
                <c:pt idx="1701">
                  <c:v>5</c:v>
                </c:pt>
                <c:pt idx="1702">
                  <c:v>5</c:v>
                </c:pt>
                <c:pt idx="1703">
                  <c:v>5</c:v>
                </c:pt>
                <c:pt idx="1704">
                  <c:v>5</c:v>
                </c:pt>
                <c:pt idx="1705">
                  <c:v>5</c:v>
                </c:pt>
                <c:pt idx="1706">
                  <c:v>5</c:v>
                </c:pt>
                <c:pt idx="1707">
                  <c:v>5</c:v>
                </c:pt>
                <c:pt idx="1708">
                  <c:v>5</c:v>
                </c:pt>
                <c:pt idx="1709">
                  <c:v>5</c:v>
                </c:pt>
                <c:pt idx="1710">
                  <c:v>5</c:v>
                </c:pt>
                <c:pt idx="1711">
                  <c:v>5</c:v>
                </c:pt>
                <c:pt idx="1712">
                  <c:v>5</c:v>
                </c:pt>
                <c:pt idx="1713">
                  <c:v>5</c:v>
                </c:pt>
                <c:pt idx="1714">
                  <c:v>5</c:v>
                </c:pt>
                <c:pt idx="1715">
                  <c:v>5</c:v>
                </c:pt>
                <c:pt idx="1716">
                  <c:v>5</c:v>
                </c:pt>
                <c:pt idx="1717">
                  <c:v>5</c:v>
                </c:pt>
                <c:pt idx="1718">
                  <c:v>5</c:v>
                </c:pt>
                <c:pt idx="1719">
                  <c:v>5</c:v>
                </c:pt>
                <c:pt idx="1720">
                  <c:v>5</c:v>
                </c:pt>
                <c:pt idx="1721">
                  <c:v>5</c:v>
                </c:pt>
                <c:pt idx="1722">
                  <c:v>5</c:v>
                </c:pt>
                <c:pt idx="1723">
                  <c:v>5</c:v>
                </c:pt>
                <c:pt idx="1724">
                  <c:v>5</c:v>
                </c:pt>
                <c:pt idx="1725">
                  <c:v>5</c:v>
                </c:pt>
                <c:pt idx="1726">
                  <c:v>5</c:v>
                </c:pt>
                <c:pt idx="1727">
                  <c:v>5</c:v>
                </c:pt>
                <c:pt idx="1728">
                  <c:v>5</c:v>
                </c:pt>
                <c:pt idx="1729">
                  <c:v>5</c:v>
                </c:pt>
                <c:pt idx="1730">
                  <c:v>5</c:v>
                </c:pt>
                <c:pt idx="1731">
                  <c:v>5</c:v>
                </c:pt>
                <c:pt idx="1732">
                  <c:v>5</c:v>
                </c:pt>
                <c:pt idx="1733">
                  <c:v>5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5</c:v>
                </c:pt>
                <c:pt idx="1780">
                  <c:v>5</c:v>
                </c:pt>
                <c:pt idx="1781">
                  <c:v>5</c:v>
                </c:pt>
                <c:pt idx="1782">
                  <c:v>5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5</c:v>
                </c:pt>
                <c:pt idx="1787">
                  <c:v>5</c:v>
                </c:pt>
                <c:pt idx="1788">
                  <c:v>5</c:v>
                </c:pt>
                <c:pt idx="1789">
                  <c:v>5</c:v>
                </c:pt>
                <c:pt idx="1790">
                  <c:v>5</c:v>
                </c:pt>
                <c:pt idx="1791">
                  <c:v>5</c:v>
                </c:pt>
                <c:pt idx="1792">
                  <c:v>5</c:v>
                </c:pt>
                <c:pt idx="1793">
                  <c:v>5</c:v>
                </c:pt>
                <c:pt idx="1794">
                  <c:v>5</c:v>
                </c:pt>
                <c:pt idx="1795">
                  <c:v>5</c:v>
                </c:pt>
                <c:pt idx="1796">
                  <c:v>5</c:v>
                </c:pt>
                <c:pt idx="1797">
                  <c:v>5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5</c:v>
                </c:pt>
                <c:pt idx="1802">
                  <c:v>5</c:v>
                </c:pt>
                <c:pt idx="1803">
                  <c:v>5</c:v>
                </c:pt>
                <c:pt idx="1804">
                  <c:v>5</c:v>
                </c:pt>
                <c:pt idx="1805">
                  <c:v>5</c:v>
                </c:pt>
                <c:pt idx="1806">
                  <c:v>5</c:v>
                </c:pt>
                <c:pt idx="1807">
                  <c:v>5</c:v>
                </c:pt>
                <c:pt idx="1808">
                  <c:v>5</c:v>
                </c:pt>
                <c:pt idx="1809">
                  <c:v>5</c:v>
                </c:pt>
                <c:pt idx="1810">
                  <c:v>5</c:v>
                </c:pt>
                <c:pt idx="1811">
                  <c:v>5</c:v>
                </c:pt>
                <c:pt idx="1812">
                  <c:v>5</c:v>
                </c:pt>
                <c:pt idx="1813">
                  <c:v>5</c:v>
                </c:pt>
                <c:pt idx="1814">
                  <c:v>5</c:v>
                </c:pt>
                <c:pt idx="1815">
                  <c:v>5</c:v>
                </c:pt>
                <c:pt idx="1816">
                  <c:v>5</c:v>
                </c:pt>
                <c:pt idx="1817">
                  <c:v>5</c:v>
                </c:pt>
                <c:pt idx="1818">
                  <c:v>5</c:v>
                </c:pt>
                <c:pt idx="2241">
                  <c:v>6</c:v>
                </c:pt>
                <c:pt idx="2242">
                  <c:v>6</c:v>
                </c:pt>
                <c:pt idx="2243">
                  <c:v>6</c:v>
                </c:pt>
                <c:pt idx="2244">
                  <c:v>6</c:v>
                </c:pt>
                <c:pt idx="2245">
                  <c:v>6</c:v>
                </c:pt>
                <c:pt idx="2246">
                  <c:v>6</c:v>
                </c:pt>
                <c:pt idx="2247">
                  <c:v>6</c:v>
                </c:pt>
                <c:pt idx="2248">
                  <c:v>6</c:v>
                </c:pt>
                <c:pt idx="2249">
                  <c:v>6</c:v>
                </c:pt>
                <c:pt idx="2250">
                  <c:v>6</c:v>
                </c:pt>
                <c:pt idx="2251">
                  <c:v>6</c:v>
                </c:pt>
                <c:pt idx="2252">
                  <c:v>6</c:v>
                </c:pt>
                <c:pt idx="2253">
                  <c:v>6</c:v>
                </c:pt>
                <c:pt idx="2254">
                  <c:v>6</c:v>
                </c:pt>
                <c:pt idx="2255">
                  <c:v>6</c:v>
                </c:pt>
                <c:pt idx="2256">
                  <c:v>6</c:v>
                </c:pt>
                <c:pt idx="2257">
                  <c:v>6</c:v>
                </c:pt>
                <c:pt idx="2258">
                  <c:v>6</c:v>
                </c:pt>
                <c:pt idx="2259">
                  <c:v>6</c:v>
                </c:pt>
                <c:pt idx="2260">
                  <c:v>6</c:v>
                </c:pt>
                <c:pt idx="2782">
                  <c:v>7</c:v>
                </c:pt>
                <c:pt idx="2783">
                  <c:v>7</c:v>
                </c:pt>
                <c:pt idx="2784">
                  <c:v>7</c:v>
                </c:pt>
                <c:pt idx="2785">
                  <c:v>7</c:v>
                </c:pt>
                <c:pt idx="2786">
                  <c:v>7</c:v>
                </c:pt>
                <c:pt idx="2787">
                  <c:v>7</c:v>
                </c:pt>
                <c:pt idx="2788">
                  <c:v>7</c:v>
                </c:pt>
                <c:pt idx="2789">
                  <c:v>7</c:v>
                </c:pt>
                <c:pt idx="2790">
                  <c:v>7</c:v>
                </c:pt>
                <c:pt idx="2791">
                  <c:v>7</c:v>
                </c:pt>
                <c:pt idx="2792">
                  <c:v>7</c:v>
                </c:pt>
                <c:pt idx="2793">
                  <c:v>7</c:v>
                </c:pt>
                <c:pt idx="2794">
                  <c:v>7</c:v>
                </c:pt>
                <c:pt idx="2795">
                  <c:v>7</c:v>
                </c:pt>
                <c:pt idx="2796">
                  <c:v>7</c:v>
                </c:pt>
                <c:pt idx="2797">
                  <c:v>7</c:v>
                </c:pt>
                <c:pt idx="2798">
                  <c:v>7</c:v>
                </c:pt>
                <c:pt idx="2799">
                  <c:v>7</c:v>
                </c:pt>
                <c:pt idx="2800">
                  <c:v>7</c:v>
                </c:pt>
                <c:pt idx="2801">
                  <c:v>7</c:v>
                </c:pt>
                <c:pt idx="2802">
                  <c:v>7</c:v>
                </c:pt>
                <c:pt idx="2803">
                  <c:v>7</c:v>
                </c:pt>
                <c:pt idx="2804">
                  <c:v>7</c:v>
                </c:pt>
                <c:pt idx="2805">
                  <c:v>7</c:v>
                </c:pt>
                <c:pt idx="2806">
                  <c:v>7</c:v>
                </c:pt>
                <c:pt idx="2807">
                  <c:v>7</c:v>
                </c:pt>
                <c:pt idx="2808">
                  <c:v>7</c:v>
                </c:pt>
                <c:pt idx="2809">
                  <c:v>7</c:v>
                </c:pt>
                <c:pt idx="2810">
                  <c:v>7</c:v>
                </c:pt>
                <c:pt idx="2811">
                  <c:v>7</c:v>
                </c:pt>
                <c:pt idx="2812">
                  <c:v>7</c:v>
                </c:pt>
                <c:pt idx="2813">
                  <c:v>7</c:v>
                </c:pt>
                <c:pt idx="2814">
                  <c:v>7</c:v>
                </c:pt>
                <c:pt idx="2815">
                  <c:v>7</c:v>
                </c:pt>
                <c:pt idx="2816">
                  <c:v>7</c:v>
                </c:pt>
                <c:pt idx="2817">
                  <c:v>7</c:v>
                </c:pt>
                <c:pt idx="2818">
                  <c:v>7</c:v>
                </c:pt>
                <c:pt idx="2819">
                  <c:v>7</c:v>
                </c:pt>
                <c:pt idx="2820">
                  <c:v>7</c:v>
                </c:pt>
                <c:pt idx="2821">
                  <c:v>7</c:v>
                </c:pt>
                <c:pt idx="2822">
                  <c:v>7</c:v>
                </c:pt>
                <c:pt idx="2823">
                  <c:v>7</c:v>
                </c:pt>
                <c:pt idx="2824">
                  <c:v>7</c:v>
                </c:pt>
                <c:pt idx="2825">
                  <c:v>7</c:v>
                </c:pt>
                <c:pt idx="2826">
                  <c:v>7</c:v>
                </c:pt>
                <c:pt idx="2827">
                  <c:v>7</c:v>
                </c:pt>
                <c:pt idx="2828">
                  <c:v>7</c:v>
                </c:pt>
                <c:pt idx="2829">
                  <c:v>7</c:v>
                </c:pt>
                <c:pt idx="2830">
                  <c:v>7</c:v>
                </c:pt>
                <c:pt idx="2831">
                  <c:v>7</c:v>
                </c:pt>
                <c:pt idx="2832">
                  <c:v>7</c:v>
                </c:pt>
                <c:pt idx="2833">
                  <c:v>7</c:v>
                </c:pt>
                <c:pt idx="2834">
                  <c:v>7</c:v>
                </c:pt>
                <c:pt idx="2835">
                  <c:v>7</c:v>
                </c:pt>
                <c:pt idx="2836">
                  <c:v>7</c:v>
                </c:pt>
                <c:pt idx="2837">
                  <c:v>7</c:v>
                </c:pt>
                <c:pt idx="2838">
                  <c:v>7</c:v>
                </c:pt>
                <c:pt idx="2839">
                  <c:v>7</c:v>
                </c:pt>
                <c:pt idx="2840">
                  <c:v>7</c:v>
                </c:pt>
                <c:pt idx="2841">
                  <c:v>7</c:v>
                </c:pt>
                <c:pt idx="2842">
                  <c:v>7</c:v>
                </c:pt>
                <c:pt idx="2843">
                  <c:v>7</c:v>
                </c:pt>
                <c:pt idx="2844">
                  <c:v>7</c:v>
                </c:pt>
                <c:pt idx="2845">
                  <c:v>7</c:v>
                </c:pt>
                <c:pt idx="2846">
                  <c:v>7</c:v>
                </c:pt>
                <c:pt idx="2847">
                  <c:v>7</c:v>
                </c:pt>
                <c:pt idx="2848">
                  <c:v>7</c:v>
                </c:pt>
                <c:pt idx="2849">
                  <c:v>7</c:v>
                </c:pt>
                <c:pt idx="2850">
                  <c:v>7</c:v>
                </c:pt>
                <c:pt idx="2851">
                  <c:v>7</c:v>
                </c:pt>
                <c:pt idx="2852">
                  <c:v>7</c:v>
                </c:pt>
                <c:pt idx="2853">
                  <c:v>7</c:v>
                </c:pt>
                <c:pt idx="2854">
                  <c:v>7</c:v>
                </c:pt>
                <c:pt idx="2855">
                  <c:v>7</c:v>
                </c:pt>
                <c:pt idx="2856">
                  <c:v>7</c:v>
                </c:pt>
                <c:pt idx="2857">
                  <c:v>7</c:v>
                </c:pt>
                <c:pt idx="2858">
                  <c:v>7</c:v>
                </c:pt>
                <c:pt idx="2859">
                  <c:v>7</c:v>
                </c:pt>
                <c:pt idx="2860">
                  <c:v>7</c:v>
                </c:pt>
                <c:pt idx="2861">
                  <c:v>7</c:v>
                </c:pt>
                <c:pt idx="2869">
                  <c:v>8</c:v>
                </c:pt>
                <c:pt idx="2870">
                  <c:v>8</c:v>
                </c:pt>
                <c:pt idx="2871">
                  <c:v>8</c:v>
                </c:pt>
                <c:pt idx="2872">
                  <c:v>8</c:v>
                </c:pt>
                <c:pt idx="2873">
                  <c:v>8</c:v>
                </c:pt>
                <c:pt idx="2874">
                  <c:v>8</c:v>
                </c:pt>
                <c:pt idx="2875">
                  <c:v>8</c:v>
                </c:pt>
                <c:pt idx="2876">
                  <c:v>8</c:v>
                </c:pt>
                <c:pt idx="2877">
                  <c:v>8</c:v>
                </c:pt>
                <c:pt idx="2878">
                  <c:v>8</c:v>
                </c:pt>
                <c:pt idx="2879">
                  <c:v>8</c:v>
                </c:pt>
                <c:pt idx="2880">
                  <c:v>8</c:v>
                </c:pt>
                <c:pt idx="2881">
                  <c:v>8</c:v>
                </c:pt>
                <c:pt idx="2882">
                  <c:v>8</c:v>
                </c:pt>
                <c:pt idx="2883">
                  <c:v>8</c:v>
                </c:pt>
                <c:pt idx="2884">
                  <c:v>8</c:v>
                </c:pt>
                <c:pt idx="2885">
                  <c:v>8</c:v>
                </c:pt>
                <c:pt idx="2886">
                  <c:v>8</c:v>
                </c:pt>
                <c:pt idx="3778">
                  <c:v>9</c:v>
                </c:pt>
                <c:pt idx="3779">
                  <c:v>9</c:v>
                </c:pt>
                <c:pt idx="3780">
                  <c:v>9</c:v>
                </c:pt>
                <c:pt idx="3781">
                  <c:v>9</c:v>
                </c:pt>
                <c:pt idx="3782">
                  <c:v>9</c:v>
                </c:pt>
                <c:pt idx="3783">
                  <c:v>9</c:v>
                </c:pt>
                <c:pt idx="3784">
                  <c:v>9</c:v>
                </c:pt>
                <c:pt idx="3785">
                  <c:v>9</c:v>
                </c:pt>
                <c:pt idx="3786">
                  <c:v>9</c:v>
                </c:pt>
                <c:pt idx="3787">
                  <c:v>9</c:v>
                </c:pt>
                <c:pt idx="3788">
                  <c:v>9</c:v>
                </c:pt>
                <c:pt idx="4518">
                  <c:v>10</c:v>
                </c:pt>
                <c:pt idx="4519">
                  <c:v>10</c:v>
                </c:pt>
                <c:pt idx="4520">
                  <c:v>10</c:v>
                </c:pt>
                <c:pt idx="4521">
                  <c:v>10</c:v>
                </c:pt>
                <c:pt idx="4522">
                  <c:v>10</c:v>
                </c:pt>
                <c:pt idx="4523">
                  <c:v>10</c:v>
                </c:pt>
                <c:pt idx="4524">
                  <c:v>10</c:v>
                </c:pt>
                <c:pt idx="4525">
                  <c:v>10</c:v>
                </c:pt>
                <c:pt idx="4526">
                  <c:v>10</c:v>
                </c:pt>
                <c:pt idx="4527">
                  <c:v>10</c:v>
                </c:pt>
                <c:pt idx="4528">
                  <c:v>10</c:v>
                </c:pt>
                <c:pt idx="4529">
                  <c:v>10</c:v>
                </c:pt>
                <c:pt idx="4530">
                  <c:v>10</c:v>
                </c:pt>
                <c:pt idx="4531">
                  <c:v>10</c:v>
                </c:pt>
                <c:pt idx="4532">
                  <c:v>10</c:v>
                </c:pt>
                <c:pt idx="4533">
                  <c:v>10</c:v>
                </c:pt>
                <c:pt idx="4534">
                  <c:v>10</c:v>
                </c:pt>
                <c:pt idx="4535">
                  <c:v>10</c:v>
                </c:pt>
                <c:pt idx="4536">
                  <c:v>10</c:v>
                </c:pt>
                <c:pt idx="4537">
                  <c:v>10</c:v>
                </c:pt>
                <c:pt idx="4538">
                  <c:v>10</c:v>
                </c:pt>
                <c:pt idx="4539">
                  <c:v>10</c:v>
                </c:pt>
                <c:pt idx="4540">
                  <c:v>10</c:v>
                </c:pt>
                <c:pt idx="4553">
                  <c:v>11</c:v>
                </c:pt>
                <c:pt idx="4554">
                  <c:v>11</c:v>
                </c:pt>
                <c:pt idx="4555">
                  <c:v>11</c:v>
                </c:pt>
                <c:pt idx="4556">
                  <c:v>11</c:v>
                </c:pt>
                <c:pt idx="4557">
                  <c:v>11</c:v>
                </c:pt>
                <c:pt idx="4558">
                  <c:v>11</c:v>
                </c:pt>
                <c:pt idx="4559">
                  <c:v>11</c:v>
                </c:pt>
                <c:pt idx="4560">
                  <c:v>11</c:v>
                </c:pt>
                <c:pt idx="4561">
                  <c:v>11</c:v>
                </c:pt>
                <c:pt idx="4562">
                  <c:v>11</c:v>
                </c:pt>
                <c:pt idx="4563">
                  <c:v>11</c:v>
                </c:pt>
                <c:pt idx="4564">
                  <c:v>11</c:v>
                </c:pt>
                <c:pt idx="4565">
                  <c:v>11</c:v>
                </c:pt>
                <c:pt idx="4566">
                  <c:v>11</c:v>
                </c:pt>
                <c:pt idx="4567">
                  <c:v>11</c:v>
                </c:pt>
                <c:pt idx="4568">
                  <c:v>11</c:v>
                </c:pt>
                <c:pt idx="4569">
                  <c:v>11</c:v>
                </c:pt>
                <c:pt idx="4570">
                  <c:v>11</c:v>
                </c:pt>
                <c:pt idx="4571">
                  <c:v>11</c:v>
                </c:pt>
                <c:pt idx="4572">
                  <c:v>11</c:v>
                </c:pt>
                <c:pt idx="4573">
                  <c:v>11</c:v>
                </c:pt>
                <c:pt idx="4574">
                  <c:v>11</c:v>
                </c:pt>
                <c:pt idx="4575">
                  <c:v>11</c:v>
                </c:pt>
                <c:pt idx="4576">
                  <c:v>11</c:v>
                </c:pt>
                <c:pt idx="4577">
                  <c:v>11</c:v>
                </c:pt>
                <c:pt idx="4578">
                  <c:v>11</c:v>
                </c:pt>
                <c:pt idx="4579">
                  <c:v>11</c:v>
                </c:pt>
                <c:pt idx="4580">
                  <c:v>11</c:v>
                </c:pt>
                <c:pt idx="4581">
                  <c:v>11</c:v>
                </c:pt>
                <c:pt idx="4582">
                  <c:v>11</c:v>
                </c:pt>
                <c:pt idx="4583">
                  <c:v>11</c:v>
                </c:pt>
                <c:pt idx="4584">
                  <c:v>11</c:v>
                </c:pt>
                <c:pt idx="4585">
                  <c:v>11</c:v>
                </c:pt>
                <c:pt idx="4586">
                  <c:v>11</c:v>
                </c:pt>
                <c:pt idx="4587">
                  <c:v>11</c:v>
                </c:pt>
                <c:pt idx="4588">
                  <c:v>11</c:v>
                </c:pt>
                <c:pt idx="4589">
                  <c:v>11</c:v>
                </c:pt>
                <c:pt idx="4590">
                  <c:v>11</c:v>
                </c:pt>
                <c:pt idx="4591">
                  <c:v>11</c:v>
                </c:pt>
                <c:pt idx="4592">
                  <c:v>11</c:v>
                </c:pt>
                <c:pt idx="4593">
                  <c:v>11</c:v>
                </c:pt>
                <c:pt idx="4594">
                  <c:v>11</c:v>
                </c:pt>
                <c:pt idx="4595">
                  <c:v>11</c:v>
                </c:pt>
                <c:pt idx="4596">
                  <c:v>11</c:v>
                </c:pt>
                <c:pt idx="4597">
                  <c:v>11</c:v>
                </c:pt>
                <c:pt idx="4598">
                  <c:v>11</c:v>
                </c:pt>
                <c:pt idx="4599">
                  <c:v>11</c:v>
                </c:pt>
                <c:pt idx="4600">
                  <c:v>11</c:v>
                </c:pt>
                <c:pt idx="4601">
                  <c:v>11</c:v>
                </c:pt>
                <c:pt idx="4602">
                  <c:v>11</c:v>
                </c:pt>
                <c:pt idx="4603">
                  <c:v>11</c:v>
                </c:pt>
                <c:pt idx="4604">
                  <c:v>11</c:v>
                </c:pt>
                <c:pt idx="4605">
                  <c:v>11</c:v>
                </c:pt>
                <c:pt idx="4606">
                  <c:v>11</c:v>
                </c:pt>
                <c:pt idx="4607">
                  <c:v>11</c:v>
                </c:pt>
                <c:pt idx="4608">
                  <c:v>11</c:v>
                </c:pt>
                <c:pt idx="4609">
                  <c:v>11</c:v>
                </c:pt>
                <c:pt idx="4610">
                  <c:v>11</c:v>
                </c:pt>
                <c:pt idx="4611">
                  <c:v>11</c:v>
                </c:pt>
                <c:pt idx="4612">
                  <c:v>11</c:v>
                </c:pt>
                <c:pt idx="4613">
                  <c:v>11</c:v>
                </c:pt>
                <c:pt idx="4614">
                  <c:v>11</c:v>
                </c:pt>
                <c:pt idx="4615">
                  <c:v>11</c:v>
                </c:pt>
                <c:pt idx="4616">
                  <c:v>11</c:v>
                </c:pt>
                <c:pt idx="4617">
                  <c:v>11</c:v>
                </c:pt>
                <c:pt idx="5036">
                  <c:v>12</c:v>
                </c:pt>
                <c:pt idx="5037">
                  <c:v>12</c:v>
                </c:pt>
                <c:pt idx="5038">
                  <c:v>12</c:v>
                </c:pt>
                <c:pt idx="5039">
                  <c:v>12</c:v>
                </c:pt>
                <c:pt idx="5040">
                  <c:v>12</c:v>
                </c:pt>
                <c:pt idx="5041">
                  <c:v>12</c:v>
                </c:pt>
                <c:pt idx="5042">
                  <c:v>12</c:v>
                </c:pt>
                <c:pt idx="5043">
                  <c:v>12</c:v>
                </c:pt>
                <c:pt idx="5044">
                  <c:v>12</c:v>
                </c:pt>
                <c:pt idx="5045">
                  <c:v>12</c:v>
                </c:pt>
                <c:pt idx="5046">
                  <c:v>12</c:v>
                </c:pt>
                <c:pt idx="5047">
                  <c:v>12</c:v>
                </c:pt>
                <c:pt idx="5048">
                  <c:v>12</c:v>
                </c:pt>
                <c:pt idx="5049">
                  <c:v>12</c:v>
                </c:pt>
                <c:pt idx="5050">
                  <c:v>12</c:v>
                </c:pt>
                <c:pt idx="5051">
                  <c:v>12</c:v>
                </c:pt>
                <c:pt idx="5052">
                  <c:v>12</c:v>
                </c:pt>
                <c:pt idx="5053">
                  <c:v>12</c:v>
                </c:pt>
                <c:pt idx="5054">
                  <c:v>12</c:v>
                </c:pt>
                <c:pt idx="5055">
                  <c:v>12</c:v>
                </c:pt>
                <c:pt idx="5056">
                  <c:v>12</c:v>
                </c:pt>
                <c:pt idx="5057">
                  <c:v>12</c:v>
                </c:pt>
                <c:pt idx="5058">
                  <c:v>12</c:v>
                </c:pt>
                <c:pt idx="5059">
                  <c:v>12</c:v>
                </c:pt>
                <c:pt idx="5060">
                  <c:v>12</c:v>
                </c:pt>
                <c:pt idx="5224">
                  <c:v>13</c:v>
                </c:pt>
                <c:pt idx="5225">
                  <c:v>13</c:v>
                </c:pt>
                <c:pt idx="5226">
                  <c:v>13</c:v>
                </c:pt>
                <c:pt idx="5227">
                  <c:v>13</c:v>
                </c:pt>
                <c:pt idx="5228">
                  <c:v>13</c:v>
                </c:pt>
                <c:pt idx="5229">
                  <c:v>13</c:v>
                </c:pt>
                <c:pt idx="5230">
                  <c:v>13</c:v>
                </c:pt>
                <c:pt idx="5231">
                  <c:v>13</c:v>
                </c:pt>
                <c:pt idx="5232">
                  <c:v>13</c:v>
                </c:pt>
                <c:pt idx="5233">
                  <c:v>13</c:v>
                </c:pt>
                <c:pt idx="5234">
                  <c:v>13</c:v>
                </c:pt>
                <c:pt idx="5235">
                  <c:v>13</c:v>
                </c:pt>
                <c:pt idx="5236">
                  <c:v>13</c:v>
                </c:pt>
                <c:pt idx="5237">
                  <c:v>13</c:v>
                </c:pt>
                <c:pt idx="5238">
                  <c:v>13</c:v>
                </c:pt>
                <c:pt idx="5239">
                  <c:v>13</c:v>
                </c:pt>
                <c:pt idx="5240">
                  <c:v>13</c:v>
                </c:pt>
                <c:pt idx="5241">
                  <c:v>13</c:v>
                </c:pt>
                <c:pt idx="5242">
                  <c:v>13</c:v>
                </c:pt>
                <c:pt idx="5243">
                  <c:v>13</c:v>
                </c:pt>
                <c:pt idx="5244">
                  <c:v>13</c:v>
                </c:pt>
                <c:pt idx="5245">
                  <c:v>13</c:v>
                </c:pt>
                <c:pt idx="5246">
                  <c:v>13</c:v>
                </c:pt>
                <c:pt idx="5247">
                  <c:v>13</c:v>
                </c:pt>
                <c:pt idx="5248">
                  <c:v>13</c:v>
                </c:pt>
                <c:pt idx="5249">
                  <c:v>13</c:v>
                </c:pt>
                <c:pt idx="6264">
                  <c:v>14</c:v>
                </c:pt>
                <c:pt idx="6265">
                  <c:v>14</c:v>
                </c:pt>
                <c:pt idx="6266">
                  <c:v>14</c:v>
                </c:pt>
                <c:pt idx="6267">
                  <c:v>14</c:v>
                </c:pt>
                <c:pt idx="6268">
                  <c:v>14</c:v>
                </c:pt>
                <c:pt idx="6269">
                  <c:v>14</c:v>
                </c:pt>
                <c:pt idx="6270">
                  <c:v>14</c:v>
                </c:pt>
                <c:pt idx="6271">
                  <c:v>14</c:v>
                </c:pt>
                <c:pt idx="6272">
                  <c:v>14</c:v>
                </c:pt>
                <c:pt idx="6273">
                  <c:v>14</c:v>
                </c:pt>
                <c:pt idx="6274">
                  <c:v>14</c:v>
                </c:pt>
                <c:pt idx="6275">
                  <c:v>14</c:v>
                </c:pt>
                <c:pt idx="6276">
                  <c:v>14</c:v>
                </c:pt>
                <c:pt idx="6277">
                  <c:v>14</c:v>
                </c:pt>
                <c:pt idx="6278">
                  <c:v>14</c:v>
                </c:pt>
                <c:pt idx="6279">
                  <c:v>14</c:v>
                </c:pt>
                <c:pt idx="6280">
                  <c:v>14</c:v>
                </c:pt>
                <c:pt idx="6281">
                  <c:v>14</c:v>
                </c:pt>
                <c:pt idx="6282">
                  <c:v>14</c:v>
                </c:pt>
                <c:pt idx="6283">
                  <c:v>14</c:v>
                </c:pt>
                <c:pt idx="6284">
                  <c:v>14</c:v>
                </c:pt>
                <c:pt idx="6285">
                  <c:v>14</c:v>
                </c:pt>
                <c:pt idx="6286">
                  <c:v>14</c:v>
                </c:pt>
                <c:pt idx="6287">
                  <c:v>14</c:v>
                </c:pt>
                <c:pt idx="6288">
                  <c:v>14</c:v>
                </c:pt>
                <c:pt idx="6289">
                  <c:v>14</c:v>
                </c:pt>
                <c:pt idx="6290">
                  <c:v>14</c:v>
                </c:pt>
                <c:pt idx="6291">
                  <c:v>14</c:v>
                </c:pt>
                <c:pt idx="6292">
                  <c:v>14</c:v>
                </c:pt>
                <c:pt idx="6293">
                  <c:v>14</c:v>
                </c:pt>
                <c:pt idx="6294">
                  <c:v>14</c:v>
                </c:pt>
                <c:pt idx="6295">
                  <c:v>14</c:v>
                </c:pt>
                <c:pt idx="6296">
                  <c:v>14</c:v>
                </c:pt>
                <c:pt idx="6297">
                  <c:v>14</c:v>
                </c:pt>
                <c:pt idx="6298">
                  <c:v>14</c:v>
                </c:pt>
                <c:pt idx="6299">
                  <c:v>14</c:v>
                </c:pt>
                <c:pt idx="6300">
                  <c:v>14</c:v>
                </c:pt>
                <c:pt idx="6301">
                  <c:v>14</c:v>
                </c:pt>
                <c:pt idx="6302">
                  <c:v>14</c:v>
                </c:pt>
                <c:pt idx="6303">
                  <c:v>14</c:v>
                </c:pt>
                <c:pt idx="6304">
                  <c:v>14</c:v>
                </c:pt>
                <c:pt idx="6305">
                  <c:v>14</c:v>
                </c:pt>
                <c:pt idx="6306">
                  <c:v>14</c:v>
                </c:pt>
                <c:pt idx="6307">
                  <c:v>14</c:v>
                </c:pt>
                <c:pt idx="6308">
                  <c:v>14</c:v>
                </c:pt>
                <c:pt idx="6309">
                  <c:v>14</c:v>
                </c:pt>
                <c:pt idx="6310">
                  <c:v>14</c:v>
                </c:pt>
                <c:pt idx="6311">
                  <c:v>14</c:v>
                </c:pt>
                <c:pt idx="6312">
                  <c:v>14</c:v>
                </c:pt>
                <c:pt idx="6313">
                  <c:v>14</c:v>
                </c:pt>
                <c:pt idx="6314">
                  <c:v>14</c:v>
                </c:pt>
                <c:pt idx="6315">
                  <c:v>14</c:v>
                </c:pt>
                <c:pt idx="6316">
                  <c:v>14</c:v>
                </c:pt>
                <c:pt idx="6317">
                  <c:v>14</c:v>
                </c:pt>
                <c:pt idx="6318">
                  <c:v>14</c:v>
                </c:pt>
                <c:pt idx="6319">
                  <c:v>14</c:v>
                </c:pt>
                <c:pt idx="6320">
                  <c:v>14</c:v>
                </c:pt>
                <c:pt idx="6321">
                  <c:v>14</c:v>
                </c:pt>
                <c:pt idx="6322">
                  <c:v>14</c:v>
                </c:pt>
                <c:pt idx="6323">
                  <c:v>14</c:v>
                </c:pt>
                <c:pt idx="6324">
                  <c:v>14</c:v>
                </c:pt>
                <c:pt idx="6325">
                  <c:v>14</c:v>
                </c:pt>
                <c:pt idx="6326">
                  <c:v>14</c:v>
                </c:pt>
                <c:pt idx="6327">
                  <c:v>14</c:v>
                </c:pt>
                <c:pt idx="6328">
                  <c:v>14</c:v>
                </c:pt>
                <c:pt idx="6329">
                  <c:v>14</c:v>
                </c:pt>
                <c:pt idx="6330">
                  <c:v>14</c:v>
                </c:pt>
                <c:pt idx="6331">
                  <c:v>14</c:v>
                </c:pt>
                <c:pt idx="6332">
                  <c:v>14</c:v>
                </c:pt>
                <c:pt idx="6333">
                  <c:v>14</c:v>
                </c:pt>
                <c:pt idx="6334">
                  <c:v>14</c:v>
                </c:pt>
                <c:pt idx="6335">
                  <c:v>14</c:v>
                </c:pt>
                <c:pt idx="6336">
                  <c:v>14</c:v>
                </c:pt>
                <c:pt idx="6337">
                  <c:v>14</c:v>
                </c:pt>
                <c:pt idx="6338">
                  <c:v>14</c:v>
                </c:pt>
                <c:pt idx="6339">
                  <c:v>14</c:v>
                </c:pt>
                <c:pt idx="6340">
                  <c:v>14</c:v>
                </c:pt>
                <c:pt idx="6341">
                  <c:v>14</c:v>
                </c:pt>
                <c:pt idx="6342">
                  <c:v>14</c:v>
                </c:pt>
                <c:pt idx="6343">
                  <c:v>14</c:v>
                </c:pt>
                <c:pt idx="6344">
                  <c:v>14</c:v>
                </c:pt>
                <c:pt idx="6345">
                  <c:v>14</c:v>
                </c:pt>
                <c:pt idx="6346">
                  <c:v>14</c:v>
                </c:pt>
                <c:pt idx="6347">
                  <c:v>14</c:v>
                </c:pt>
                <c:pt idx="6348">
                  <c:v>14</c:v>
                </c:pt>
                <c:pt idx="6349">
                  <c:v>14</c:v>
                </c:pt>
                <c:pt idx="6350">
                  <c:v>14</c:v>
                </c:pt>
                <c:pt idx="6351">
                  <c:v>14</c:v>
                </c:pt>
                <c:pt idx="6352">
                  <c:v>14</c:v>
                </c:pt>
                <c:pt idx="6353">
                  <c:v>14</c:v>
                </c:pt>
                <c:pt idx="6354">
                  <c:v>14</c:v>
                </c:pt>
                <c:pt idx="6355">
                  <c:v>14</c:v>
                </c:pt>
                <c:pt idx="6356">
                  <c:v>14</c:v>
                </c:pt>
                <c:pt idx="6357">
                  <c:v>14</c:v>
                </c:pt>
                <c:pt idx="6358">
                  <c:v>14</c:v>
                </c:pt>
                <c:pt idx="6359">
                  <c:v>14</c:v>
                </c:pt>
                <c:pt idx="6919">
                  <c:v>15</c:v>
                </c:pt>
                <c:pt idx="6920">
                  <c:v>15</c:v>
                </c:pt>
                <c:pt idx="6921">
                  <c:v>15</c:v>
                </c:pt>
                <c:pt idx="6922">
                  <c:v>15</c:v>
                </c:pt>
                <c:pt idx="6923">
                  <c:v>15</c:v>
                </c:pt>
                <c:pt idx="6924">
                  <c:v>15</c:v>
                </c:pt>
                <c:pt idx="6925">
                  <c:v>15</c:v>
                </c:pt>
                <c:pt idx="6926">
                  <c:v>15</c:v>
                </c:pt>
                <c:pt idx="6927">
                  <c:v>15</c:v>
                </c:pt>
                <c:pt idx="6928">
                  <c:v>15</c:v>
                </c:pt>
                <c:pt idx="6929">
                  <c:v>15</c:v>
                </c:pt>
                <c:pt idx="6930">
                  <c:v>15</c:v>
                </c:pt>
                <c:pt idx="6931">
                  <c:v>15</c:v>
                </c:pt>
                <c:pt idx="7012">
                  <c:v>16</c:v>
                </c:pt>
                <c:pt idx="7013">
                  <c:v>16</c:v>
                </c:pt>
                <c:pt idx="7014">
                  <c:v>16</c:v>
                </c:pt>
                <c:pt idx="7015">
                  <c:v>16</c:v>
                </c:pt>
                <c:pt idx="7016">
                  <c:v>16</c:v>
                </c:pt>
                <c:pt idx="7017">
                  <c:v>16</c:v>
                </c:pt>
                <c:pt idx="7018">
                  <c:v>16</c:v>
                </c:pt>
                <c:pt idx="7019">
                  <c:v>16</c:v>
                </c:pt>
                <c:pt idx="7020">
                  <c:v>16</c:v>
                </c:pt>
                <c:pt idx="7021">
                  <c:v>16</c:v>
                </c:pt>
                <c:pt idx="7022">
                  <c:v>16</c:v>
                </c:pt>
                <c:pt idx="7036">
                  <c:v>17</c:v>
                </c:pt>
                <c:pt idx="7037">
                  <c:v>17</c:v>
                </c:pt>
                <c:pt idx="7038">
                  <c:v>17</c:v>
                </c:pt>
                <c:pt idx="7039">
                  <c:v>17</c:v>
                </c:pt>
                <c:pt idx="7040">
                  <c:v>17</c:v>
                </c:pt>
                <c:pt idx="7041">
                  <c:v>17</c:v>
                </c:pt>
                <c:pt idx="7042">
                  <c:v>17</c:v>
                </c:pt>
                <c:pt idx="7043">
                  <c:v>17</c:v>
                </c:pt>
                <c:pt idx="7044">
                  <c:v>17</c:v>
                </c:pt>
                <c:pt idx="7045">
                  <c:v>17</c:v>
                </c:pt>
                <c:pt idx="704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FF-414C-AE11-397EDF516594}"/>
            </c:ext>
          </c:extLst>
        </c:ser>
        <c:ser>
          <c:idx val="3"/>
          <c:order val="3"/>
          <c:tx>
            <c:strRef>
              <c:f>transpose!$AU$1</c:f>
              <c:strCache>
                <c:ptCount val="1"/>
                <c:pt idx="0">
                  <c:v>áll-figyel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transpose!$AU$2:$AU$7653</c:f>
              <c:numCache>
                <c:formatCode>General</c:formatCode>
                <c:ptCount val="7652"/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4097">
                  <c:v>4</c:v>
                </c:pt>
                <c:pt idx="4098">
                  <c:v>4</c:v>
                </c:pt>
                <c:pt idx="4099">
                  <c:v>4</c:v>
                </c:pt>
                <c:pt idx="4100">
                  <c:v>4</c:v>
                </c:pt>
                <c:pt idx="4101">
                  <c:v>4</c:v>
                </c:pt>
                <c:pt idx="4102">
                  <c:v>4</c:v>
                </c:pt>
                <c:pt idx="4103">
                  <c:v>4</c:v>
                </c:pt>
                <c:pt idx="4104">
                  <c:v>4</c:v>
                </c:pt>
                <c:pt idx="4105">
                  <c:v>4</c:v>
                </c:pt>
                <c:pt idx="4106">
                  <c:v>4</c:v>
                </c:pt>
                <c:pt idx="4107">
                  <c:v>4</c:v>
                </c:pt>
                <c:pt idx="4108">
                  <c:v>4</c:v>
                </c:pt>
                <c:pt idx="4109">
                  <c:v>4</c:v>
                </c:pt>
                <c:pt idx="4110">
                  <c:v>4</c:v>
                </c:pt>
                <c:pt idx="411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FF-414C-AE11-397EDF516594}"/>
            </c:ext>
          </c:extLst>
        </c:ser>
        <c:ser>
          <c:idx val="4"/>
          <c:order val="4"/>
          <c:tx>
            <c:strRef>
              <c:f>transpose!$AV$1</c:f>
              <c:strCache>
                <c:ptCount val="1"/>
                <c:pt idx="0">
                  <c:v>mosakodás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transpose!$AV$2:$AV$7653</c:f>
              <c:numCache>
                <c:formatCode>General</c:formatCode>
                <c:ptCount val="7652"/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68">
                  <c:v>4</c:v>
                </c:pt>
                <c:pt idx="2469">
                  <c:v>4</c:v>
                </c:pt>
                <c:pt idx="2470">
                  <c:v>4</c:v>
                </c:pt>
                <c:pt idx="2471">
                  <c:v>4</c:v>
                </c:pt>
                <c:pt idx="2472">
                  <c:v>4</c:v>
                </c:pt>
                <c:pt idx="2473">
                  <c:v>4</c:v>
                </c:pt>
                <c:pt idx="2474">
                  <c:v>4</c:v>
                </c:pt>
                <c:pt idx="2475">
                  <c:v>4</c:v>
                </c:pt>
                <c:pt idx="2476">
                  <c:v>4</c:v>
                </c:pt>
                <c:pt idx="2477">
                  <c:v>4</c:v>
                </c:pt>
                <c:pt idx="2478">
                  <c:v>4</c:v>
                </c:pt>
                <c:pt idx="2479">
                  <c:v>4</c:v>
                </c:pt>
                <c:pt idx="2480">
                  <c:v>4</c:v>
                </c:pt>
                <c:pt idx="2481">
                  <c:v>4</c:v>
                </c:pt>
                <c:pt idx="2482">
                  <c:v>4</c:v>
                </c:pt>
                <c:pt idx="2483">
                  <c:v>4</c:v>
                </c:pt>
                <c:pt idx="2484">
                  <c:v>4</c:v>
                </c:pt>
                <c:pt idx="2485">
                  <c:v>4</c:v>
                </c:pt>
                <c:pt idx="2486">
                  <c:v>4</c:v>
                </c:pt>
                <c:pt idx="2487">
                  <c:v>4</c:v>
                </c:pt>
                <c:pt idx="2488">
                  <c:v>4</c:v>
                </c:pt>
                <c:pt idx="2489">
                  <c:v>4</c:v>
                </c:pt>
                <c:pt idx="2490">
                  <c:v>4</c:v>
                </c:pt>
                <c:pt idx="2491">
                  <c:v>4</c:v>
                </c:pt>
                <c:pt idx="2492">
                  <c:v>4</c:v>
                </c:pt>
                <c:pt idx="2493">
                  <c:v>4</c:v>
                </c:pt>
                <c:pt idx="2494">
                  <c:v>4</c:v>
                </c:pt>
                <c:pt idx="2495">
                  <c:v>4</c:v>
                </c:pt>
                <c:pt idx="2496">
                  <c:v>4</c:v>
                </c:pt>
                <c:pt idx="2497">
                  <c:v>4</c:v>
                </c:pt>
                <c:pt idx="2498">
                  <c:v>4</c:v>
                </c:pt>
                <c:pt idx="2499">
                  <c:v>4</c:v>
                </c:pt>
                <c:pt idx="2500">
                  <c:v>4</c:v>
                </c:pt>
                <c:pt idx="2501">
                  <c:v>4</c:v>
                </c:pt>
                <c:pt idx="2502">
                  <c:v>4</c:v>
                </c:pt>
                <c:pt idx="2503">
                  <c:v>4</c:v>
                </c:pt>
                <c:pt idx="2504">
                  <c:v>4</c:v>
                </c:pt>
                <c:pt idx="2505">
                  <c:v>4</c:v>
                </c:pt>
                <c:pt idx="2506">
                  <c:v>4</c:v>
                </c:pt>
                <c:pt idx="2507">
                  <c:v>4</c:v>
                </c:pt>
                <c:pt idx="2508">
                  <c:v>4</c:v>
                </c:pt>
                <c:pt idx="2509">
                  <c:v>4</c:v>
                </c:pt>
                <c:pt idx="2510">
                  <c:v>4</c:v>
                </c:pt>
                <c:pt idx="2511">
                  <c:v>4</c:v>
                </c:pt>
                <c:pt idx="2512">
                  <c:v>4</c:v>
                </c:pt>
                <c:pt idx="2513">
                  <c:v>4</c:v>
                </c:pt>
                <c:pt idx="2514">
                  <c:v>4</c:v>
                </c:pt>
                <c:pt idx="2515">
                  <c:v>4</c:v>
                </c:pt>
                <c:pt idx="2516">
                  <c:v>4</c:v>
                </c:pt>
                <c:pt idx="2517">
                  <c:v>4</c:v>
                </c:pt>
                <c:pt idx="2518">
                  <c:v>4</c:v>
                </c:pt>
                <c:pt idx="2519">
                  <c:v>4</c:v>
                </c:pt>
                <c:pt idx="2520">
                  <c:v>4</c:v>
                </c:pt>
                <c:pt idx="2521">
                  <c:v>4</c:v>
                </c:pt>
                <c:pt idx="2522">
                  <c:v>4</c:v>
                </c:pt>
                <c:pt idx="2523">
                  <c:v>4</c:v>
                </c:pt>
                <c:pt idx="2524">
                  <c:v>4</c:v>
                </c:pt>
                <c:pt idx="2525">
                  <c:v>4</c:v>
                </c:pt>
                <c:pt idx="2526">
                  <c:v>4</c:v>
                </c:pt>
                <c:pt idx="2527">
                  <c:v>4</c:v>
                </c:pt>
                <c:pt idx="2528">
                  <c:v>4</c:v>
                </c:pt>
                <c:pt idx="2529">
                  <c:v>4</c:v>
                </c:pt>
                <c:pt idx="2530">
                  <c:v>4</c:v>
                </c:pt>
                <c:pt idx="2531">
                  <c:v>4</c:v>
                </c:pt>
                <c:pt idx="2532">
                  <c:v>4</c:v>
                </c:pt>
                <c:pt idx="2533">
                  <c:v>4</c:v>
                </c:pt>
                <c:pt idx="2534">
                  <c:v>4</c:v>
                </c:pt>
                <c:pt idx="2535">
                  <c:v>4</c:v>
                </c:pt>
                <c:pt idx="2536">
                  <c:v>4</c:v>
                </c:pt>
                <c:pt idx="2537">
                  <c:v>4</c:v>
                </c:pt>
                <c:pt idx="2538">
                  <c:v>4</c:v>
                </c:pt>
                <c:pt idx="2539">
                  <c:v>4</c:v>
                </c:pt>
                <c:pt idx="2540">
                  <c:v>4</c:v>
                </c:pt>
                <c:pt idx="2541">
                  <c:v>4</c:v>
                </c:pt>
                <c:pt idx="2542">
                  <c:v>4</c:v>
                </c:pt>
                <c:pt idx="2543">
                  <c:v>4</c:v>
                </c:pt>
                <c:pt idx="2544">
                  <c:v>4</c:v>
                </c:pt>
                <c:pt idx="2545">
                  <c:v>4</c:v>
                </c:pt>
                <c:pt idx="2546">
                  <c:v>4</c:v>
                </c:pt>
                <c:pt idx="2547">
                  <c:v>4</c:v>
                </c:pt>
                <c:pt idx="2548">
                  <c:v>4</c:v>
                </c:pt>
                <c:pt idx="2549">
                  <c:v>4</c:v>
                </c:pt>
                <c:pt idx="2550">
                  <c:v>4</c:v>
                </c:pt>
                <c:pt idx="2551">
                  <c:v>4</c:v>
                </c:pt>
                <c:pt idx="2552">
                  <c:v>4</c:v>
                </c:pt>
                <c:pt idx="2553">
                  <c:v>4</c:v>
                </c:pt>
                <c:pt idx="2554">
                  <c:v>4</c:v>
                </c:pt>
                <c:pt idx="2555">
                  <c:v>4</c:v>
                </c:pt>
                <c:pt idx="2556">
                  <c:v>4</c:v>
                </c:pt>
                <c:pt idx="2557">
                  <c:v>4</c:v>
                </c:pt>
                <c:pt idx="2558">
                  <c:v>4</c:v>
                </c:pt>
                <c:pt idx="2559">
                  <c:v>4</c:v>
                </c:pt>
                <c:pt idx="2560">
                  <c:v>4</c:v>
                </c:pt>
                <c:pt idx="2561">
                  <c:v>4</c:v>
                </c:pt>
                <c:pt idx="2562">
                  <c:v>4</c:v>
                </c:pt>
                <c:pt idx="2563">
                  <c:v>4</c:v>
                </c:pt>
                <c:pt idx="2564">
                  <c:v>4</c:v>
                </c:pt>
                <c:pt idx="2565">
                  <c:v>4</c:v>
                </c:pt>
                <c:pt idx="2566">
                  <c:v>4</c:v>
                </c:pt>
                <c:pt idx="2567">
                  <c:v>4</c:v>
                </c:pt>
                <c:pt idx="2568">
                  <c:v>4</c:v>
                </c:pt>
                <c:pt idx="2569">
                  <c:v>4</c:v>
                </c:pt>
                <c:pt idx="2570">
                  <c:v>4</c:v>
                </c:pt>
                <c:pt idx="2571">
                  <c:v>4</c:v>
                </c:pt>
                <c:pt idx="2572">
                  <c:v>4</c:v>
                </c:pt>
                <c:pt idx="2573">
                  <c:v>4</c:v>
                </c:pt>
                <c:pt idx="2574">
                  <c:v>4</c:v>
                </c:pt>
                <c:pt idx="2575">
                  <c:v>4</c:v>
                </c:pt>
                <c:pt idx="2576">
                  <c:v>4</c:v>
                </c:pt>
                <c:pt idx="2577">
                  <c:v>4</c:v>
                </c:pt>
                <c:pt idx="2578">
                  <c:v>4</c:v>
                </c:pt>
                <c:pt idx="2579">
                  <c:v>4</c:v>
                </c:pt>
                <c:pt idx="2580">
                  <c:v>4</c:v>
                </c:pt>
                <c:pt idx="2581">
                  <c:v>4</c:v>
                </c:pt>
                <c:pt idx="2582">
                  <c:v>4</c:v>
                </c:pt>
                <c:pt idx="2583">
                  <c:v>4</c:v>
                </c:pt>
                <c:pt idx="2584">
                  <c:v>4</c:v>
                </c:pt>
                <c:pt idx="2585">
                  <c:v>4</c:v>
                </c:pt>
                <c:pt idx="2586">
                  <c:v>4</c:v>
                </c:pt>
                <c:pt idx="2587">
                  <c:v>4</c:v>
                </c:pt>
                <c:pt idx="2588">
                  <c:v>4</c:v>
                </c:pt>
                <c:pt idx="2589">
                  <c:v>4</c:v>
                </c:pt>
                <c:pt idx="2590">
                  <c:v>4</c:v>
                </c:pt>
                <c:pt idx="2591">
                  <c:v>4</c:v>
                </c:pt>
                <c:pt idx="2592">
                  <c:v>4</c:v>
                </c:pt>
                <c:pt idx="2593">
                  <c:v>4</c:v>
                </c:pt>
                <c:pt idx="2594">
                  <c:v>4</c:v>
                </c:pt>
                <c:pt idx="2595">
                  <c:v>4</c:v>
                </c:pt>
                <c:pt idx="2596">
                  <c:v>4</c:v>
                </c:pt>
                <c:pt idx="2597">
                  <c:v>4</c:v>
                </c:pt>
                <c:pt idx="2598">
                  <c:v>4</c:v>
                </c:pt>
                <c:pt idx="2599">
                  <c:v>4</c:v>
                </c:pt>
                <c:pt idx="2600">
                  <c:v>4</c:v>
                </c:pt>
                <c:pt idx="2601">
                  <c:v>4</c:v>
                </c:pt>
                <c:pt idx="2602">
                  <c:v>4</c:v>
                </c:pt>
                <c:pt idx="2603">
                  <c:v>4</c:v>
                </c:pt>
                <c:pt idx="2604">
                  <c:v>4</c:v>
                </c:pt>
                <c:pt idx="2605">
                  <c:v>4</c:v>
                </c:pt>
                <c:pt idx="2606">
                  <c:v>4</c:v>
                </c:pt>
                <c:pt idx="2607">
                  <c:v>4</c:v>
                </c:pt>
                <c:pt idx="2608">
                  <c:v>4</c:v>
                </c:pt>
                <c:pt idx="2609">
                  <c:v>4</c:v>
                </c:pt>
                <c:pt idx="2610">
                  <c:v>4</c:v>
                </c:pt>
                <c:pt idx="2611">
                  <c:v>4</c:v>
                </c:pt>
                <c:pt idx="2612">
                  <c:v>4</c:v>
                </c:pt>
                <c:pt idx="2613">
                  <c:v>4</c:v>
                </c:pt>
                <c:pt idx="2614">
                  <c:v>4</c:v>
                </c:pt>
                <c:pt idx="2615">
                  <c:v>4</c:v>
                </c:pt>
                <c:pt idx="2616">
                  <c:v>4</c:v>
                </c:pt>
                <c:pt idx="2617">
                  <c:v>4</c:v>
                </c:pt>
                <c:pt idx="2618">
                  <c:v>4</c:v>
                </c:pt>
                <c:pt idx="2619">
                  <c:v>4</c:v>
                </c:pt>
                <c:pt idx="2620">
                  <c:v>4</c:v>
                </c:pt>
                <c:pt idx="2621">
                  <c:v>4</c:v>
                </c:pt>
                <c:pt idx="2622">
                  <c:v>4</c:v>
                </c:pt>
                <c:pt idx="2623">
                  <c:v>4</c:v>
                </c:pt>
                <c:pt idx="2624">
                  <c:v>4</c:v>
                </c:pt>
                <c:pt idx="2625">
                  <c:v>4</c:v>
                </c:pt>
                <c:pt idx="2626">
                  <c:v>4</c:v>
                </c:pt>
                <c:pt idx="2627">
                  <c:v>4</c:v>
                </c:pt>
                <c:pt idx="2628">
                  <c:v>4</c:v>
                </c:pt>
                <c:pt idx="2629">
                  <c:v>4</c:v>
                </c:pt>
                <c:pt idx="2630">
                  <c:v>4</c:v>
                </c:pt>
                <c:pt idx="2631">
                  <c:v>4</c:v>
                </c:pt>
                <c:pt idx="2632">
                  <c:v>4</c:v>
                </c:pt>
                <c:pt idx="2633">
                  <c:v>4</c:v>
                </c:pt>
                <c:pt idx="2634">
                  <c:v>4</c:v>
                </c:pt>
                <c:pt idx="2635">
                  <c:v>4</c:v>
                </c:pt>
                <c:pt idx="2636">
                  <c:v>4</c:v>
                </c:pt>
                <c:pt idx="2637">
                  <c:v>4</c:v>
                </c:pt>
                <c:pt idx="2638">
                  <c:v>4</c:v>
                </c:pt>
                <c:pt idx="2639">
                  <c:v>4</c:v>
                </c:pt>
                <c:pt idx="2640">
                  <c:v>4</c:v>
                </c:pt>
                <c:pt idx="2641">
                  <c:v>4</c:v>
                </c:pt>
                <c:pt idx="2642">
                  <c:v>4</c:v>
                </c:pt>
                <c:pt idx="2643">
                  <c:v>4</c:v>
                </c:pt>
                <c:pt idx="2644">
                  <c:v>4</c:v>
                </c:pt>
                <c:pt idx="2645">
                  <c:v>4</c:v>
                </c:pt>
                <c:pt idx="2646">
                  <c:v>4</c:v>
                </c:pt>
                <c:pt idx="2647">
                  <c:v>4</c:v>
                </c:pt>
                <c:pt idx="2648">
                  <c:v>4</c:v>
                </c:pt>
                <c:pt idx="2649">
                  <c:v>4</c:v>
                </c:pt>
                <c:pt idx="2650">
                  <c:v>4</c:v>
                </c:pt>
                <c:pt idx="2651">
                  <c:v>4</c:v>
                </c:pt>
                <c:pt idx="2675">
                  <c:v>5</c:v>
                </c:pt>
                <c:pt idx="2676">
                  <c:v>5</c:v>
                </c:pt>
                <c:pt idx="2677">
                  <c:v>5</c:v>
                </c:pt>
                <c:pt idx="2678">
                  <c:v>5</c:v>
                </c:pt>
                <c:pt idx="2679">
                  <c:v>5</c:v>
                </c:pt>
                <c:pt idx="2680">
                  <c:v>5</c:v>
                </c:pt>
                <c:pt idx="2681">
                  <c:v>5</c:v>
                </c:pt>
                <c:pt idx="2682">
                  <c:v>5</c:v>
                </c:pt>
                <c:pt idx="2683">
                  <c:v>5</c:v>
                </c:pt>
                <c:pt idx="2684">
                  <c:v>5</c:v>
                </c:pt>
                <c:pt idx="2685">
                  <c:v>5</c:v>
                </c:pt>
                <c:pt idx="2686">
                  <c:v>5</c:v>
                </c:pt>
                <c:pt idx="2687">
                  <c:v>5</c:v>
                </c:pt>
                <c:pt idx="2688">
                  <c:v>5</c:v>
                </c:pt>
                <c:pt idx="2689">
                  <c:v>5</c:v>
                </c:pt>
                <c:pt idx="2690">
                  <c:v>5</c:v>
                </c:pt>
                <c:pt idx="3103">
                  <c:v>6</c:v>
                </c:pt>
                <c:pt idx="3104">
                  <c:v>6</c:v>
                </c:pt>
                <c:pt idx="3105">
                  <c:v>6</c:v>
                </c:pt>
                <c:pt idx="3106">
                  <c:v>6</c:v>
                </c:pt>
                <c:pt idx="3107">
                  <c:v>6</c:v>
                </c:pt>
                <c:pt idx="3108">
                  <c:v>6</c:v>
                </c:pt>
                <c:pt idx="3109">
                  <c:v>6</c:v>
                </c:pt>
                <c:pt idx="3110">
                  <c:v>6</c:v>
                </c:pt>
                <c:pt idx="3111">
                  <c:v>6</c:v>
                </c:pt>
                <c:pt idx="3112">
                  <c:v>6</c:v>
                </c:pt>
                <c:pt idx="3113">
                  <c:v>6</c:v>
                </c:pt>
                <c:pt idx="3114">
                  <c:v>6</c:v>
                </c:pt>
                <c:pt idx="3115">
                  <c:v>6</c:v>
                </c:pt>
                <c:pt idx="3116">
                  <c:v>6</c:v>
                </c:pt>
                <c:pt idx="3117">
                  <c:v>6</c:v>
                </c:pt>
                <c:pt idx="3118">
                  <c:v>6</c:v>
                </c:pt>
                <c:pt idx="3119">
                  <c:v>6</c:v>
                </c:pt>
                <c:pt idx="3120">
                  <c:v>6</c:v>
                </c:pt>
                <c:pt idx="3121">
                  <c:v>6</c:v>
                </c:pt>
                <c:pt idx="3122">
                  <c:v>6</c:v>
                </c:pt>
                <c:pt idx="3123">
                  <c:v>6</c:v>
                </c:pt>
                <c:pt idx="3124">
                  <c:v>6</c:v>
                </c:pt>
                <c:pt idx="3137">
                  <c:v>7</c:v>
                </c:pt>
                <c:pt idx="3138">
                  <c:v>7</c:v>
                </c:pt>
                <c:pt idx="3139">
                  <c:v>7</c:v>
                </c:pt>
                <c:pt idx="3140">
                  <c:v>7</c:v>
                </c:pt>
                <c:pt idx="3141">
                  <c:v>7</c:v>
                </c:pt>
                <c:pt idx="3142">
                  <c:v>7</c:v>
                </c:pt>
                <c:pt idx="3143">
                  <c:v>7</c:v>
                </c:pt>
                <c:pt idx="3144">
                  <c:v>7</c:v>
                </c:pt>
                <c:pt idx="3729">
                  <c:v>8</c:v>
                </c:pt>
                <c:pt idx="3730">
                  <c:v>8</c:v>
                </c:pt>
                <c:pt idx="3731">
                  <c:v>8</c:v>
                </c:pt>
                <c:pt idx="3732">
                  <c:v>8</c:v>
                </c:pt>
                <c:pt idx="3733">
                  <c:v>8</c:v>
                </c:pt>
                <c:pt idx="3734">
                  <c:v>8</c:v>
                </c:pt>
                <c:pt idx="3735">
                  <c:v>8</c:v>
                </c:pt>
                <c:pt idx="3736">
                  <c:v>8</c:v>
                </c:pt>
                <c:pt idx="3737">
                  <c:v>8</c:v>
                </c:pt>
                <c:pt idx="3738">
                  <c:v>8</c:v>
                </c:pt>
                <c:pt idx="3739">
                  <c:v>8</c:v>
                </c:pt>
                <c:pt idx="3740">
                  <c:v>8</c:v>
                </c:pt>
                <c:pt idx="3741">
                  <c:v>8</c:v>
                </c:pt>
                <c:pt idx="3742">
                  <c:v>8</c:v>
                </c:pt>
                <c:pt idx="3743">
                  <c:v>8</c:v>
                </c:pt>
                <c:pt idx="3744">
                  <c:v>8</c:v>
                </c:pt>
                <c:pt idx="3745">
                  <c:v>8</c:v>
                </c:pt>
                <c:pt idx="3746">
                  <c:v>8</c:v>
                </c:pt>
                <c:pt idx="3747">
                  <c:v>8</c:v>
                </c:pt>
                <c:pt idx="3748">
                  <c:v>8</c:v>
                </c:pt>
                <c:pt idx="3749">
                  <c:v>8</c:v>
                </c:pt>
                <c:pt idx="3750">
                  <c:v>8</c:v>
                </c:pt>
                <c:pt idx="3751">
                  <c:v>8</c:v>
                </c:pt>
                <c:pt idx="3752">
                  <c:v>8</c:v>
                </c:pt>
                <c:pt idx="3753">
                  <c:v>8</c:v>
                </c:pt>
                <c:pt idx="3754">
                  <c:v>8</c:v>
                </c:pt>
                <c:pt idx="3755">
                  <c:v>8</c:v>
                </c:pt>
                <c:pt idx="3756">
                  <c:v>8</c:v>
                </c:pt>
                <c:pt idx="3757">
                  <c:v>8</c:v>
                </c:pt>
                <c:pt idx="3758">
                  <c:v>8</c:v>
                </c:pt>
                <c:pt idx="3759">
                  <c:v>8</c:v>
                </c:pt>
                <c:pt idx="3760">
                  <c:v>8</c:v>
                </c:pt>
                <c:pt idx="3833">
                  <c:v>9</c:v>
                </c:pt>
                <c:pt idx="3834">
                  <c:v>9</c:v>
                </c:pt>
                <c:pt idx="3835">
                  <c:v>9</c:v>
                </c:pt>
                <c:pt idx="3836">
                  <c:v>9</c:v>
                </c:pt>
                <c:pt idx="3837">
                  <c:v>9</c:v>
                </c:pt>
                <c:pt idx="3838">
                  <c:v>9</c:v>
                </c:pt>
                <c:pt idx="3839">
                  <c:v>9</c:v>
                </c:pt>
                <c:pt idx="3840">
                  <c:v>9</c:v>
                </c:pt>
                <c:pt idx="3841">
                  <c:v>9</c:v>
                </c:pt>
                <c:pt idx="3842">
                  <c:v>9</c:v>
                </c:pt>
                <c:pt idx="3843">
                  <c:v>9</c:v>
                </c:pt>
                <c:pt idx="3844">
                  <c:v>9</c:v>
                </c:pt>
                <c:pt idx="3845">
                  <c:v>9</c:v>
                </c:pt>
                <c:pt idx="3846">
                  <c:v>9</c:v>
                </c:pt>
                <c:pt idx="3847">
                  <c:v>9</c:v>
                </c:pt>
                <c:pt idx="3848">
                  <c:v>9</c:v>
                </c:pt>
                <c:pt idx="3849">
                  <c:v>9</c:v>
                </c:pt>
                <c:pt idx="3850">
                  <c:v>9</c:v>
                </c:pt>
                <c:pt idx="3851">
                  <c:v>9</c:v>
                </c:pt>
                <c:pt idx="3852">
                  <c:v>9</c:v>
                </c:pt>
                <c:pt idx="3853">
                  <c:v>9</c:v>
                </c:pt>
                <c:pt idx="3854">
                  <c:v>9</c:v>
                </c:pt>
                <c:pt idx="3855">
                  <c:v>9</c:v>
                </c:pt>
                <c:pt idx="3856">
                  <c:v>9</c:v>
                </c:pt>
                <c:pt idx="3857">
                  <c:v>9</c:v>
                </c:pt>
                <c:pt idx="3858">
                  <c:v>9</c:v>
                </c:pt>
                <c:pt idx="3859">
                  <c:v>9</c:v>
                </c:pt>
                <c:pt idx="3860">
                  <c:v>9</c:v>
                </c:pt>
                <c:pt idx="3861">
                  <c:v>9</c:v>
                </c:pt>
                <c:pt idx="3862">
                  <c:v>9</c:v>
                </c:pt>
                <c:pt idx="3863">
                  <c:v>9</c:v>
                </c:pt>
                <c:pt idx="3864">
                  <c:v>9</c:v>
                </c:pt>
                <c:pt idx="3865">
                  <c:v>9</c:v>
                </c:pt>
                <c:pt idx="3866">
                  <c:v>9</c:v>
                </c:pt>
                <c:pt idx="3867">
                  <c:v>9</c:v>
                </c:pt>
                <c:pt idx="3868">
                  <c:v>9</c:v>
                </c:pt>
                <c:pt idx="3869">
                  <c:v>9</c:v>
                </c:pt>
                <c:pt idx="3870">
                  <c:v>9</c:v>
                </c:pt>
                <c:pt idx="3871">
                  <c:v>9</c:v>
                </c:pt>
                <c:pt idx="3872">
                  <c:v>9</c:v>
                </c:pt>
                <c:pt idx="3873">
                  <c:v>9</c:v>
                </c:pt>
                <c:pt idx="3874">
                  <c:v>9</c:v>
                </c:pt>
                <c:pt idx="3875">
                  <c:v>9</c:v>
                </c:pt>
                <c:pt idx="3876">
                  <c:v>9</c:v>
                </c:pt>
                <c:pt idx="3877">
                  <c:v>9</c:v>
                </c:pt>
                <c:pt idx="3878">
                  <c:v>9</c:v>
                </c:pt>
                <c:pt idx="3879">
                  <c:v>9</c:v>
                </c:pt>
                <c:pt idx="4154">
                  <c:v>10</c:v>
                </c:pt>
                <c:pt idx="4155">
                  <c:v>10</c:v>
                </c:pt>
                <c:pt idx="4156">
                  <c:v>10</c:v>
                </c:pt>
                <c:pt idx="4157">
                  <c:v>10</c:v>
                </c:pt>
                <c:pt idx="4158">
                  <c:v>10</c:v>
                </c:pt>
                <c:pt idx="4159">
                  <c:v>10</c:v>
                </c:pt>
                <c:pt idx="4160">
                  <c:v>10</c:v>
                </c:pt>
                <c:pt idx="4161">
                  <c:v>10</c:v>
                </c:pt>
                <c:pt idx="4162">
                  <c:v>10</c:v>
                </c:pt>
                <c:pt idx="4163">
                  <c:v>10</c:v>
                </c:pt>
                <c:pt idx="4164">
                  <c:v>10</c:v>
                </c:pt>
                <c:pt idx="4165">
                  <c:v>10</c:v>
                </c:pt>
                <c:pt idx="4166">
                  <c:v>10</c:v>
                </c:pt>
                <c:pt idx="4167">
                  <c:v>10</c:v>
                </c:pt>
                <c:pt idx="4168">
                  <c:v>10</c:v>
                </c:pt>
                <c:pt idx="4169">
                  <c:v>10</c:v>
                </c:pt>
                <c:pt idx="4170">
                  <c:v>10</c:v>
                </c:pt>
                <c:pt idx="4171">
                  <c:v>10</c:v>
                </c:pt>
                <c:pt idx="4172">
                  <c:v>10</c:v>
                </c:pt>
                <c:pt idx="4173">
                  <c:v>10</c:v>
                </c:pt>
                <c:pt idx="4174">
                  <c:v>10</c:v>
                </c:pt>
                <c:pt idx="4175">
                  <c:v>10</c:v>
                </c:pt>
                <c:pt idx="4176">
                  <c:v>10</c:v>
                </c:pt>
                <c:pt idx="4177">
                  <c:v>10</c:v>
                </c:pt>
                <c:pt idx="4178">
                  <c:v>10</c:v>
                </c:pt>
                <c:pt idx="4179">
                  <c:v>10</c:v>
                </c:pt>
                <c:pt idx="4180">
                  <c:v>10</c:v>
                </c:pt>
                <c:pt idx="4181">
                  <c:v>10</c:v>
                </c:pt>
                <c:pt idx="4182">
                  <c:v>10</c:v>
                </c:pt>
                <c:pt idx="4183">
                  <c:v>10</c:v>
                </c:pt>
                <c:pt idx="4184">
                  <c:v>10</c:v>
                </c:pt>
                <c:pt idx="4185">
                  <c:v>10</c:v>
                </c:pt>
                <c:pt idx="4186">
                  <c:v>10</c:v>
                </c:pt>
                <c:pt idx="4187">
                  <c:v>10</c:v>
                </c:pt>
                <c:pt idx="4188">
                  <c:v>10</c:v>
                </c:pt>
                <c:pt idx="4189">
                  <c:v>10</c:v>
                </c:pt>
                <c:pt idx="4190">
                  <c:v>10</c:v>
                </c:pt>
                <c:pt idx="4191">
                  <c:v>10</c:v>
                </c:pt>
                <c:pt idx="4192">
                  <c:v>10</c:v>
                </c:pt>
                <c:pt idx="4193">
                  <c:v>10</c:v>
                </c:pt>
                <c:pt idx="4194">
                  <c:v>10</c:v>
                </c:pt>
                <c:pt idx="4195">
                  <c:v>10</c:v>
                </c:pt>
                <c:pt idx="4196">
                  <c:v>10</c:v>
                </c:pt>
                <c:pt idx="4197">
                  <c:v>10</c:v>
                </c:pt>
                <c:pt idx="4198">
                  <c:v>10</c:v>
                </c:pt>
                <c:pt idx="4199">
                  <c:v>10</c:v>
                </c:pt>
                <c:pt idx="4200">
                  <c:v>10</c:v>
                </c:pt>
                <c:pt idx="4201">
                  <c:v>10</c:v>
                </c:pt>
                <c:pt idx="6191">
                  <c:v>11</c:v>
                </c:pt>
                <c:pt idx="6192">
                  <c:v>11</c:v>
                </c:pt>
                <c:pt idx="6193">
                  <c:v>11</c:v>
                </c:pt>
                <c:pt idx="6194">
                  <c:v>11</c:v>
                </c:pt>
                <c:pt idx="6195">
                  <c:v>11</c:v>
                </c:pt>
                <c:pt idx="619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FF-414C-AE11-397EDF516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38927"/>
        <c:axId val="971641839"/>
      </c:scatterChart>
      <c:valAx>
        <c:axId val="971638927"/>
        <c:scaling>
          <c:orientation val="minMax"/>
          <c:max val="76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41839"/>
        <c:crosses val="autoZero"/>
        <c:crossBetween val="midCat"/>
        <c:majorUnit val="1000"/>
      </c:valAx>
      <c:valAx>
        <c:axId val="97164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3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915026991182532E-2"/>
          <c:y val="0.76603510292753441"/>
          <c:w val="0.8966966108192681"/>
          <c:h val="0.224374964840061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1_76_LE_MALE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transpose!$AW$1</c:f>
              <c:strCache>
                <c:ptCount val="1"/>
                <c:pt idx="0">
                  <c:v>ÁLL_röviden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transpose!$AW$2:$AW$7653</c:f>
              <c:numCache>
                <c:formatCode>General</c:formatCode>
                <c:ptCount val="7652"/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674">
                  <c:v>3</c:v>
                </c:pt>
                <c:pt idx="3230">
                  <c:v>4</c:v>
                </c:pt>
                <c:pt idx="3231">
                  <c:v>4</c:v>
                </c:pt>
                <c:pt idx="3232">
                  <c:v>4</c:v>
                </c:pt>
                <c:pt idx="3280">
                  <c:v>5</c:v>
                </c:pt>
                <c:pt idx="3281">
                  <c:v>5</c:v>
                </c:pt>
                <c:pt idx="3365">
                  <c:v>6</c:v>
                </c:pt>
                <c:pt idx="3366">
                  <c:v>6</c:v>
                </c:pt>
                <c:pt idx="3367">
                  <c:v>6</c:v>
                </c:pt>
                <c:pt idx="3441">
                  <c:v>7</c:v>
                </c:pt>
                <c:pt idx="3659">
                  <c:v>8</c:v>
                </c:pt>
                <c:pt idx="3660">
                  <c:v>8</c:v>
                </c:pt>
                <c:pt idx="3803">
                  <c:v>9</c:v>
                </c:pt>
                <c:pt idx="3804">
                  <c:v>9</c:v>
                </c:pt>
                <c:pt idx="3944">
                  <c:v>10</c:v>
                </c:pt>
                <c:pt idx="4082">
                  <c:v>11</c:v>
                </c:pt>
                <c:pt idx="4153">
                  <c:v>12</c:v>
                </c:pt>
                <c:pt idx="4327">
                  <c:v>13</c:v>
                </c:pt>
                <c:pt idx="5141">
                  <c:v>14</c:v>
                </c:pt>
                <c:pt idx="5373">
                  <c:v>15</c:v>
                </c:pt>
                <c:pt idx="5424">
                  <c:v>16</c:v>
                </c:pt>
                <c:pt idx="5425">
                  <c:v>16</c:v>
                </c:pt>
                <c:pt idx="5426">
                  <c:v>16</c:v>
                </c:pt>
                <c:pt idx="5427">
                  <c:v>16</c:v>
                </c:pt>
                <c:pt idx="5428">
                  <c:v>16</c:v>
                </c:pt>
                <c:pt idx="5429">
                  <c:v>16</c:v>
                </c:pt>
                <c:pt idx="5430">
                  <c:v>16</c:v>
                </c:pt>
                <c:pt idx="5431">
                  <c:v>16</c:v>
                </c:pt>
                <c:pt idx="5432">
                  <c:v>16</c:v>
                </c:pt>
                <c:pt idx="5433">
                  <c:v>16</c:v>
                </c:pt>
                <c:pt idx="5562">
                  <c:v>17</c:v>
                </c:pt>
                <c:pt idx="5754">
                  <c:v>18</c:v>
                </c:pt>
                <c:pt idx="5755">
                  <c:v>18</c:v>
                </c:pt>
                <c:pt idx="5756">
                  <c:v>18</c:v>
                </c:pt>
                <c:pt idx="5757">
                  <c:v>18</c:v>
                </c:pt>
                <c:pt idx="5758">
                  <c:v>18</c:v>
                </c:pt>
                <c:pt idx="5894">
                  <c:v>19</c:v>
                </c:pt>
                <c:pt idx="5895">
                  <c:v>19</c:v>
                </c:pt>
                <c:pt idx="5896">
                  <c:v>19</c:v>
                </c:pt>
                <c:pt idx="5897">
                  <c:v>19</c:v>
                </c:pt>
                <c:pt idx="5898">
                  <c:v>19</c:v>
                </c:pt>
                <c:pt idx="5899">
                  <c:v>19</c:v>
                </c:pt>
                <c:pt idx="5900">
                  <c:v>19</c:v>
                </c:pt>
                <c:pt idx="5901">
                  <c:v>19</c:v>
                </c:pt>
                <c:pt idx="6144">
                  <c:v>20</c:v>
                </c:pt>
                <c:pt idx="6145">
                  <c:v>20</c:v>
                </c:pt>
                <c:pt idx="6146">
                  <c:v>20</c:v>
                </c:pt>
                <c:pt idx="6147">
                  <c:v>20</c:v>
                </c:pt>
                <c:pt idx="6231">
                  <c:v>21</c:v>
                </c:pt>
                <c:pt idx="6232">
                  <c:v>21</c:v>
                </c:pt>
                <c:pt idx="6409">
                  <c:v>22</c:v>
                </c:pt>
                <c:pt idx="6493">
                  <c:v>23</c:v>
                </c:pt>
                <c:pt idx="6718">
                  <c:v>24</c:v>
                </c:pt>
                <c:pt idx="6978">
                  <c:v>25</c:v>
                </c:pt>
                <c:pt idx="6979">
                  <c:v>25</c:v>
                </c:pt>
                <c:pt idx="6980">
                  <c:v>25</c:v>
                </c:pt>
                <c:pt idx="7303">
                  <c:v>26</c:v>
                </c:pt>
                <c:pt idx="7465">
                  <c:v>27</c:v>
                </c:pt>
                <c:pt idx="7466">
                  <c:v>27</c:v>
                </c:pt>
                <c:pt idx="7467">
                  <c:v>27</c:v>
                </c:pt>
                <c:pt idx="7468">
                  <c:v>27</c:v>
                </c:pt>
                <c:pt idx="7469">
                  <c:v>27</c:v>
                </c:pt>
                <c:pt idx="7470">
                  <c:v>27</c:v>
                </c:pt>
                <c:pt idx="7471">
                  <c:v>27</c:v>
                </c:pt>
                <c:pt idx="7497">
                  <c:v>28</c:v>
                </c:pt>
                <c:pt idx="7498">
                  <c:v>28</c:v>
                </c:pt>
                <c:pt idx="7499">
                  <c:v>28</c:v>
                </c:pt>
                <c:pt idx="7500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6-4C75-BFBE-F132244D9FDF}"/>
            </c:ext>
          </c:extLst>
        </c:ser>
        <c:ser>
          <c:idx val="2"/>
          <c:order val="2"/>
          <c:tx>
            <c:strRef>
              <c:f>transpose!$AT$1</c:f>
              <c:strCache>
                <c:ptCount val="1"/>
                <c:pt idx="0">
                  <c:v>pihen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transpose!$AT$2:$AT$7653</c:f>
              <c:numCache>
                <c:formatCode>General</c:formatCode>
                <c:ptCount val="7652"/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</c:v>
                </c:pt>
                <c:pt idx="1155">
                  <c:v>4</c:v>
                </c:pt>
                <c:pt idx="1156">
                  <c:v>4</c:v>
                </c:pt>
                <c:pt idx="1157">
                  <c:v>4</c:v>
                </c:pt>
                <c:pt idx="1158">
                  <c:v>4</c:v>
                </c:pt>
                <c:pt idx="1159">
                  <c:v>4</c:v>
                </c:pt>
                <c:pt idx="1160">
                  <c:v>4</c:v>
                </c:pt>
                <c:pt idx="1161">
                  <c:v>4</c:v>
                </c:pt>
                <c:pt idx="1162">
                  <c:v>4</c:v>
                </c:pt>
                <c:pt idx="1163">
                  <c:v>4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4</c:v>
                </c:pt>
                <c:pt idx="1170">
                  <c:v>4</c:v>
                </c:pt>
                <c:pt idx="1171">
                  <c:v>4</c:v>
                </c:pt>
                <c:pt idx="1172">
                  <c:v>4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4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4</c:v>
                </c:pt>
                <c:pt idx="1181">
                  <c:v>4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659">
                  <c:v>5</c:v>
                </c:pt>
                <c:pt idx="1660">
                  <c:v>5</c:v>
                </c:pt>
                <c:pt idx="1661">
                  <c:v>5</c:v>
                </c:pt>
                <c:pt idx="1662">
                  <c:v>5</c:v>
                </c:pt>
                <c:pt idx="1663">
                  <c:v>5</c:v>
                </c:pt>
                <c:pt idx="1664">
                  <c:v>5</c:v>
                </c:pt>
                <c:pt idx="1665">
                  <c:v>5</c:v>
                </c:pt>
                <c:pt idx="1666">
                  <c:v>5</c:v>
                </c:pt>
                <c:pt idx="1667">
                  <c:v>5</c:v>
                </c:pt>
                <c:pt idx="1668">
                  <c:v>5</c:v>
                </c:pt>
                <c:pt idx="1669">
                  <c:v>5</c:v>
                </c:pt>
                <c:pt idx="1670">
                  <c:v>5</c:v>
                </c:pt>
                <c:pt idx="1671">
                  <c:v>5</c:v>
                </c:pt>
                <c:pt idx="1672">
                  <c:v>5</c:v>
                </c:pt>
                <c:pt idx="1673">
                  <c:v>5</c:v>
                </c:pt>
                <c:pt idx="1674">
                  <c:v>5</c:v>
                </c:pt>
                <c:pt idx="1675">
                  <c:v>5</c:v>
                </c:pt>
                <c:pt idx="1676">
                  <c:v>5</c:v>
                </c:pt>
                <c:pt idx="1677">
                  <c:v>5</c:v>
                </c:pt>
                <c:pt idx="1678">
                  <c:v>5</c:v>
                </c:pt>
                <c:pt idx="1679">
                  <c:v>5</c:v>
                </c:pt>
                <c:pt idx="1680">
                  <c:v>5</c:v>
                </c:pt>
                <c:pt idx="1681">
                  <c:v>5</c:v>
                </c:pt>
                <c:pt idx="1682">
                  <c:v>5</c:v>
                </c:pt>
                <c:pt idx="1683">
                  <c:v>5</c:v>
                </c:pt>
                <c:pt idx="1684">
                  <c:v>5</c:v>
                </c:pt>
                <c:pt idx="1685">
                  <c:v>5</c:v>
                </c:pt>
                <c:pt idx="1686">
                  <c:v>5</c:v>
                </c:pt>
                <c:pt idx="1687">
                  <c:v>5</c:v>
                </c:pt>
                <c:pt idx="1688">
                  <c:v>5</c:v>
                </c:pt>
                <c:pt idx="1689">
                  <c:v>5</c:v>
                </c:pt>
                <c:pt idx="1690">
                  <c:v>5</c:v>
                </c:pt>
                <c:pt idx="1691">
                  <c:v>5</c:v>
                </c:pt>
                <c:pt idx="1692">
                  <c:v>5</c:v>
                </c:pt>
                <c:pt idx="1693">
                  <c:v>5</c:v>
                </c:pt>
                <c:pt idx="1694">
                  <c:v>5</c:v>
                </c:pt>
                <c:pt idx="1695">
                  <c:v>5</c:v>
                </c:pt>
                <c:pt idx="1696">
                  <c:v>5</c:v>
                </c:pt>
                <c:pt idx="1697">
                  <c:v>5</c:v>
                </c:pt>
                <c:pt idx="1698">
                  <c:v>5</c:v>
                </c:pt>
                <c:pt idx="1699">
                  <c:v>5</c:v>
                </c:pt>
                <c:pt idx="1700">
                  <c:v>5</c:v>
                </c:pt>
                <c:pt idx="1701">
                  <c:v>5</c:v>
                </c:pt>
                <c:pt idx="1702">
                  <c:v>5</c:v>
                </c:pt>
                <c:pt idx="1703">
                  <c:v>5</c:v>
                </c:pt>
                <c:pt idx="1704">
                  <c:v>5</c:v>
                </c:pt>
                <c:pt idx="1705">
                  <c:v>5</c:v>
                </c:pt>
                <c:pt idx="1706">
                  <c:v>5</c:v>
                </c:pt>
                <c:pt idx="1707">
                  <c:v>5</c:v>
                </c:pt>
                <c:pt idx="1708">
                  <c:v>5</c:v>
                </c:pt>
                <c:pt idx="1709">
                  <c:v>5</c:v>
                </c:pt>
                <c:pt idx="1710">
                  <c:v>5</c:v>
                </c:pt>
                <c:pt idx="1711">
                  <c:v>5</c:v>
                </c:pt>
                <c:pt idx="1712">
                  <c:v>5</c:v>
                </c:pt>
                <c:pt idx="1713">
                  <c:v>5</c:v>
                </c:pt>
                <c:pt idx="1714">
                  <c:v>5</c:v>
                </c:pt>
                <c:pt idx="1715">
                  <c:v>5</c:v>
                </c:pt>
                <c:pt idx="1716">
                  <c:v>5</c:v>
                </c:pt>
                <c:pt idx="1717">
                  <c:v>5</c:v>
                </c:pt>
                <c:pt idx="1718">
                  <c:v>5</c:v>
                </c:pt>
                <c:pt idx="1719">
                  <c:v>5</c:v>
                </c:pt>
                <c:pt idx="1720">
                  <c:v>5</c:v>
                </c:pt>
                <c:pt idx="1721">
                  <c:v>5</c:v>
                </c:pt>
                <c:pt idx="1722">
                  <c:v>5</c:v>
                </c:pt>
                <c:pt idx="1723">
                  <c:v>5</c:v>
                </c:pt>
                <c:pt idx="1724">
                  <c:v>5</c:v>
                </c:pt>
                <c:pt idx="1725">
                  <c:v>5</c:v>
                </c:pt>
                <c:pt idx="1726">
                  <c:v>5</c:v>
                </c:pt>
                <c:pt idx="1727">
                  <c:v>5</c:v>
                </c:pt>
                <c:pt idx="1728">
                  <c:v>5</c:v>
                </c:pt>
                <c:pt idx="1729">
                  <c:v>5</c:v>
                </c:pt>
                <c:pt idx="1730">
                  <c:v>5</c:v>
                </c:pt>
                <c:pt idx="1731">
                  <c:v>5</c:v>
                </c:pt>
                <c:pt idx="1732">
                  <c:v>5</c:v>
                </c:pt>
                <c:pt idx="1733">
                  <c:v>5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5</c:v>
                </c:pt>
                <c:pt idx="1780">
                  <c:v>5</c:v>
                </c:pt>
                <c:pt idx="1781">
                  <c:v>5</c:v>
                </c:pt>
                <c:pt idx="1782">
                  <c:v>5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5</c:v>
                </c:pt>
                <c:pt idx="1787">
                  <c:v>5</c:v>
                </c:pt>
                <c:pt idx="1788">
                  <c:v>5</c:v>
                </c:pt>
                <c:pt idx="1789">
                  <c:v>5</c:v>
                </c:pt>
                <c:pt idx="1790">
                  <c:v>5</c:v>
                </c:pt>
                <c:pt idx="1791">
                  <c:v>5</c:v>
                </c:pt>
                <c:pt idx="1792">
                  <c:v>5</c:v>
                </c:pt>
                <c:pt idx="1793">
                  <c:v>5</c:v>
                </c:pt>
                <c:pt idx="1794">
                  <c:v>5</c:v>
                </c:pt>
                <c:pt idx="1795">
                  <c:v>5</c:v>
                </c:pt>
                <c:pt idx="1796">
                  <c:v>5</c:v>
                </c:pt>
                <c:pt idx="1797">
                  <c:v>5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5</c:v>
                </c:pt>
                <c:pt idx="1802">
                  <c:v>5</c:v>
                </c:pt>
                <c:pt idx="1803">
                  <c:v>5</c:v>
                </c:pt>
                <c:pt idx="1804">
                  <c:v>5</c:v>
                </c:pt>
                <c:pt idx="1805">
                  <c:v>5</c:v>
                </c:pt>
                <c:pt idx="1806">
                  <c:v>5</c:v>
                </c:pt>
                <c:pt idx="1807">
                  <c:v>5</c:v>
                </c:pt>
                <c:pt idx="1808">
                  <c:v>5</c:v>
                </c:pt>
                <c:pt idx="1809">
                  <c:v>5</c:v>
                </c:pt>
                <c:pt idx="1810">
                  <c:v>5</c:v>
                </c:pt>
                <c:pt idx="1811">
                  <c:v>5</c:v>
                </c:pt>
                <c:pt idx="1812">
                  <c:v>5</c:v>
                </c:pt>
                <c:pt idx="1813">
                  <c:v>5</c:v>
                </c:pt>
                <c:pt idx="1814">
                  <c:v>5</c:v>
                </c:pt>
                <c:pt idx="1815">
                  <c:v>5</c:v>
                </c:pt>
                <c:pt idx="1816">
                  <c:v>5</c:v>
                </c:pt>
                <c:pt idx="1817">
                  <c:v>5</c:v>
                </c:pt>
                <c:pt idx="1818">
                  <c:v>5</c:v>
                </c:pt>
                <c:pt idx="2241">
                  <c:v>6</c:v>
                </c:pt>
                <c:pt idx="2242">
                  <c:v>6</c:v>
                </c:pt>
                <c:pt idx="2243">
                  <c:v>6</c:v>
                </c:pt>
                <c:pt idx="2244">
                  <c:v>6</c:v>
                </c:pt>
                <c:pt idx="2245">
                  <c:v>6</c:v>
                </c:pt>
                <c:pt idx="2246">
                  <c:v>6</c:v>
                </c:pt>
                <c:pt idx="2247">
                  <c:v>6</c:v>
                </c:pt>
                <c:pt idx="2248">
                  <c:v>6</c:v>
                </c:pt>
                <c:pt idx="2249">
                  <c:v>6</c:v>
                </c:pt>
                <c:pt idx="2250">
                  <c:v>6</c:v>
                </c:pt>
                <c:pt idx="2251">
                  <c:v>6</c:v>
                </c:pt>
                <c:pt idx="2252">
                  <c:v>6</c:v>
                </c:pt>
                <c:pt idx="2253">
                  <c:v>6</c:v>
                </c:pt>
                <c:pt idx="2254">
                  <c:v>6</c:v>
                </c:pt>
                <c:pt idx="2255">
                  <c:v>6</c:v>
                </c:pt>
                <c:pt idx="2256">
                  <c:v>6</c:v>
                </c:pt>
                <c:pt idx="2257">
                  <c:v>6</c:v>
                </c:pt>
                <c:pt idx="2258">
                  <c:v>6</c:v>
                </c:pt>
                <c:pt idx="2259">
                  <c:v>6</c:v>
                </c:pt>
                <c:pt idx="2260">
                  <c:v>6</c:v>
                </c:pt>
                <c:pt idx="2782">
                  <c:v>7</c:v>
                </c:pt>
                <c:pt idx="2783">
                  <c:v>7</c:v>
                </c:pt>
                <c:pt idx="2784">
                  <c:v>7</c:v>
                </c:pt>
                <c:pt idx="2785">
                  <c:v>7</c:v>
                </c:pt>
                <c:pt idx="2786">
                  <c:v>7</c:v>
                </c:pt>
                <c:pt idx="2787">
                  <c:v>7</c:v>
                </c:pt>
                <c:pt idx="2788">
                  <c:v>7</c:v>
                </c:pt>
                <c:pt idx="2789">
                  <c:v>7</c:v>
                </c:pt>
                <c:pt idx="2790">
                  <c:v>7</c:v>
                </c:pt>
                <c:pt idx="2791">
                  <c:v>7</c:v>
                </c:pt>
                <c:pt idx="2792">
                  <c:v>7</c:v>
                </c:pt>
                <c:pt idx="2793">
                  <c:v>7</c:v>
                </c:pt>
                <c:pt idx="2794">
                  <c:v>7</c:v>
                </c:pt>
                <c:pt idx="2795">
                  <c:v>7</c:v>
                </c:pt>
                <c:pt idx="2796">
                  <c:v>7</c:v>
                </c:pt>
                <c:pt idx="2797">
                  <c:v>7</c:v>
                </c:pt>
                <c:pt idx="2798">
                  <c:v>7</c:v>
                </c:pt>
                <c:pt idx="2799">
                  <c:v>7</c:v>
                </c:pt>
                <c:pt idx="2800">
                  <c:v>7</c:v>
                </c:pt>
                <c:pt idx="2801">
                  <c:v>7</c:v>
                </c:pt>
                <c:pt idx="2802">
                  <c:v>7</c:v>
                </c:pt>
                <c:pt idx="2803">
                  <c:v>7</c:v>
                </c:pt>
                <c:pt idx="2804">
                  <c:v>7</c:v>
                </c:pt>
                <c:pt idx="2805">
                  <c:v>7</c:v>
                </c:pt>
                <c:pt idx="2806">
                  <c:v>7</c:v>
                </c:pt>
                <c:pt idx="2807">
                  <c:v>7</c:v>
                </c:pt>
                <c:pt idx="2808">
                  <c:v>7</c:v>
                </c:pt>
                <c:pt idx="2809">
                  <c:v>7</c:v>
                </c:pt>
                <c:pt idx="2810">
                  <c:v>7</c:v>
                </c:pt>
                <c:pt idx="2811">
                  <c:v>7</c:v>
                </c:pt>
                <c:pt idx="2812">
                  <c:v>7</c:v>
                </c:pt>
                <c:pt idx="2813">
                  <c:v>7</c:v>
                </c:pt>
                <c:pt idx="2814">
                  <c:v>7</c:v>
                </c:pt>
                <c:pt idx="2815">
                  <c:v>7</c:v>
                </c:pt>
                <c:pt idx="2816">
                  <c:v>7</c:v>
                </c:pt>
                <c:pt idx="2817">
                  <c:v>7</c:v>
                </c:pt>
                <c:pt idx="2818">
                  <c:v>7</c:v>
                </c:pt>
                <c:pt idx="2819">
                  <c:v>7</c:v>
                </c:pt>
                <c:pt idx="2820">
                  <c:v>7</c:v>
                </c:pt>
                <c:pt idx="2821">
                  <c:v>7</c:v>
                </c:pt>
                <c:pt idx="2822">
                  <c:v>7</c:v>
                </c:pt>
                <c:pt idx="2823">
                  <c:v>7</c:v>
                </c:pt>
                <c:pt idx="2824">
                  <c:v>7</c:v>
                </c:pt>
                <c:pt idx="2825">
                  <c:v>7</c:v>
                </c:pt>
                <c:pt idx="2826">
                  <c:v>7</c:v>
                </c:pt>
                <c:pt idx="2827">
                  <c:v>7</c:v>
                </c:pt>
                <c:pt idx="2828">
                  <c:v>7</c:v>
                </c:pt>
                <c:pt idx="2829">
                  <c:v>7</c:v>
                </c:pt>
                <c:pt idx="2830">
                  <c:v>7</c:v>
                </c:pt>
                <c:pt idx="2831">
                  <c:v>7</c:v>
                </c:pt>
                <c:pt idx="2832">
                  <c:v>7</c:v>
                </c:pt>
                <c:pt idx="2833">
                  <c:v>7</c:v>
                </c:pt>
                <c:pt idx="2834">
                  <c:v>7</c:v>
                </c:pt>
                <c:pt idx="2835">
                  <c:v>7</c:v>
                </c:pt>
                <c:pt idx="2836">
                  <c:v>7</c:v>
                </c:pt>
                <c:pt idx="2837">
                  <c:v>7</c:v>
                </c:pt>
                <c:pt idx="2838">
                  <c:v>7</c:v>
                </c:pt>
                <c:pt idx="2839">
                  <c:v>7</c:v>
                </c:pt>
                <c:pt idx="2840">
                  <c:v>7</c:v>
                </c:pt>
                <c:pt idx="2841">
                  <c:v>7</c:v>
                </c:pt>
                <c:pt idx="2842">
                  <c:v>7</c:v>
                </c:pt>
                <c:pt idx="2843">
                  <c:v>7</c:v>
                </c:pt>
                <c:pt idx="2844">
                  <c:v>7</c:v>
                </c:pt>
                <c:pt idx="2845">
                  <c:v>7</c:v>
                </c:pt>
                <c:pt idx="2846">
                  <c:v>7</c:v>
                </c:pt>
                <c:pt idx="2847">
                  <c:v>7</c:v>
                </c:pt>
                <c:pt idx="2848">
                  <c:v>7</c:v>
                </c:pt>
                <c:pt idx="2849">
                  <c:v>7</c:v>
                </c:pt>
                <c:pt idx="2850">
                  <c:v>7</c:v>
                </c:pt>
                <c:pt idx="2851">
                  <c:v>7</c:v>
                </c:pt>
                <c:pt idx="2852">
                  <c:v>7</c:v>
                </c:pt>
                <c:pt idx="2853">
                  <c:v>7</c:v>
                </c:pt>
                <c:pt idx="2854">
                  <c:v>7</c:v>
                </c:pt>
                <c:pt idx="2855">
                  <c:v>7</c:v>
                </c:pt>
                <c:pt idx="2856">
                  <c:v>7</c:v>
                </c:pt>
                <c:pt idx="2857">
                  <c:v>7</c:v>
                </c:pt>
                <c:pt idx="2858">
                  <c:v>7</c:v>
                </c:pt>
                <c:pt idx="2859">
                  <c:v>7</c:v>
                </c:pt>
                <c:pt idx="2860">
                  <c:v>7</c:v>
                </c:pt>
                <c:pt idx="2861">
                  <c:v>7</c:v>
                </c:pt>
                <c:pt idx="2869">
                  <c:v>8</c:v>
                </c:pt>
                <c:pt idx="2870">
                  <c:v>8</c:v>
                </c:pt>
                <c:pt idx="2871">
                  <c:v>8</c:v>
                </c:pt>
                <c:pt idx="2872">
                  <c:v>8</c:v>
                </c:pt>
                <c:pt idx="2873">
                  <c:v>8</c:v>
                </c:pt>
                <c:pt idx="2874">
                  <c:v>8</c:v>
                </c:pt>
                <c:pt idx="2875">
                  <c:v>8</c:v>
                </c:pt>
                <c:pt idx="2876">
                  <c:v>8</c:v>
                </c:pt>
                <c:pt idx="2877">
                  <c:v>8</c:v>
                </c:pt>
                <c:pt idx="2878">
                  <c:v>8</c:v>
                </c:pt>
                <c:pt idx="2879">
                  <c:v>8</c:v>
                </c:pt>
                <c:pt idx="2880">
                  <c:v>8</c:v>
                </c:pt>
                <c:pt idx="2881">
                  <c:v>8</c:v>
                </c:pt>
                <c:pt idx="2882">
                  <c:v>8</c:v>
                </c:pt>
                <c:pt idx="2883">
                  <c:v>8</c:v>
                </c:pt>
                <c:pt idx="2884">
                  <c:v>8</c:v>
                </c:pt>
                <c:pt idx="2885">
                  <c:v>8</c:v>
                </c:pt>
                <c:pt idx="2886">
                  <c:v>8</c:v>
                </c:pt>
                <c:pt idx="3778">
                  <c:v>9</c:v>
                </c:pt>
                <c:pt idx="3779">
                  <c:v>9</c:v>
                </c:pt>
                <c:pt idx="3780">
                  <c:v>9</c:v>
                </c:pt>
                <c:pt idx="3781">
                  <c:v>9</c:v>
                </c:pt>
                <c:pt idx="3782">
                  <c:v>9</c:v>
                </c:pt>
                <c:pt idx="3783">
                  <c:v>9</c:v>
                </c:pt>
                <c:pt idx="3784">
                  <c:v>9</c:v>
                </c:pt>
                <c:pt idx="3785">
                  <c:v>9</c:v>
                </c:pt>
                <c:pt idx="3786">
                  <c:v>9</c:v>
                </c:pt>
                <c:pt idx="3787">
                  <c:v>9</c:v>
                </c:pt>
                <c:pt idx="3788">
                  <c:v>9</c:v>
                </c:pt>
                <c:pt idx="4518">
                  <c:v>10</c:v>
                </c:pt>
                <c:pt idx="4519">
                  <c:v>10</c:v>
                </c:pt>
                <c:pt idx="4520">
                  <c:v>10</c:v>
                </c:pt>
                <c:pt idx="4521">
                  <c:v>10</c:v>
                </c:pt>
                <c:pt idx="4522">
                  <c:v>10</c:v>
                </c:pt>
                <c:pt idx="4523">
                  <c:v>10</c:v>
                </c:pt>
                <c:pt idx="4524">
                  <c:v>10</c:v>
                </c:pt>
                <c:pt idx="4525">
                  <c:v>10</c:v>
                </c:pt>
                <c:pt idx="4526">
                  <c:v>10</c:v>
                </c:pt>
                <c:pt idx="4527">
                  <c:v>10</c:v>
                </c:pt>
                <c:pt idx="4528">
                  <c:v>10</c:v>
                </c:pt>
                <c:pt idx="4529">
                  <c:v>10</c:v>
                </c:pt>
                <c:pt idx="4530">
                  <c:v>10</c:v>
                </c:pt>
                <c:pt idx="4531">
                  <c:v>10</c:v>
                </c:pt>
                <c:pt idx="4532">
                  <c:v>10</c:v>
                </c:pt>
                <c:pt idx="4533">
                  <c:v>10</c:v>
                </c:pt>
                <c:pt idx="4534">
                  <c:v>10</c:v>
                </c:pt>
                <c:pt idx="4535">
                  <c:v>10</c:v>
                </c:pt>
                <c:pt idx="4536">
                  <c:v>10</c:v>
                </c:pt>
                <c:pt idx="4537">
                  <c:v>10</c:v>
                </c:pt>
                <c:pt idx="4538">
                  <c:v>10</c:v>
                </c:pt>
                <c:pt idx="4539">
                  <c:v>10</c:v>
                </c:pt>
                <c:pt idx="4540">
                  <c:v>10</c:v>
                </c:pt>
                <c:pt idx="4553">
                  <c:v>11</c:v>
                </c:pt>
                <c:pt idx="4554">
                  <c:v>11</c:v>
                </c:pt>
                <c:pt idx="4555">
                  <c:v>11</c:v>
                </c:pt>
                <c:pt idx="4556">
                  <c:v>11</c:v>
                </c:pt>
                <c:pt idx="4557">
                  <c:v>11</c:v>
                </c:pt>
                <c:pt idx="4558">
                  <c:v>11</c:v>
                </c:pt>
                <c:pt idx="4559">
                  <c:v>11</c:v>
                </c:pt>
                <c:pt idx="4560">
                  <c:v>11</c:v>
                </c:pt>
                <c:pt idx="4561">
                  <c:v>11</c:v>
                </c:pt>
                <c:pt idx="4562">
                  <c:v>11</c:v>
                </c:pt>
                <c:pt idx="4563">
                  <c:v>11</c:v>
                </c:pt>
                <c:pt idx="4564">
                  <c:v>11</c:v>
                </c:pt>
                <c:pt idx="4565">
                  <c:v>11</c:v>
                </c:pt>
                <c:pt idx="4566">
                  <c:v>11</c:v>
                </c:pt>
                <c:pt idx="4567">
                  <c:v>11</c:v>
                </c:pt>
                <c:pt idx="4568">
                  <c:v>11</c:v>
                </c:pt>
                <c:pt idx="4569">
                  <c:v>11</c:v>
                </c:pt>
                <c:pt idx="4570">
                  <c:v>11</c:v>
                </c:pt>
                <c:pt idx="4571">
                  <c:v>11</c:v>
                </c:pt>
                <c:pt idx="4572">
                  <c:v>11</c:v>
                </c:pt>
                <c:pt idx="4573">
                  <c:v>11</c:v>
                </c:pt>
                <c:pt idx="4574">
                  <c:v>11</c:v>
                </c:pt>
                <c:pt idx="4575">
                  <c:v>11</c:v>
                </c:pt>
                <c:pt idx="4576">
                  <c:v>11</c:v>
                </c:pt>
                <c:pt idx="4577">
                  <c:v>11</c:v>
                </c:pt>
                <c:pt idx="4578">
                  <c:v>11</c:v>
                </c:pt>
                <c:pt idx="4579">
                  <c:v>11</c:v>
                </c:pt>
                <c:pt idx="4580">
                  <c:v>11</c:v>
                </c:pt>
                <c:pt idx="4581">
                  <c:v>11</c:v>
                </c:pt>
                <c:pt idx="4582">
                  <c:v>11</c:v>
                </c:pt>
                <c:pt idx="4583">
                  <c:v>11</c:v>
                </c:pt>
                <c:pt idx="4584">
                  <c:v>11</c:v>
                </c:pt>
                <c:pt idx="4585">
                  <c:v>11</c:v>
                </c:pt>
                <c:pt idx="4586">
                  <c:v>11</c:v>
                </c:pt>
                <c:pt idx="4587">
                  <c:v>11</c:v>
                </c:pt>
                <c:pt idx="4588">
                  <c:v>11</c:v>
                </c:pt>
                <c:pt idx="4589">
                  <c:v>11</c:v>
                </c:pt>
                <c:pt idx="4590">
                  <c:v>11</c:v>
                </c:pt>
                <c:pt idx="4591">
                  <c:v>11</c:v>
                </c:pt>
                <c:pt idx="4592">
                  <c:v>11</c:v>
                </c:pt>
                <c:pt idx="4593">
                  <c:v>11</c:v>
                </c:pt>
                <c:pt idx="4594">
                  <c:v>11</c:v>
                </c:pt>
                <c:pt idx="4595">
                  <c:v>11</c:v>
                </c:pt>
                <c:pt idx="4596">
                  <c:v>11</c:v>
                </c:pt>
                <c:pt idx="4597">
                  <c:v>11</c:v>
                </c:pt>
                <c:pt idx="4598">
                  <c:v>11</c:v>
                </c:pt>
                <c:pt idx="4599">
                  <c:v>11</c:v>
                </c:pt>
                <c:pt idx="4600">
                  <c:v>11</c:v>
                </c:pt>
                <c:pt idx="4601">
                  <c:v>11</c:v>
                </c:pt>
                <c:pt idx="4602">
                  <c:v>11</c:v>
                </c:pt>
                <c:pt idx="4603">
                  <c:v>11</c:v>
                </c:pt>
                <c:pt idx="4604">
                  <c:v>11</c:v>
                </c:pt>
                <c:pt idx="4605">
                  <c:v>11</c:v>
                </c:pt>
                <c:pt idx="4606">
                  <c:v>11</c:v>
                </c:pt>
                <c:pt idx="4607">
                  <c:v>11</c:v>
                </c:pt>
                <c:pt idx="4608">
                  <c:v>11</c:v>
                </c:pt>
                <c:pt idx="4609">
                  <c:v>11</c:v>
                </c:pt>
                <c:pt idx="4610">
                  <c:v>11</c:v>
                </c:pt>
                <c:pt idx="4611">
                  <c:v>11</c:v>
                </c:pt>
                <c:pt idx="4612">
                  <c:v>11</c:v>
                </c:pt>
                <c:pt idx="4613">
                  <c:v>11</c:v>
                </c:pt>
                <c:pt idx="4614">
                  <c:v>11</c:v>
                </c:pt>
                <c:pt idx="4615">
                  <c:v>11</c:v>
                </c:pt>
                <c:pt idx="4616">
                  <c:v>11</c:v>
                </c:pt>
                <c:pt idx="4617">
                  <c:v>11</c:v>
                </c:pt>
                <c:pt idx="5036">
                  <c:v>12</c:v>
                </c:pt>
                <c:pt idx="5037">
                  <c:v>12</c:v>
                </c:pt>
                <c:pt idx="5038">
                  <c:v>12</c:v>
                </c:pt>
                <c:pt idx="5039">
                  <c:v>12</c:v>
                </c:pt>
                <c:pt idx="5040">
                  <c:v>12</c:v>
                </c:pt>
                <c:pt idx="5041">
                  <c:v>12</c:v>
                </c:pt>
                <c:pt idx="5042">
                  <c:v>12</c:v>
                </c:pt>
                <c:pt idx="5043">
                  <c:v>12</c:v>
                </c:pt>
                <c:pt idx="5044">
                  <c:v>12</c:v>
                </c:pt>
                <c:pt idx="5045">
                  <c:v>12</c:v>
                </c:pt>
                <c:pt idx="5046">
                  <c:v>12</c:v>
                </c:pt>
                <c:pt idx="5047">
                  <c:v>12</c:v>
                </c:pt>
                <c:pt idx="5048">
                  <c:v>12</c:v>
                </c:pt>
                <c:pt idx="5049">
                  <c:v>12</c:v>
                </c:pt>
                <c:pt idx="5050">
                  <c:v>12</c:v>
                </c:pt>
                <c:pt idx="5051">
                  <c:v>12</c:v>
                </c:pt>
                <c:pt idx="5052">
                  <c:v>12</c:v>
                </c:pt>
                <c:pt idx="5053">
                  <c:v>12</c:v>
                </c:pt>
                <c:pt idx="5054">
                  <c:v>12</c:v>
                </c:pt>
                <c:pt idx="5055">
                  <c:v>12</c:v>
                </c:pt>
                <c:pt idx="5056">
                  <c:v>12</c:v>
                </c:pt>
                <c:pt idx="5057">
                  <c:v>12</c:v>
                </c:pt>
                <c:pt idx="5058">
                  <c:v>12</c:v>
                </c:pt>
                <c:pt idx="5059">
                  <c:v>12</c:v>
                </c:pt>
                <c:pt idx="5060">
                  <c:v>12</c:v>
                </c:pt>
                <c:pt idx="5224">
                  <c:v>13</c:v>
                </c:pt>
                <c:pt idx="5225">
                  <c:v>13</c:v>
                </c:pt>
                <c:pt idx="5226">
                  <c:v>13</c:v>
                </c:pt>
                <c:pt idx="5227">
                  <c:v>13</c:v>
                </c:pt>
                <c:pt idx="5228">
                  <c:v>13</c:v>
                </c:pt>
                <c:pt idx="5229">
                  <c:v>13</c:v>
                </c:pt>
                <c:pt idx="5230">
                  <c:v>13</c:v>
                </c:pt>
                <c:pt idx="5231">
                  <c:v>13</c:v>
                </c:pt>
                <c:pt idx="5232">
                  <c:v>13</c:v>
                </c:pt>
                <c:pt idx="5233">
                  <c:v>13</c:v>
                </c:pt>
                <c:pt idx="5234">
                  <c:v>13</c:v>
                </c:pt>
                <c:pt idx="5235">
                  <c:v>13</c:v>
                </c:pt>
                <c:pt idx="5236">
                  <c:v>13</c:v>
                </c:pt>
                <c:pt idx="5237">
                  <c:v>13</c:v>
                </c:pt>
                <c:pt idx="5238">
                  <c:v>13</c:v>
                </c:pt>
                <c:pt idx="5239">
                  <c:v>13</c:v>
                </c:pt>
                <c:pt idx="5240">
                  <c:v>13</c:v>
                </c:pt>
                <c:pt idx="5241">
                  <c:v>13</c:v>
                </c:pt>
                <c:pt idx="5242">
                  <c:v>13</c:v>
                </c:pt>
                <c:pt idx="5243">
                  <c:v>13</c:v>
                </c:pt>
                <c:pt idx="5244">
                  <c:v>13</c:v>
                </c:pt>
                <c:pt idx="5245">
                  <c:v>13</c:v>
                </c:pt>
                <c:pt idx="5246">
                  <c:v>13</c:v>
                </c:pt>
                <c:pt idx="5247">
                  <c:v>13</c:v>
                </c:pt>
                <c:pt idx="5248">
                  <c:v>13</c:v>
                </c:pt>
                <c:pt idx="5249">
                  <c:v>13</c:v>
                </c:pt>
                <c:pt idx="6264">
                  <c:v>14</c:v>
                </c:pt>
                <c:pt idx="6265">
                  <c:v>14</c:v>
                </c:pt>
                <c:pt idx="6266">
                  <c:v>14</c:v>
                </c:pt>
                <c:pt idx="6267">
                  <c:v>14</c:v>
                </c:pt>
                <c:pt idx="6268">
                  <c:v>14</c:v>
                </c:pt>
                <c:pt idx="6269">
                  <c:v>14</c:v>
                </c:pt>
                <c:pt idx="6270">
                  <c:v>14</c:v>
                </c:pt>
                <c:pt idx="6271">
                  <c:v>14</c:v>
                </c:pt>
                <c:pt idx="6272">
                  <c:v>14</c:v>
                </c:pt>
                <c:pt idx="6273">
                  <c:v>14</c:v>
                </c:pt>
                <c:pt idx="6274">
                  <c:v>14</c:v>
                </c:pt>
                <c:pt idx="6275">
                  <c:v>14</c:v>
                </c:pt>
                <c:pt idx="6276">
                  <c:v>14</c:v>
                </c:pt>
                <c:pt idx="6277">
                  <c:v>14</c:v>
                </c:pt>
                <c:pt idx="6278">
                  <c:v>14</c:v>
                </c:pt>
                <c:pt idx="6279">
                  <c:v>14</c:v>
                </c:pt>
                <c:pt idx="6280">
                  <c:v>14</c:v>
                </c:pt>
                <c:pt idx="6281">
                  <c:v>14</c:v>
                </c:pt>
                <c:pt idx="6282">
                  <c:v>14</c:v>
                </c:pt>
                <c:pt idx="6283">
                  <c:v>14</c:v>
                </c:pt>
                <c:pt idx="6284">
                  <c:v>14</c:v>
                </c:pt>
                <c:pt idx="6285">
                  <c:v>14</c:v>
                </c:pt>
                <c:pt idx="6286">
                  <c:v>14</c:v>
                </c:pt>
                <c:pt idx="6287">
                  <c:v>14</c:v>
                </c:pt>
                <c:pt idx="6288">
                  <c:v>14</c:v>
                </c:pt>
                <c:pt idx="6289">
                  <c:v>14</c:v>
                </c:pt>
                <c:pt idx="6290">
                  <c:v>14</c:v>
                </c:pt>
                <c:pt idx="6291">
                  <c:v>14</c:v>
                </c:pt>
                <c:pt idx="6292">
                  <c:v>14</c:v>
                </c:pt>
                <c:pt idx="6293">
                  <c:v>14</c:v>
                </c:pt>
                <c:pt idx="6294">
                  <c:v>14</c:v>
                </c:pt>
                <c:pt idx="6295">
                  <c:v>14</c:v>
                </c:pt>
                <c:pt idx="6296">
                  <c:v>14</c:v>
                </c:pt>
                <c:pt idx="6297">
                  <c:v>14</c:v>
                </c:pt>
                <c:pt idx="6298">
                  <c:v>14</c:v>
                </c:pt>
                <c:pt idx="6299">
                  <c:v>14</c:v>
                </c:pt>
                <c:pt idx="6300">
                  <c:v>14</c:v>
                </c:pt>
                <c:pt idx="6301">
                  <c:v>14</c:v>
                </c:pt>
                <c:pt idx="6302">
                  <c:v>14</c:v>
                </c:pt>
                <c:pt idx="6303">
                  <c:v>14</c:v>
                </c:pt>
                <c:pt idx="6304">
                  <c:v>14</c:v>
                </c:pt>
                <c:pt idx="6305">
                  <c:v>14</c:v>
                </c:pt>
                <c:pt idx="6306">
                  <c:v>14</c:v>
                </c:pt>
                <c:pt idx="6307">
                  <c:v>14</c:v>
                </c:pt>
                <c:pt idx="6308">
                  <c:v>14</c:v>
                </c:pt>
                <c:pt idx="6309">
                  <c:v>14</c:v>
                </c:pt>
                <c:pt idx="6310">
                  <c:v>14</c:v>
                </c:pt>
                <c:pt idx="6311">
                  <c:v>14</c:v>
                </c:pt>
                <c:pt idx="6312">
                  <c:v>14</c:v>
                </c:pt>
                <c:pt idx="6313">
                  <c:v>14</c:v>
                </c:pt>
                <c:pt idx="6314">
                  <c:v>14</c:v>
                </c:pt>
                <c:pt idx="6315">
                  <c:v>14</c:v>
                </c:pt>
                <c:pt idx="6316">
                  <c:v>14</c:v>
                </c:pt>
                <c:pt idx="6317">
                  <c:v>14</c:v>
                </c:pt>
                <c:pt idx="6318">
                  <c:v>14</c:v>
                </c:pt>
                <c:pt idx="6319">
                  <c:v>14</c:v>
                </c:pt>
                <c:pt idx="6320">
                  <c:v>14</c:v>
                </c:pt>
                <c:pt idx="6321">
                  <c:v>14</c:v>
                </c:pt>
                <c:pt idx="6322">
                  <c:v>14</c:v>
                </c:pt>
                <c:pt idx="6323">
                  <c:v>14</c:v>
                </c:pt>
                <c:pt idx="6324">
                  <c:v>14</c:v>
                </c:pt>
                <c:pt idx="6325">
                  <c:v>14</c:v>
                </c:pt>
                <c:pt idx="6326">
                  <c:v>14</c:v>
                </c:pt>
                <c:pt idx="6327">
                  <c:v>14</c:v>
                </c:pt>
                <c:pt idx="6328">
                  <c:v>14</c:v>
                </c:pt>
                <c:pt idx="6329">
                  <c:v>14</c:v>
                </c:pt>
                <c:pt idx="6330">
                  <c:v>14</c:v>
                </c:pt>
                <c:pt idx="6331">
                  <c:v>14</c:v>
                </c:pt>
                <c:pt idx="6332">
                  <c:v>14</c:v>
                </c:pt>
                <c:pt idx="6333">
                  <c:v>14</c:v>
                </c:pt>
                <c:pt idx="6334">
                  <c:v>14</c:v>
                </c:pt>
                <c:pt idx="6335">
                  <c:v>14</c:v>
                </c:pt>
                <c:pt idx="6336">
                  <c:v>14</c:v>
                </c:pt>
                <c:pt idx="6337">
                  <c:v>14</c:v>
                </c:pt>
                <c:pt idx="6338">
                  <c:v>14</c:v>
                </c:pt>
                <c:pt idx="6339">
                  <c:v>14</c:v>
                </c:pt>
                <c:pt idx="6340">
                  <c:v>14</c:v>
                </c:pt>
                <c:pt idx="6341">
                  <c:v>14</c:v>
                </c:pt>
                <c:pt idx="6342">
                  <c:v>14</c:v>
                </c:pt>
                <c:pt idx="6343">
                  <c:v>14</c:v>
                </c:pt>
                <c:pt idx="6344">
                  <c:v>14</c:v>
                </c:pt>
                <c:pt idx="6345">
                  <c:v>14</c:v>
                </c:pt>
                <c:pt idx="6346">
                  <c:v>14</c:v>
                </c:pt>
                <c:pt idx="6347">
                  <c:v>14</c:v>
                </c:pt>
                <c:pt idx="6348">
                  <c:v>14</c:v>
                </c:pt>
                <c:pt idx="6349">
                  <c:v>14</c:v>
                </c:pt>
                <c:pt idx="6350">
                  <c:v>14</c:v>
                </c:pt>
                <c:pt idx="6351">
                  <c:v>14</c:v>
                </c:pt>
                <c:pt idx="6352">
                  <c:v>14</c:v>
                </c:pt>
                <c:pt idx="6353">
                  <c:v>14</c:v>
                </c:pt>
                <c:pt idx="6354">
                  <c:v>14</c:v>
                </c:pt>
                <c:pt idx="6355">
                  <c:v>14</c:v>
                </c:pt>
                <c:pt idx="6356">
                  <c:v>14</c:v>
                </c:pt>
                <c:pt idx="6357">
                  <c:v>14</c:v>
                </c:pt>
                <c:pt idx="6358">
                  <c:v>14</c:v>
                </c:pt>
                <c:pt idx="6359">
                  <c:v>14</c:v>
                </c:pt>
                <c:pt idx="6919">
                  <c:v>15</c:v>
                </c:pt>
                <c:pt idx="6920">
                  <c:v>15</c:v>
                </c:pt>
                <c:pt idx="6921">
                  <c:v>15</c:v>
                </c:pt>
                <c:pt idx="6922">
                  <c:v>15</c:v>
                </c:pt>
                <c:pt idx="6923">
                  <c:v>15</c:v>
                </c:pt>
                <c:pt idx="6924">
                  <c:v>15</c:v>
                </c:pt>
                <c:pt idx="6925">
                  <c:v>15</c:v>
                </c:pt>
                <c:pt idx="6926">
                  <c:v>15</c:v>
                </c:pt>
                <c:pt idx="6927">
                  <c:v>15</c:v>
                </c:pt>
                <c:pt idx="6928">
                  <c:v>15</c:v>
                </c:pt>
                <c:pt idx="6929">
                  <c:v>15</c:v>
                </c:pt>
                <c:pt idx="6930">
                  <c:v>15</c:v>
                </c:pt>
                <c:pt idx="6931">
                  <c:v>15</c:v>
                </c:pt>
                <c:pt idx="7012">
                  <c:v>16</c:v>
                </c:pt>
                <c:pt idx="7013">
                  <c:v>16</c:v>
                </c:pt>
                <c:pt idx="7014">
                  <c:v>16</c:v>
                </c:pt>
                <c:pt idx="7015">
                  <c:v>16</c:v>
                </c:pt>
                <c:pt idx="7016">
                  <c:v>16</c:v>
                </c:pt>
                <c:pt idx="7017">
                  <c:v>16</c:v>
                </c:pt>
                <c:pt idx="7018">
                  <c:v>16</c:v>
                </c:pt>
                <c:pt idx="7019">
                  <c:v>16</c:v>
                </c:pt>
                <c:pt idx="7020">
                  <c:v>16</c:v>
                </c:pt>
                <c:pt idx="7021">
                  <c:v>16</c:v>
                </c:pt>
                <c:pt idx="7022">
                  <c:v>16</c:v>
                </c:pt>
                <c:pt idx="7036">
                  <c:v>17</c:v>
                </c:pt>
                <c:pt idx="7037">
                  <c:v>17</c:v>
                </c:pt>
                <c:pt idx="7038">
                  <c:v>17</c:v>
                </c:pt>
                <c:pt idx="7039">
                  <c:v>17</c:v>
                </c:pt>
                <c:pt idx="7040">
                  <c:v>17</c:v>
                </c:pt>
                <c:pt idx="7041">
                  <c:v>17</c:v>
                </c:pt>
                <c:pt idx="7042">
                  <c:v>17</c:v>
                </c:pt>
                <c:pt idx="7043">
                  <c:v>17</c:v>
                </c:pt>
                <c:pt idx="7044">
                  <c:v>17</c:v>
                </c:pt>
                <c:pt idx="7045">
                  <c:v>17</c:v>
                </c:pt>
                <c:pt idx="704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46-4C75-BFBE-F132244D9FDF}"/>
            </c:ext>
          </c:extLst>
        </c:ser>
        <c:ser>
          <c:idx val="3"/>
          <c:order val="3"/>
          <c:tx>
            <c:strRef>
              <c:f>transpose!$AU$1</c:f>
              <c:strCache>
                <c:ptCount val="1"/>
                <c:pt idx="0">
                  <c:v>áll-figyel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transpose!$AU$2:$AU$7653</c:f>
              <c:numCache>
                <c:formatCode>General</c:formatCode>
                <c:ptCount val="7652"/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4097">
                  <c:v>4</c:v>
                </c:pt>
                <c:pt idx="4098">
                  <c:v>4</c:v>
                </c:pt>
                <c:pt idx="4099">
                  <c:v>4</c:v>
                </c:pt>
                <c:pt idx="4100">
                  <c:v>4</c:v>
                </c:pt>
                <c:pt idx="4101">
                  <c:v>4</c:v>
                </c:pt>
                <c:pt idx="4102">
                  <c:v>4</c:v>
                </c:pt>
                <c:pt idx="4103">
                  <c:v>4</c:v>
                </c:pt>
                <c:pt idx="4104">
                  <c:v>4</c:v>
                </c:pt>
                <c:pt idx="4105">
                  <c:v>4</c:v>
                </c:pt>
                <c:pt idx="4106">
                  <c:v>4</c:v>
                </c:pt>
                <c:pt idx="4107">
                  <c:v>4</c:v>
                </c:pt>
                <c:pt idx="4108">
                  <c:v>4</c:v>
                </c:pt>
                <c:pt idx="4109">
                  <c:v>4</c:v>
                </c:pt>
                <c:pt idx="4110">
                  <c:v>4</c:v>
                </c:pt>
                <c:pt idx="411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46-4C75-BFBE-F132244D9FDF}"/>
            </c:ext>
          </c:extLst>
        </c:ser>
        <c:ser>
          <c:idx val="4"/>
          <c:order val="4"/>
          <c:tx>
            <c:strRef>
              <c:f>transpose!$AV$1</c:f>
              <c:strCache>
                <c:ptCount val="1"/>
                <c:pt idx="0">
                  <c:v>mosakodás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transpose!$AV$2:$AV$7653</c:f>
              <c:numCache>
                <c:formatCode>General</c:formatCode>
                <c:ptCount val="7652"/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68">
                  <c:v>4</c:v>
                </c:pt>
                <c:pt idx="2469">
                  <c:v>4</c:v>
                </c:pt>
                <c:pt idx="2470">
                  <c:v>4</c:v>
                </c:pt>
                <c:pt idx="2471">
                  <c:v>4</c:v>
                </c:pt>
                <c:pt idx="2472">
                  <c:v>4</c:v>
                </c:pt>
                <c:pt idx="2473">
                  <c:v>4</c:v>
                </c:pt>
                <c:pt idx="2474">
                  <c:v>4</c:v>
                </c:pt>
                <c:pt idx="2475">
                  <c:v>4</c:v>
                </c:pt>
                <c:pt idx="2476">
                  <c:v>4</c:v>
                </c:pt>
                <c:pt idx="2477">
                  <c:v>4</c:v>
                </c:pt>
                <c:pt idx="2478">
                  <c:v>4</c:v>
                </c:pt>
                <c:pt idx="2479">
                  <c:v>4</c:v>
                </c:pt>
                <c:pt idx="2480">
                  <c:v>4</c:v>
                </c:pt>
                <c:pt idx="2481">
                  <c:v>4</c:v>
                </c:pt>
                <c:pt idx="2482">
                  <c:v>4</c:v>
                </c:pt>
                <c:pt idx="2483">
                  <c:v>4</c:v>
                </c:pt>
                <c:pt idx="2484">
                  <c:v>4</c:v>
                </c:pt>
                <c:pt idx="2485">
                  <c:v>4</c:v>
                </c:pt>
                <c:pt idx="2486">
                  <c:v>4</c:v>
                </c:pt>
                <c:pt idx="2487">
                  <c:v>4</c:v>
                </c:pt>
                <c:pt idx="2488">
                  <c:v>4</c:v>
                </c:pt>
                <c:pt idx="2489">
                  <c:v>4</c:v>
                </c:pt>
                <c:pt idx="2490">
                  <c:v>4</c:v>
                </c:pt>
                <c:pt idx="2491">
                  <c:v>4</c:v>
                </c:pt>
                <c:pt idx="2492">
                  <c:v>4</c:v>
                </c:pt>
                <c:pt idx="2493">
                  <c:v>4</c:v>
                </c:pt>
                <c:pt idx="2494">
                  <c:v>4</c:v>
                </c:pt>
                <c:pt idx="2495">
                  <c:v>4</c:v>
                </c:pt>
                <c:pt idx="2496">
                  <c:v>4</c:v>
                </c:pt>
                <c:pt idx="2497">
                  <c:v>4</c:v>
                </c:pt>
                <c:pt idx="2498">
                  <c:v>4</c:v>
                </c:pt>
                <c:pt idx="2499">
                  <c:v>4</c:v>
                </c:pt>
                <c:pt idx="2500">
                  <c:v>4</c:v>
                </c:pt>
                <c:pt idx="2501">
                  <c:v>4</c:v>
                </c:pt>
                <c:pt idx="2502">
                  <c:v>4</c:v>
                </c:pt>
                <c:pt idx="2503">
                  <c:v>4</c:v>
                </c:pt>
                <c:pt idx="2504">
                  <c:v>4</c:v>
                </c:pt>
                <c:pt idx="2505">
                  <c:v>4</c:v>
                </c:pt>
                <c:pt idx="2506">
                  <c:v>4</c:v>
                </c:pt>
                <c:pt idx="2507">
                  <c:v>4</c:v>
                </c:pt>
                <c:pt idx="2508">
                  <c:v>4</c:v>
                </c:pt>
                <c:pt idx="2509">
                  <c:v>4</c:v>
                </c:pt>
                <c:pt idx="2510">
                  <c:v>4</c:v>
                </c:pt>
                <c:pt idx="2511">
                  <c:v>4</c:v>
                </c:pt>
                <c:pt idx="2512">
                  <c:v>4</c:v>
                </c:pt>
                <c:pt idx="2513">
                  <c:v>4</c:v>
                </c:pt>
                <c:pt idx="2514">
                  <c:v>4</c:v>
                </c:pt>
                <c:pt idx="2515">
                  <c:v>4</c:v>
                </c:pt>
                <c:pt idx="2516">
                  <c:v>4</c:v>
                </c:pt>
                <c:pt idx="2517">
                  <c:v>4</c:v>
                </c:pt>
                <c:pt idx="2518">
                  <c:v>4</c:v>
                </c:pt>
                <c:pt idx="2519">
                  <c:v>4</c:v>
                </c:pt>
                <c:pt idx="2520">
                  <c:v>4</c:v>
                </c:pt>
                <c:pt idx="2521">
                  <c:v>4</c:v>
                </c:pt>
                <c:pt idx="2522">
                  <c:v>4</c:v>
                </c:pt>
                <c:pt idx="2523">
                  <c:v>4</c:v>
                </c:pt>
                <c:pt idx="2524">
                  <c:v>4</c:v>
                </c:pt>
                <c:pt idx="2525">
                  <c:v>4</c:v>
                </c:pt>
                <c:pt idx="2526">
                  <c:v>4</c:v>
                </c:pt>
                <c:pt idx="2527">
                  <c:v>4</c:v>
                </c:pt>
                <c:pt idx="2528">
                  <c:v>4</c:v>
                </c:pt>
                <c:pt idx="2529">
                  <c:v>4</c:v>
                </c:pt>
                <c:pt idx="2530">
                  <c:v>4</c:v>
                </c:pt>
                <c:pt idx="2531">
                  <c:v>4</c:v>
                </c:pt>
                <c:pt idx="2532">
                  <c:v>4</c:v>
                </c:pt>
                <c:pt idx="2533">
                  <c:v>4</c:v>
                </c:pt>
                <c:pt idx="2534">
                  <c:v>4</c:v>
                </c:pt>
                <c:pt idx="2535">
                  <c:v>4</c:v>
                </c:pt>
                <c:pt idx="2536">
                  <c:v>4</c:v>
                </c:pt>
                <c:pt idx="2537">
                  <c:v>4</c:v>
                </c:pt>
                <c:pt idx="2538">
                  <c:v>4</c:v>
                </c:pt>
                <c:pt idx="2539">
                  <c:v>4</c:v>
                </c:pt>
                <c:pt idx="2540">
                  <c:v>4</c:v>
                </c:pt>
                <c:pt idx="2541">
                  <c:v>4</c:v>
                </c:pt>
                <c:pt idx="2542">
                  <c:v>4</c:v>
                </c:pt>
                <c:pt idx="2543">
                  <c:v>4</c:v>
                </c:pt>
                <c:pt idx="2544">
                  <c:v>4</c:v>
                </c:pt>
                <c:pt idx="2545">
                  <c:v>4</c:v>
                </c:pt>
                <c:pt idx="2546">
                  <c:v>4</c:v>
                </c:pt>
                <c:pt idx="2547">
                  <c:v>4</c:v>
                </c:pt>
                <c:pt idx="2548">
                  <c:v>4</c:v>
                </c:pt>
                <c:pt idx="2549">
                  <c:v>4</c:v>
                </c:pt>
                <c:pt idx="2550">
                  <c:v>4</c:v>
                </c:pt>
                <c:pt idx="2551">
                  <c:v>4</c:v>
                </c:pt>
                <c:pt idx="2552">
                  <c:v>4</c:v>
                </c:pt>
                <c:pt idx="2553">
                  <c:v>4</c:v>
                </c:pt>
                <c:pt idx="2554">
                  <c:v>4</c:v>
                </c:pt>
                <c:pt idx="2555">
                  <c:v>4</c:v>
                </c:pt>
                <c:pt idx="2556">
                  <c:v>4</c:v>
                </c:pt>
                <c:pt idx="2557">
                  <c:v>4</c:v>
                </c:pt>
                <c:pt idx="2558">
                  <c:v>4</c:v>
                </c:pt>
                <c:pt idx="2559">
                  <c:v>4</c:v>
                </c:pt>
                <c:pt idx="2560">
                  <c:v>4</c:v>
                </c:pt>
                <c:pt idx="2561">
                  <c:v>4</c:v>
                </c:pt>
                <c:pt idx="2562">
                  <c:v>4</c:v>
                </c:pt>
                <c:pt idx="2563">
                  <c:v>4</c:v>
                </c:pt>
                <c:pt idx="2564">
                  <c:v>4</c:v>
                </c:pt>
                <c:pt idx="2565">
                  <c:v>4</c:v>
                </c:pt>
                <c:pt idx="2566">
                  <c:v>4</c:v>
                </c:pt>
                <c:pt idx="2567">
                  <c:v>4</c:v>
                </c:pt>
                <c:pt idx="2568">
                  <c:v>4</c:v>
                </c:pt>
                <c:pt idx="2569">
                  <c:v>4</c:v>
                </c:pt>
                <c:pt idx="2570">
                  <c:v>4</c:v>
                </c:pt>
                <c:pt idx="2571">
                  <c:v>4</c:v>
                </c:pt>
                <c:pt idx="2572">
                  <c:v>4</c:v>
                </c:pt>
                <c:pt idx="2573">
                  <c:v>4</c:v>
                </c:pt>
                <c:pt idx="2574">
                  <c:v>4</c:v>
                </c:pt>
                <c:pt idx="2575">
                  <c:v>4</c:v>
                </c:pt>
                <c:pt idx="2576">
                  <c:v>4</c:v>
                </c:pt>
                <c:pt idx="2577">
                  <c:v>4</c:v>
                </c:pt>
                <c:pt idx="2578">
                  <c:v>4</c:v>
                </c:pt>
                <c:pt idx="2579">
                  <c:v>4</c:v>
                </c:pt>
                <c:pt idx="2580">
                  <c:v>4</c:v>
                </c:pt>
                <c:pt idx="2581">
                  <c:v>4</c:v>
                </c:pt>
                <c:pt idx="2582">
                  <c:v>4</c:v>
                </c:pt>
                <c:pt idx="2583">
                  <c:v>4</c:v>
                </c:pt>
                <c:pt idx="2584">
                  <c:v>4</c:v>
                </c:pt>
                <c:pt idx="2585">
                  <c:v>4</c:v>
                </c:pt>
                <c:pt idx="2586">
                  <c:v>4</c:v>
                </c:pt>
                <c:pt idx="2587">
                  <c:v>4</c:v>
                </c:pt>
                <c:pt idx="2588">
                  <c:v>4</c:v>
                </c:pt>
                <c:pt idx="2589">
                  <c:v>4</c:v>
                </c:pt>
                <c:pt idx="2590">
                  <c:v>4</c:v>
                </c:pt>
                <c:pt idx="2591">
                  <c:v>4</c:v>
                </c:pt>
                <c:pt idx="2592">
                  <c:v>4</c:v>
                </c:pt>
                <c:pt idx="2593">
                  <c:v>4</c:v>
                </c:pt>
                <c:pt idx="2594">
                  <c:v>4</c:v>
                </c:pt>
                <c:pt idx="2595">
                  <c:v>4</c:v>
                </c:pt>
                <c:pt idx="2596">
                  <c:v>4</c:v>
                </c:pt>
                <c:pt idx="2597">
                  <c:v>4</c:v>
                </c:pt>
                <c:pt idx="2598">
                  <c:v>4</c:v>
                </c:pt>
                <c:pt idx="2599">
                  <c:v>4</c:v>
                </c:pt>
                <c:pt idx="2600">
                  <c:v>4</c:v>
                </c:pt>
                <c:pt idx="2601">
                  <c:v>4</c:v>
                </c:pt>
                <c:pt idx="2602">
                  <c:v>4</c:v>
                </c:pt>
                <c:pt idx="2603">
                  <c:v>4</c:v>
                </c:pt>
                <c:pt idx="2604">
                  <c:v>4</c:v>
                </c:pt>
                <c:pt idx="2605">
                  <c:v>4</c:v>
                </c:pt>
                <c:pt idx="2606">
                  <c:v>4</c:v>
                </c:pt>
                <c:pt idx="2607">
                  <c:v>4</c:v>
                </c:pt>
                <c:pt idx="2608">
                  <c:v>4</c:v>
                </c:pt>
                <c:pt idx="2609">
                  <c:v>4</c:v>
                </c:pt>
                <c:pt idx="2610">
                  <c:v>4</c:v>
                </c:pt>
                <c:pt idx="2611">
                  <c:v>4</c:v>
                </c:pt>
                <c:pt idx="2612">
                  <c:v>4</c:v>
                </c:pt>
                <c:pt idx="2613">
                  <c:v>4</c:v>
                </c:pt>
                <c:pt idx="2614">
                  <c:v>4</c:v>
                </c:pt>
                <c:pt idx="2615">
                  <c:v>4</c:v>
                </c:pt>
                <c:pt idx="2616">
                  <c:v>4</c:v>
                </c:pt>
                <c:pt idx="2617">
                  <c:v>4</c:v>
                </c:pt>
                <c:pt idx="2618">
                  <c:v>4</c:v>
                </c:pt>
                <c:pt idx="2619">
                  <c:v>4</c:v>
                </c:pt>
                <c:pt idx="2620">
                  <c:v>4</c:v>
                </c:pt>
                <c:pt idx="2621">
                  <c:v>4</c:v>
                </c:pt>
                <c:pt idx="2622">
                  <c:v>4</c:v>
                </c:pt>
                <c:pt idx="2623">
                  <c:v>4</c:v>
                </c:pt>
                <c:pt idx="2624">
                  <c:v>4</c:v>
                </c:pt>
                <c:pt idx="2625">
                  <c:v>4</c:v>
                </c:pt>
                <c:pt idx="2626">
                  <c:v>4</c:v>
                </c:pt>
                <c:pt idx="2627">
                  <c:v>4</c:v>
                </c:pt>
                <c:pt idx="2628">
                  <c:v>4</c:v>
                </c:pt>
                <c:pt idx="2629">
                  <c:v>4</c:v>
                </c:pt>
                <c:pt idx="2630">
                  <c:v>4</c:v>
                </c:pt>
                <c:pt idx="2631">
                  <c:v>4</c:v>
                </c:pt>
                <c:pt idx="2632">
                  <c:v>4</c:v>
                </c:pt>
                <c:pt idx="2633">
                  <c:v>4</c:v>
                </c:pt>
                <c:pt idx="2634">
                  <c:v>4</c:v>
                </c:pt>
                <c:pt idx="2635">
                  <c:v>4</c:v>
                </c:pt>
                <c:pt idx="2636">
                  <c:v>4</c:v>
                </c:pt>
                <c:pt idx="2637">
                  <c:v>4</c:v>
                </c:pt>
                <c:pt idx="2638">
                  <c:v>4</c:v>
                </c:pt>
                <c:pt idx="2639">
                  <c:v>4</c:v>
                </c:pt>
                <c:pt idx="2640">
                  <c:v>4</c:v>
                </c:pt>
                <c:pt idx="2641">
                  <c:v>4</c:v>
                </c:pt>
                <c:pt idx="2642">
                  <c:v>4</c:v>
                </c:pt>
                <c:pt idx="2643">
                  <c:v>4</c:v>
                </c:pt>
                <c:pt idx="2644">
                  <c:v>4</c:v>
                </c:pt>
                <c:pt idx="2645">
                  <c:v>4</c:v>
                </c:pt>
                <c:pt idx="2646">
                  <c:v>4</c:v>
                </c:pt>
                <c:pt idx="2647">
                  <c:v>4</c:v>
                </c:pt>
                <c:pt idx="2648">
                  <c:v>4</c:v>
                </c:pt>
                <c:pt idx="2649">
                  <c:v>4</c:v>
                </c:pt>
                <c:pt idx="2650">
                  <c:v>4</c:v>
                </c:pt>
                <c:pt idx="2651">
                  <c:v>4</c:v>
                </c:pt>
                <c:pt idx="2675">
                  <c:v>5</c:v>
                </c:pt>
                <c:pt idx="2676">
                  <c:v>5</c:v>
                </c:pt>
                <c:pt idx="2677">
                  <c:v>5</c:v>
                </c:pt>
                <c:pt idx="2678">
                  <c:v>5</c:v>
                </c:pt>
                <c:pt idx="2679">
                  <c:v>5</c:v>
                </c:pt>
                <c:pt idx="2680">
                  <c:v>5</c:v>
                </c:pt>
                <c:pt idx="2681">
                  <c:v>5</c:v>
                </c:pt>
                <c:pt idx="2682">
                  <c:v>5</c:v>
                </c:pt>
                <c:pt idx="2683">
                  <c:v>5</c:v>
                </c:pt>
                <c:pt idx="2684">
                  <c:v>5</c:v>
                </c:pt>
                <c:pt idx="2685">
                  <c:v>5</c:v>
                </c:pt>
                <c:pt idx="2686">
                  <c:v>5</c:v>
                </c:pt>
                <c:pt idx="2687">
                  <c:v>5</c:v>
                </c:pt>
                <c:pt idx="2688">
                  <c:v>5</c:v>
                </c:pt>
                <c:pt idx="2689">
                  <c:v>5</c:v>
                </c:pt>
                <c:pt idx="2690">
                  <c:v>5</c:v>
                </c:pt>
                <c:pt idx="3103">
                  <c:v>6</c:v>
                </c:pt>
                <c:pt idx="3104">
                  <c:v>6</c:v>
                </c:pt>
                <c:pt idx="3105">
                  <c:v>6</c:v>
                </c:pt>
                <c:pt idx="3106">
                  <c:v>6</c:v>
                </c:pt>
                <c:pt idx="3107">
                  <c:v>6</c:v>
                </c:pt>
                <c:pt idx="3108">
                  <c:v>6</c:v>
                </c:pt>
                <c:pt idx="3109">
                  <c:v>6</c:v>
                </c:pt>
                <c:pt idx="3110">
                  <c:v>6</c:v>
                </c:pt>
                <c:pt idx="3111">
                  <c:v>6</c:v>
                </c:pt>
                <c:pt idx="3112">
                  <c:v>6</c:v>
                </c:pt>
                <c:pt idx="3113">
                  <c:v>6</c:v>
                </c:pt>
                <c:pt idx="3114">
                  <c:v>6</c:v>
                </c:pt>
                <c:pt idx="3115">
                  <c:v>6</c:v>
                </c:pt>
                <c:pt idx="3116">
                  <c:v>6</c:v>
                </c:pt>
                <c:pt idx="3117">
                  <c:v>6</c:v>
                </c:pt>
                <c:pt idx="3118">
                  <c:v>6</c:v>
                </c:pt>
                <c:pt idx="3119">
                  <c:v>6</c:v>
                </c:pt>
                <c:pt idx="3120">
                  <c:v>6</c:v>
                </c:pt>
                <c:pt idx="3121">
                  <c:v>6</c:v>
                </c:pt>
                <c:pt idx="3122">
                  <c:v>6</c:v>
                </c:pt>
                <c:pt idx="3123">
                  <c:v>6</c:v>
                </c:pt>
                <c:pt idx="3124">
                  <c:v>6</c:v>
                </c:pt>
                <c:pt idx="3137">
                  <c:v>7</c:v>
                </c:pt>
                <c:pt idx="3138">
                  <c:v>7</c:v>
                </c:pt>
                <c:pt idx="3139">
                  <c:v>7</c:v>
                </c:pt>
                <c:pt idx="3140">
                  <c:v>7</c:v>
                </c:pt>
                <c:pt idx="3141">
                  <c:v>7</c:v>
                </c:pt>
                <c:pt idx="3142">
                  <c:v>7</c:v>
                </c:pt>
                <c:pt idx="3143">
                  <c:v>7</c:v>
                </c:pt>
                <c:pt idx="3144">
                  <c:v>7</c:v>
                </c:pt>
                <c:pt idx="3729">
                  <c:v>8</c:v>
                </c:pt>
                <c:pt idx="3730">
                  <c:v>8</c:v>
                </c:pt>
                <c:pt idx="3731">
                  <c:v>8</c:v>
                </c:pt>
                <c:pt idx="3732">
                  <c:v>8</c:v>
                </c:pt>
                <c:pt idx="3733">
                  <c:v>8</c:v>
                </c:pt>
                <c:pt idx="3734">
                  <c:v>8</c:v>
                </c:pt>
                <c:pt idx="3735">
                  <c:v>8</c:v>
                </c:pt>
                <c:pt idx="3736">
                  <c:v>8</c:v>
                </c:pt>
                <c:pt idx="3737">
                  <c:v>8</c:v>
                </c:pt>
                <c:pt idx="3738">
                  <c:v>8</c:v>
                </c:pt>
                <c:pt idx="3739">
                  <c:v>8</c:v>
                </c:pt>
                <c:pt idx="3740">
                  <c:v>8</c:v>
                </c:pt>
                <c:pt idx="3741">
                  <c:v>8</c:v>
                </c:pt>
                <c:pt idx="3742">
                  <c:v>8</c:v>
                </c:pt>
                <c:pt idx="3743">
                  <c:v>8</c:v>
                </c:pt>
                <c:pt idx="3744">
                  <c:v>8</c:v>
                </c:pt>
                <c:pt idx="3745">
                  <c:v>8</c:v>
                </c:pt>
                <c:pt idx="3746">
                  <c:v>8</c:v>
                </c:pt>
                <c:pt idx="3747">
                  <c:v>8</c:v>
                </c:pt>
                <c:pt idx="3748">
                  <c:v>8</c:v>
                </c:pt>
                <c:pt idx="3749">
                  <c:v>8</c:v>
                </c:pt>
                <c:pt idx="3750">
                  <c:v>8</c:v>
                </c:pt>
                <c:pt idx="3751">
                  <c:v>8</c:v>
                </c:pt>
                <c:pt idx="3752">
                  <c:v>8</c:v>
                </c:pt>
                <c:pt idx="3753">
                  <c:v>8</c:v>
                </c:pt>
                <c:pt idx="3754">
                  <c:v>8</c:v>
                </c:pt>
                <c:pt idx="3755">
                  <c:v>8</c:v>
                </c:pt>
                <c:pt idx="3756">
                  <c:v>8</c:v>
                </c:pt>
                <c:pt idx="3757">
                  <c:v>8</c:v>
                </c:pt>
                <c:pt idx="3758">
                  <c:v>8</c:v>
                </c:pt>
                <c:pt idx="3759">
                  <c:v>8</c:v>
                </c:pt>
                <c:pt idx="3760">
                  <c:v>8</c:v>
                </c:pt>
                <c:pt idx="3833">
                  <c:v>9</c:v>
                </c:pt>
                <c:pt idx="3834">
                  <c:v>9</c:v>
                </c:pt>
                <c:pt idx="3835">
                  <c:v>9</c:v>
                </c:pt>
                <c:pt idx="3836">
                  <c:v>9</c:v>
                </c:pt>
                <c:pt idx="3837">
                  <c:v>9</c:v>
                </c:pt>
                <c:pt idx="3838">
                  <c:v>9</c:v>
                </c:pt>
                <c:pt idx="3839">
                  <c:v>9</c:v>
                </c:pt>
                <c:pt idx="3840">
                  <c:v>9</c:v>
                </c:pt>
                <c:pt idx="3841">
                  <c:v>9</c:v>
                </c:pt>
                <c:pt idx="3842">
                  <c:v>9</c:v>
                </c:pt>
                <c:pt idx="3843">
                  <c:v>9</c:v>
                </c:pt>
                <c:pt idx="3844">
                  <c:v>9</c:v>
                </c:pt>
                <c:pt idx="3845">
                  <c:v>9</c:v>
                </c:pt>
                <c:pt idx="3846">
                  <c:v>9</c:v>
                </c:pt>
                <c:pt idx="3847">
                  <c:v>9</c:v>
                </c:pt>
                <c:pt idx="3848">
                  <c:v>9</c:v>
                </c:pt>
                <c:pt idx="3849">
                  <c:v>9</c:v>
                </c:pt>
                <c:pt idx="3850">
                  <c:v>9</c:v>
                </c:pt>
                <c:pt idx="3851">
                  <c:v>9</c:v>
                </c:pt>
                <c:pt idx="3852">
                  <c:v>9</c:v>
                </c:pt>
                <c:pt idx="3853">
                  <c:v>9</c:v>
                </c:pt>
                <c:pt idx="3854">
                  <c:v>9</c:v>
                </c:pt>
                <c:pt idx="3855">
                  <c:v>9</c:v>
                </c:pt>
                <c:pt idx="3856">
                  <c:v>9</c:v>
                </c:pt>
                <c:pt idx="3857">
                  <c:v>9</c:v>
                </c:pt>
                <c:pt idx="3858">
                  <c:v>9</c:v>
                </c:pt>
                <c:pt idx="3859">
                  <c:v>9</c:v>
                </c:pt>
                <c:pt idx="3860">
                  <c:v>9</c:v>
                </c:pt>
                <c:pt idx="3861">
                  <c:v>9</c:v>
                </c:pt>
                <c:pt idx="3862">
                  <c:v>9</c:v>
                </c:pt>
                <c:pt idx="3863">
                  <c:v>9</c:v>
                </c:pt>
                <c:pt idx="3864">
                  <c:v>9</c:v>
                </c:pt>
                <c:pt idx="3865">
                  <c:v>9</c:v>
                </c:pt>
                <c:pt idx="3866">
                  <c:v>9</c:v>
                </c:pt>
                <c:pt idx="3867">
                  <c:v>9</c:v>
                </c:pt>
                <c:pt idx="3868">
                  <c:v>9</c:v>
                </c:pt>
                <c:pt idx="3869">
                  <c:v>9</c:v>
                </c:pt>
                <c:pt idx="3870">
                  <c:v>9</c:v>
                </c:pt>
                <c:pt idx="3871">
                  <c:v>9</c:v>
                </c:pt>
                <c:pt idx="3872">
                  <c:v>9</c:v>
                </c:pt>
                <c:pt idx="3873">
                  <c:v>9</c:v>
                </c:pt>
                <c:pt idx="3874">
                  <c:v>9</c:v>
                </c:pt>
                <c:pt idx="3875">
                  <c:v>9</c:v>
                </c:pt>
                <c:pt idx="3876">
                  <c:v>9</c:v>
                </c:pt>
                <c:pt idx="3877">
                  <c:v>9</c:v>
                </c:pt>
                <c:pt idx="3878">
                  <c:v>9</c:v>
                </c:pt>
                <c:pt idx="3879">
                  <c:v>9</c:v>
                </c:pt>
                <c:pt idx="4154">
                  <c:v>10</c:v>
                </c:pt>
                <c:pt idx="4155">
                  <c:v>10</c:v>
                </c:pt>
                <c:pt idx="4156">
                  <c:v>10</c:v>
                </c:pt>
                <c:pt idx="4157">
                  <c:v>10</c:v>
                </c:pt>
                <c:pt idx="4158">
                  <c:v>10</c:v>
                </c:pt>
                <c:pt idx="4159">
                  <c:v>10</c:v>
                </c:pt>
                <c:pt idx="4160">
                  <c:v>10</c:v>
                </c:pt>
                <c:pt idx="4161">
                  <c:v>10</c:v>
                </c:pt>
                <c:pt idx="4162">
                  <c:v>10</c:v>
                </c:pt>
                <c:pt idx="4163">
                  <c:v>10</c:v>
                </c:pt>
                <c:pt idx="4164">
                  <c:v>10</c:v>
                </c:pt>
                <c:pt idx="4165">
                  <c:v>10</c:v>
                </c:pt>
                <c:pt idx="4166">
                  <c:v>10</c:v>
                </c:pt>
                <c:pt idx="4167">
                  <c:v>10</c:v>
                </c:pt>
                <c:pt idx="4168">
                  <c:v>10</c:v>
                </c:pt>
                <c:pt idx="4169">
                  <c:v>10</c:v>
                </c:pt>
                <c:pt idx="4170">
                  <c:v>10</c:v>
                </c:pt>
                <c:pt idx="4171">
                  <c:v>10</c:v>
                </c:pt>
                <c:pt idx="4172">
                  <c:v>10</c:v>
                </c:pt>
                <c:pt idx="4173">
                  <c:v>10</c:v>
                </c:pt>
                <c:pt idx="4174">
                  <c:v>10</c:v>
                </c:pt>
                <c:pt idx="4175">
                  <c:v>10</c:v>
                </c:pt>
                <c:pt idx="4176">
                  <c:v>10</c:v>
                </c:pt>
                <c:pt idx="4177">
                  <c:v>10</c:v>
                </c:pt>
                <c:pt idx="4178">
                  <c:v>10</c:v>
                </c:pt>
                <c:pt idx="4179">
                  <c:v>10</c:v>
                </c:pt>
                <c:pt idx="4180">
                  <c:v>10</c:v>
                </c:pt>
                <c:pt idx="4181">
                  <c:v>10</c:v>
                </c:pt>
                <c:pt idx="4182">
                  <c:v>10</c:v>
                </c:pt>
                <c:pt idx="4183">
                  <c:v>10</c:v>
                </c:pt>
                <c:pt idx="4184">
                  <c:v>10</c:v>
                </c:pt>
                <c:pt idx="4185">
                  <c:v>10</c:v>
                </c:pt>
                <c:pt idx="4186">
                  <c:v>10</c:v>
                </c:pt>
                <c:pt idx="4187">
                  <c:v>10</c:v>
                </c:pt>
                <c:pt idx="4188">
                  <c:v>10</c:v>
                </c:pt>
                <c:pt idx="4189">
                  <c:v>10</c:v>
                </c:pt>
                <c:pt idx="4190">
                  <c:v>10</c:v>
                </c:pt>
                <c:pt idx="4191">
                  <c:v>10</c:v>
                </c:pt>
                <c:pt idx="4192">
                  <c:v>10</c:v>
                </c:pt>
                <c:pt idx="4193">
                  <c:v>10</c:v>
                </c:pt>
                <c:pt idx="4194">
                  <c:v>10</c:v>
                </c:pt>
                <c:pt idx="4195">
                  <c:v>10</c:v>
                </c:pt>
                <c:pt idx="4196">
                  <c:v>10</c:v>
                </c:pt>
                <c:pt idx="4197">
                  <c:v>10</c:v>
                </c:pt>
                <c:pt idx="4198">
                  <c:v>10</c:v>
                </c:pt>
                <c:pt idx="4199">
                  <c:v>10</c:v>
                </c:pt>
                <c:pt idx="4200">
                  <c:v>10</c:v>
                </c:pt>
                <c:pt idx="4201">
                  <c:v>10</c:v>
                </c:pt>
                <c:pt idx="6191">
                  <c:v>11</c:v>
                </c:pt>
                <c:pt idx="6192">
                  <c:v>11</c:v>
                </c:pt>
                <c:pt idx="6193">
                  <c:v>11</c:v>
                </c:pt>
                <c:pt idx="6194">
                  <c:v>11</c:v>
                </c:pt>
                <c:pt idx="6195">
                  <c:v>11</c:v>
                </c:pt>
                <c:pt idx="619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46-4C75-BFBE-F132244D9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38927"/>
        <c:axId val="9716418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transpose!$J$1</c15:sqref>
                        </c15:formulaRef>
                      </c:ext>
                    </c:extLst>
                    <c:strCache>
                      <c:ptCount val="1"/>
                      <c:pt idx="0">
                        <c:v>Megy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transpose!$J$2:$J$7653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113">
                        <c:v>2</c:v>
                      </c:pt>
                      <c:pt idx="114">
                        <c:v>2</c:v>
                      </c:pt>
                      <c:pt idx="115">
                        <c:v>2</c:v>
                      </c:pt>
                      <c:pt idx="116">
                        <c:v>2</c:v>
                      </c:pt>
                      <c:pt idx="117">
                        <c:v>2</c:v>
                      </c:pt>
                      <c:pt idx="118">
                        <c:v>2</c:v>
                      </c:pt>
                      <c:pt idx="119">
                        <c:v>2</c:v>
                      </c:pt>
                      <c:pt idx="120">
                        <c:v>2</c:v>
                      </c:pt>
                      <c:pt idx="121">
                        <c:v>2</c:v>
                      </c:pt>
                      <c:pt idx="122">
                        <c:v>2</c:v>
                      </c:pt>
                      <c:pt idx="123">
                        <c:v>2</c:v>
                      </c:pt>
                      <c:pt idx="124">
                        <c:v>2</c:v>
                      </c:pt>
                      <c:pt idx="125">
                        <c:v>2</c:v>
                      </c:pt>
                      <c:pt idx="126">
                        <c:v>2</c:v>
                      </c:pt>
                      <c:pt idx="127">
                        <c:v>2</c:v>
                      </c:pt>
                      <c:pt idx="128">
                        <c:v>2</c:v>
                      </c:pt>
                      <c:pt idx="129">
                        <c:v>2</c:v>
                      </c:pt>
                      <c:pt idx="130">
                        <c:v>2</c:v>
                      </c:pt>
                      <c:pt idx="131">
                        <c:v>2</c:v>
                      </c:pt>
                      <c:pt idx="132">
                        <c:v>2</c:v>
                      </c:pt>
                      <c:pt idx="133">
                        <c:v>2</c:v>
                      </c:pt>
                      <c:pt idx="134">
                        <c:v>2</c:v>
                      </c:pt>
                      <c:pt idx="135">
                        <c:v>2</c:v>
                      </c:pt>
                      <c:pt idx="136">
                        <c:v>2</c:v>
                      </c:pt>
                      <c:pt idx="137">
                        <c:v>2</c:v>
                      </c:pt>
                      <c:pt idx="138">
                        <c:v>2</c:v>
                      </c:pt>
                      <c:pt idx="139">
                        <c:v>2</c:v>
                      </c:pt>
                      <c:pt idx="140">
                        <c:v>2</c:v>
                      </c:pt>
                      <c:pt idx="141">
                        <c:v>2</c:v>
                      </c:pt>
                      <c:pt idx="142">
                        <c:v>2</c:v>
                      </c:pt>
                      <c:pt idx="143">
                        <c:v>2</c:v>
                      </c:pt>
                      <c:pt idx="144">
                        <c:v>2</c:v>
                      </c:pt>
                      <c:pt idx="145">
                        <c:v>2</c:v>
                      </c:pt>
                      <c:pt idx="146">
                        <c:v>2</c:v>
                      </c:pt>
                      <c:pt idx="147">
                        <c:v>2</c:v>
                      </c:pt>
                      <c:pt idx="148">
                        <c:v>2</c:v>
                      </c:pt>
                      <c:pt idx="149">
                        <c:v>2</c:v>
                      </c:pt>
                      <c:pt idx="150">
                        <c:v>2</c:v>
                      </c:pt>
                      <c:pt idx="151">
                        <c:v>2</c:v>
                      </c:pt>
                      <c:pt idx="152">
                        <c:v>2</c:v>
                      </c:pt>
                      <c:pt idx="153">
                        <c:v>2</c:v>
                      </c:pt>
                      <c:pt idx="154">
                        <c:v>2</c:v>
                      </c:pt>
                      <c:pt idx="155">
                        <c:v>2</c:v>
                      </c:pt>
                      <c:pt idx="156">
                        <c:v>2</c:v>
                      </c:pt>
                      <c:pt idx="157">
                        <c:v>2</c:v>
                      </c:pt>
                      <c:pt idx="158">
                        <c:v>2</c:v>
                      </c:pt>
                      <c:pt idx="159">
                        <c:v>2</c:v>
                      </c:pt>
                      <c:pt idx="160">
                        <c:v>2</c:v>
                      </c:pt>
                      <c:pt idx="161">
                        <c:v>2</c:v>
                      </c:pt>
                      <c:pt idx="162">
                        <c:v>2</c:v>
                      </c:pt>
                      <c:pt idx="163">
                        <c:v>2</c:v>
                      </c:pt>
                      <c:pt idx="164">
                        <c:v>2</c:v>
                      </c:pt>
                      <c:pt idx="165">
                        <c:v>2</c:v>
                      </c:pt>
                      <c:pt idx="166">
                        <c:v>2</c:v>
                      </c:pt>
                      <c:pt idx="167">
                        <c:v>2</c:v>
                      </c:pt>
                      <c:pt idx="168">
                        <c:v>2</c:v>
                      </c:pt>
                      <c:pt idx="169">
                        <c:v>2</c:v>
                      </c:pt>
                      <c:pt idx="170">
                        <c:v>2</c:v>
                      </c:pt>
                      <c:pt idx="171">
                        <c:v>2</c:v>
                      </c:pt>
                      <c:pt idx="172">
                        <c:v>2</c:v>
                      </c:pt>
                      <c:pt idx="173">
                        <c:v>2</c:v>
                      </c:pt>
                      <c:pt idx="174">
                        <c:v>2</c:v>
                      </c:pt>
                      <c:pt idx="175">
                        <c:v>2</c:v>
                      </c:pt>
                      <c:pt idx="176">
                        <c:v>2</c:v>
                      </c:pt>
                      <c:pt idx="177">
                        <c:v>2</c:v>
                      </c:pt>
                      <c:pt idx="178">
                        <c:v>2</c:v>
                      </c:pt>
                      <c:pt idx="179">
                        <c:v>2</c:v>
                      </c:pt>
                      <c:pt idx="180">
                        <c:v>2</c:v>
                      </c:pt>
                      <c:pt idx="181">
                        <c:v>2</c:v>
                      </c:pt>
                      <c:pt idx="182">
                        <c:v>2</c:v>
                      </c:pt>
                      <c:pt idx="183">
                        <c:v>2</c:v>
                      </c:pt>
                      <c:pt idx="184">
                        <c:v>2</c:v>
                      </c:pt>
                      <c:pt idx="185">
                        <c:v>2</c:v>
                      </c:pt>
                      <c:pt idx="186">
                        <c:v>2</c:v>
                      </c:pt>
                      <c:pt idx="276">
                        <c:v>3</c:v>
                      </c:pt>
                      <c:pt idx="277">
                        <c:v>3</c:v>
                      </c:pt>
                      <c:pt idx="278">
                        <c:v>3</c:v>
                      </c:pt>
                      <c:pt idx="279">
                        <c:v>3</c:v>
                      </c:pt>
                      <c:pt idx="280">
                        <c:v>3</c:v>
                      </c:pt>
                      <c:pt idx="281">
                        <c:v>3</c:v>
                      </c:pt>
                      <c:pt idx="282">
                        <c:v>3</c:v>
                      </c:pt>
                      <c:pt idx="283">
                        <c:v>3</c:v>
                      </c:pt>
                      <c:pt idx="284">
                        <c:v>3</c:v>
                      </c:pt>
                      <c:pt idx="285">
                        <c:v>3</c:v>
                      </c:pt>
                      <c:pt idx="286">
                        <c:v>3</c:v>
                      </c:pt>
                      <c:pt idx="287">
                        <c:v>3</c:v>
                      </c:pt>
                      <c:pt idx="288">
                        <c:v>3</c:v>
                      </c:pt>
                      <c:pt idx="289">
                        <c:v>3</c:v>
                      </c:pt>
                      <c:pt idx="290">
                        <c:v>3</c:v>
                      </c:pt>
                      <c:pt idx="291">
                        <c:v>3</c:v>
                      </c:pt>
                      <c:pt idx="292">
                        <c:v>3</c:v>
                      </c:pt>
                      <c:pt idx="293">
                        <c:v>3</c:v>
                      </c:pt>
                      <c:pt idx="294">
                        <c:v>3</c:v>
                      </c:pt>
                      <c:pt idx="295">
                        <c:v>3</c:v>
                      </c:pt>
                      <c:pt idx="296">
                        <c:v>3</c:v>
                      </c:pt>
                      <c:pt idx="297">
                        <c:v>3</c:v>
                      </c:pt>
                      <c:pt idx="298">
                        <c:v>3</c:v>
                      </c:pt>
                      <c:pt idx="299">
                        <c:v>3</c:v>
                      </c:pt>
                      <c:pt idx="300">
                        <c:v>3</c:v>
                      </c:pt>
                      <c:pt idx="301">
                        <c:v>3</c:v>
                      </c:pt>
                      <c:pt idx="302">
                        <c:v>3</c:v>
                      </c:pt>
                      <c:pt idx="303">
                        <c:v>3</c:v>
                      </c:pt>
                      <c:pt idx="304">
                        <c:v>3</c:v>
                      </c:pt>
                      <c:pt idx="305">
                        <c:v>3</c:v>
                      </c:pt>
                      <c:pt idx="306">
                        <c:v>3</c:v>
                      </c:pt>
                      <c:pt idx="307">
                        <c:v>3</c:v>
                      </c:pt>
                      <c:pt idx="308">
                        <c:v>3</c:v>
                      </c:pt>
                      <c:pt idx="309">
                        <c:v>3</c:v>
                      </c:pt>
                      <c:pt idx="310">
                        <c:v>3</c:v>
                      </c:pt>
                      <c:pt idx="311">
                        <c:v>3</c:v>
                      </c:pt>
                      <c:pt idx="312">
                        <c:v>3</c:v>
                      </c:pt>
                      <c:pt idx="313">
                        <c:v>3</c:v>
                      </c:pt>
                      <c:pt idx="314">
                        <c:v>3</c:v>
                      </c:pt>
                      <c:pt idx="315">
                        <c:v>3</c:v>
                      </c:pt>
                      <c:pt idx="316">
                        <c:v>3</c:v>
                      </c:pt>
                      <c:pt idx="317">
                        <c:v>3</c:v>
                      </c:pt>
                      <c:pt idx="318">
                        <c:v>3</c:v>
                      </c:pt>
                      <c:pt idx="319">
                        <c:v>3</c:v>
                      </c:pt>
                      <c:pt idx="320">
                        <c:v>3</c:v>
                      </c:pt>
                      <c:pt idx="321">
                        <c:v>3</c:v>
                      </c:pt>
                      <c:pt idx="322">
                        <c:v>3</c:v>
                      </c:pt>
                      <c:pt idx="323">
                        <c:v>3</c:v>
                      </c:pt>
                      <c:pt idx="324">
                        <c:v>3</c:v>
                      </c:pt>
                      <c:pt idx="325">
                        <c:v>3</c:v>
                      </c:pt>
                      <c:pt idx="326">
                        <c:v>3</c:v>
                      </c:pt>
                      <c:pt idx="327">
                        <c:v>3</c:v>
                      </c:pt>
                      <c:pt idx="328">
                        <c:v>3</c:v>
                      </c:pt>
                      <c:pt idx="329">
                        <c:v>3</c:v>
                      </c:pt>
                      <c:pt idx="330">
                        <c:v>3</c:v>
                      </c:pt>
                      <c:pt idx="331">
                        <c:v>3</c:v>
                      </c:pt>
                      <c:pt idx="332">
                        <c:v>3</c:v>
                      </c:pt>
                      <c:pt idx="333">
                        <c:v>3</c:v>
                      </c:pt>
                      <c:pt idx="334">
                        <c:v>3</c:v>
                      </c:pt>
                      <c:pt idx="335">
                        <c:v>3</c:v>
                      </c:pt>
                      <c:pt idx="336">
                        <c:v>3</c:v>
                      </c:pt>
                      <c:pt idx="337">
                        <c:v>3</c:v>
                      </c:pt>
                      <c:pt idx="338">
                        <c:v>3</c:v>
                      </c:pt>
                      <c:pt idx="339">
                        <c:v>3</c:v>
                      </c:pt>
                      <c:pt idx="340">
                        <c:v>3</c:v>
                      </c:pt>
                      <c:pt idx="341">
                        <c:v>3</c:v>
                      </c:pt>
                      <c:pt idx="342">
                        <c:v>3</c:v>
                      </c:pt>
                      <c:pt idx="343">
                        <c:v>3</c:v>
                      </c:pt>
                      <c:pt idx="344">
                        <c:v>3</c:v>
                      </c:pt>
                      <c:pt idx="345">
                        <c:v>3</c:v>
                      </c:pt>
                      <c:pt idx="346">
                        <c:v>3</c:v>
                      </c:pt>
                      <c:pt idx="347">
                        <c:v>3</c:v>
                      </c:pt>
                      <c:pt idx="348">
                        <c:v>3</c:v>
                      </c:pt>
                      <c:pt idx="349">
                        <c:v>3</c:v>
                      </c:pt>
                      <c:pt idx="350">
                        <c:v>3</c:v>
                      </c:pt>
                      <c:pt idx="351">
                        <c:v>3</c:v>
                      </c:pt>
                      <c:pt idx="352">
                        <c:v>3</c:v>
                      </c:pt>
                      <c:pt idx="353">
                        <c:v>3</c:v>
                      </c:pt>
                      <c:pt idx="354">
                        <c:v>3</c:v>
                      </c:pt>
                      <c:pt idx="355">
                        <c:v>3</c:v>
                      </c:pt>
                      <c:pt idx="356">
                        <c:v>3</c:v>
                      </c:pt>
                      <c:pt idx="357">
                        <c:v>3</c:v>
                      </c:pt>
                      <c:pt idx="358">
                        <c:v>3</c:v>
                      </c:pt>
                      <c:pt idx="359">
                        <c:v>3</c:v>
                      </c:pt>
                      <c:pt idx="360">
                        <c:v>3</c:v>
                      </c:pt>
                      <c:pt idx="361">
                        <c:v>3</c:v>
                      </c:pt>
                      <c:pt idx="362">
                        <c:v>3</c:v>
                      </c:pt>
                      <c:pt idx="363">
                        <c:v>3</c:v>
                      </c:pt>
                      <c:pt idx="364">
                        <c:v>3</c:v>
                      </c:pt>
                      <c:pt idx="365">
                        <c:v>3</c:v>
                      </c:pt>
                      <c:pt idx="366">
                        <c:v>3</c:v>
                      </c:pt>
                      <c:pt idx="367">
                        <c:v>3</c:v>
                      </c:pt>
                      <c:pt idx="368">
                        <c:v>3</c:v>
                      </c:pt>
                      <c:pt idx="369">
                        <c:v>3</c:v>
                      </c:pt>
                      <c:pt idx="370">
                        <c:v>3</c:v>
                      </c:pt>
                      <c:pt idx="371">
                        <c:v>3</c:v>
                      </c:pt>
                      <c:pt idx="372">
                        <c:v>3</c:v>
                      </c:pt>
                      <c:pt idx="439">
                        <c:v>4</c:v>
                      </c:pt>
                      <c:pt idx="440">
                        <c:v>4</c:v>
                      </c:pt>
                      <c:pt idx="441">
                        <c:v>4</c:v>
                      </c:pt>
                      <c:pt idx="442">
                        <c:v>4</c:v>
                      </c:pt>
                      <c:pt idx="443">
                        <c:v>4</c:v>
                      </c:pt>
                      <c:pt idx="444">
                        <c:v>4</c:v>
                      </c:pt>
                      <c:pt idx="445">
                        <c:v>4</c:v>
                      </c:pt>
                      <c:pt idx="446">
                        <c:v>4</c:v>
                      </c:pt>
                      <c:pt idx="447">
                        <c:v>4</c:v>
                      </c:pt>
                      <c:pt idx="448">
                        <c:v>4</c:v>
                      </c:pt>
                      <c:pt idx="449">
                        <c:v>4</c:v>
                      </c:pt>
                      <c:pt idx="450">
                        <c:v>4</c:v>
                      </c:pt>
                      <c:pt idx="451">
                        <c:v>4</c:v>
                      </c:pt>
                      <c:pt idx="452">
                        <c:v>4</c:v>
                      </c:pt>
                      <c:pt idx="453">
                        <c:v>4</c:v>
                      </c:pt>
                      <c:pt idx="454">
                        <c:v>4</c:v>
                      </c:pt>
                      <c:pt idx="455">
                        <c:v>4</c:v>
                      </c:pt>
                      <c:pt idx="456">
                        <c:v>4</c:v>
                      </c:pt>
                      <c:pt idx="457">
                        <c:v>4</c:v>
                      </c:pt>
                      <c:pt idx="458">
                        <c:v>4</c:v>
                      </c:pt>
                      <c:pt idx="459">
                        <c:v>4</c:v>
                      </c:pt>
                      <c:pt idx="460">
                        <c:v>4</c:v>
                      </c:pt>
                      <c:pt idx="461">
                        <c:v>4</c:v>
                      </c:pt>
                      <c:pt idx="462">
                        <c:v>4</c:v>
                      </c:pt>
                      <c:pt idx="463">
                        <c:v>4</c:v>
                      </c:pt>
                      <c:pt idx="464">
                        <c:v>4</c:v>
                      </c:pt>
                      <c:pt idx="465">
                        <c:v>4</c:v>
                      </c:pt>
                      <c:pt idx="466">
                        <c:v>4</c:v>
                      </c:pt>
                      <c:pt idx="467">
                        <c:v>4</c:v>
                      </c:pt>
                      <c:pt idx="468">
                        <c:v>4</c:v>
                      </c:pt>
                      <c:pt idx="469">
                        <c:v>4</c:v>
                      </c:pt>
                      <c:pt idx="470">
                        <c:v>4</c:v>
                      </c:pt>
                      <c:pt idx="487">
                        <c:v>5</c:v>
                      </c:pt>
                      <c:pt idx="488">
                        <c:v>5</c:v>
                      </c:pt>
                      <c:pt idx="489">
                        <c:v>5</c:v>
                      </c:pt>
                      <c:pt idx="490">
                        <c:v>5</c:v>
                      </c:pt>
                      <c:pt idx="491">
                        <c:v>5</c:v>
                      </c:pt>
                      <c:pt idx="492">
                        <c:v>5</c:v>
                      </c:pt>
                      <c:pt idx="493">
                        <c:v>5</c:v>
                      </c:pt>
                      <c:pt idx="494">
                        <c:v>5</c:v>
                      </c:pt>
                      <c:pt idx="495">
                        <c:v>5</c:v>
                      </c:pt>
                      <c:pt idx="496">
                        <c:v>5</c:v>
                      </c:pt>
                      <c:pt idx="497">
                        <c:v>5</c:v>
                      </c:pt>
                      <c:pt idx="498">
                        <c:v>5</c:v>
                      </c:pt>
                      <c:pt idx="499">
                        <c:v>5</c:v>
                      </c:pt>
                      <c:pt idx="500">
                        <c:v>5</c:v>
                      </c:pt>
                      <c:pt idx="501">
                        <c:v>5</c:v>
                      </c:pt>
                      <c:pt idx="502">
                        <c:v>5</c:v>
                      </c:pt>
                      <c:pt idx="503">
                        <c:v>5</c:v>
                      </c:pt>
                      <c:pt idx="504">
                        <c:v>5</c:v>
                      </c:pt>
                      <c:pt idx="505">
                        <c:v>5</c:v>
                      </c:pt>
                      <c:pt idx="506">
                        <c:v>5</c:v>
                      </c:pt>
                      <c:pt idx="507">
                        <c:v>5</c:v>
                      </c:pt>
                      <c:pt idx="508">
                        <c:v>5</c:v>
                      </c:pt>
                      <c:pt idx="509">
                        <c:v>5</c:v>
                      </c:pt>
                      <c:pt idx="510">
                        <c:v>5</c:v>
                      </c:pt>
                      <c:pt idx="511">
                        <c:v>5</c:v>
                      </c:pt>
                      <c:pt idx="512">
                        <c:v>5</c:v>
                      </c:pt>
                      <c:pt idx="513">
                        <c:v>5</c:v>
                      </c:pt>
                      <c:pt idx="514">
                        <c:v>5</c:v>
                      </c:pt>
                      <c:pt idx="515">
                        <c:v>5</c:v>
                      </c:pt>
                      <c:pt idx="516">
                        <c:v>5</c:v>
                      </c:pt>
                      <c:pt idx="517">
                        <c:v>5</c:v>
                      </c:pt>
                      <c:pt idx="518">
                        <c:v>5</c:v>
                      </c:pt>
                      <c:pt idx="519">
                        <c:v>5</c:v>
                      </c:pt>
                      <c:pt idx="520">
                        <c:v>5</c:v>
                      </c:pt>
                      <c:pt idx="521">
                        <c:v>5</c:v>
                      </c:pt>
                      <c:pt idx="522">
                        <c:v>5</c:v>
                      </c:pt>
                      <c:pt idx="523">
                        <c:v>5</c:v>
                      </c:pt>
                      <c:pt idx="524">
                        <c:v>5</c:v>
                      </c:pt>
                      <c:pt idx="525">
                        <c:v>5</c:v>
                      </c:pt>
                      <c:pt idx="526">
                        <c:v>5</c:v>
                      </c:pt>
                      <c:pt idx="527">
                        <c:v>5</c:v>
                      </c:pt>
                      <c:pt idx="528">
                        <c:v>5</c:v>
                      </c:pt>
                      <c:pt idx="529">
                        <c:v>5</c:v>
                      </c:pt>
                      <c:pt idx="530">
                        <c:v>5</c:v>
                      </c:pt>
                      <c:pt idx="531">
                        <c:v>5</c:v>
                      </c:pt>
                      <c:pt idx="532">
                        <c:v>5</c:v>
                      </c:pt>
                      <c:pt idx="533">
                        <c:v>5</c:v>
                      </c:pt>
                      <c:pt idx="534">
                        <c:v>5</c:v>
                      </c:pt>
                      <c:pt idx="535">
                        <c:v>5</c:v>
                      </c:pt>
                      <c:pt idx="536">
                        <c:v>5</c:v>
                      </c:pt>
                      <c:pt idx="537">
                        <c:v>5</c:v>
                      </c:pt>
                      <c:pt idx="538">
                        <c:v>5</c:v>
                      </c:pt>
                      <c:pt idx="539">
                        <c:v>5</c:v>
                      </c:pt>
                      <c:pt idx="540">
                        <c:v>5</c:v>
                      </c:pt>
                      <c:pt idx="541">
                        <c:v>5</c:v>
                      </c:pt>
                      <c:pt idx="542">
                        <c:v>5</c:v>
                      </c:pt>
                      <c:pt idx="543">
                        <c:v>5</c:v>
                      </c:pt>
                      <c:pt idx="544">
                        <c:v>5</c:v>
                      </c:pt>
                      <c:pt idx="545">
                        <c:v>5</c:v>
                      </c:pt>
                      <c:pt idx="546">
                        <c:v>5</c:v>
                      </c:pt>
                      <c:pt idx="547">
                        <c:v>5</c:v>
                      </c:pt>
                      <c:pt idx="548">
                        <c:v>5</c:v>
                      </c:pt>
                      <c:pt idx="549">
                        <c:v>5</c:v>
                      </c:pt>
                      <c:pt idx="550">
                        <c:v>5</c:v>
                      </c:pt>
                      <c:pt idx="551">
                        <c:v>5</c:v>
                      </c:pt>
                      <c:pt idx="552">
                        <c:v>5</c:v>
                      </c:pt>
                      <c:pt idx="553">
                        <c:v>5</c:v>
                      </c:pt>
                      <c:pt idx="554">
                        <c:v>5</c:v>
                      </c:pt>
                      <c:pt idx="555">
                        <c:v>5</c:v>
                      </c:pt>
                      <c:pt idx="556">
                        <c:v>5</c:v>
                      </c:pt>
                      <c:pt idx="557">
                        <c:v>5</c:v>
                      </c:pt>
                      <c:pt idx="558">
                        <c:v>5</c:v>
                      </c:pt>
                      <c:pt idx="559">
                        <c:v>5</c:v>
                      </c:pt>
                      <c:pt idx="560">
                        <c:v>5</c:v>
                      </c:pt>
                      <c:pt idx="561">
                        <c:v>5</c:v>
                      </c:pt>
                      <c:pt idx="562">
                        <c:v>5</c:v>
                      </c:pt>
                      <c:pt idx="563">
                        <c:v>5</c:v>
                      </c:pt>
                      <c:pt idx="564">
                        <c:v>5</c:v>
                      </c:pt>
                      <c:pt idx="565">
                        <c:v>5</c:v>
                      </c:pt>
                      <c:pt idx="566">
                        <c:v>5</c:v>
                      </c:pt>
                      <c:pt idx="567">
                        <c:v>5</c:v>
                      </c:pt>
                      <c:pt idx="568">
                        <c:v>5</c:v>
                      </c:pt>
                      <c:pt idx="675">
                        <c:v>6</c:v>
                      </c:pt>
                      <c:pt idx="676">
                        <c:v>6</c:v>
                      </c:pt>
                      <c:pt idx="677">
                        <c:v>6</c:v>
                      </c:pt>
                      <c:pt idx="678">
                        <c:v>6</c:v>
                      </c:pt>
                      <c:pt idx="679">
                        <c:v>6</c:v>
                      </c:pt>
                      <c:pt idx="680">
                        <c:v>6</c:v>
                      </c:pt>
                      <c:pt idx="681">
                        <c:v>6</c:v>
                      </c:pt>
                      <c:pt idx="682">
                        <c:v>6</c:v>
                      </c:pt>
                      <c:pt idx="683">
                        <c:v>6</c:v>
                      </c:pt>
                      <c:pt idx="684">
                        <c:v>6</c:v>
                      </c:pt>
                      <c:pt idx="685">
                        <c:v>6</c:v>
                      </c:pt>
                      <c:pt idx="686">
                        <c:v>6</c:v>
                      </c:pt>
                      <c:pt idx="687">
                        <c:v>6</c:v>
                      </c:pt>
                      <c:pt idx="688">
                        <c:v>6</c:v>
                      </c:pt>
                      <c:pt idx="689">
                        <c:v>6</c:v>
                      </c:pt>
                      <c:pt idx="690">
                        <c:v>6</c:v>
                      </c:pt>
                      <c:pt idx="691">
                        <c:v>6</c:v>
                      </c:pt>
                      <c:pt idx="692">
                        <c:v>6</c:v>
                      </c:pt>
                      <c:pt idx="693">
                        <c:v>6</c:v>
                      </c:pt>
                      <c:pt idx="694">
                        <c:v>6</c:v>
                      </c:pt>
                      <c:pt idx="695">
                        <c:v>6</c:v>
                      </c:pt>
                      <c:pt idx="696">
                        <c:v>6</c:v>
                      </c:pt>
                      <c:pt idx="697">
                        <c:v>6</c:v>
                      </c:pt>
                      <c:pt idx="698">
                        <c:v>6</c:v>
                      </c:pt>
                      <c:pt idx="699">
                        <c:v>6</c:v>
                      </c:pt>
                      <c:pt idx="700">
                        <c:v>6</c:v>
                      </c:pt>
                      <c:pt idx="701">
                        <c:v>6</c:v>
                      </c:pt>
                      <c:pt idx="702">
                        <c:v>6</c:v>
                      </c:pt>
                      <c:pt idx="703">
                        <c:v>6</c:v>
                      </c:pt>
                      <c:pt idx="704">
                        <c:v>6</c:v>
                      </c:pt>
                      <c:pt idx="705">
                        <c:v>6</c:v>
                      </c:pt>
                      <c:pt idx="706">
                        <c:v>6</c:v>
                      </c:pt>
                      <c:pt idx="707">
                        <c:v>6</c:v>
                      </c:pt>
                      <c:pt idx="708">
                        <c:v>6</c:v>
                      </c:pt>
                      <c:pt idx="709">
                        <c:v>6</c:v>
                      </c:pt>
                      <c:pt idx="710">
                        <c:v>6</c:v>
                      </c:pt>
                      <c:pt idx="711">
                        <c:v>6</c:v>
                      </c:pt>
                      <c:pt idx="712">
                        <c:v>6</c:v>
                      </c:pt>
                      <c:pt idx="713">
                        <c:v>6</c:v>
                      </c:pt>
                      <c:pt idx="714">
                        <c:v>6</c:v>
                      </c:pt>
                      <c:pt idx="715">
                        <c:v>6</c:v>
                      </c:pt>
                      <c:pt idx="716">
                        <c:v>6</c:v>
                      </c:pt>
                      <c:pt idx="717">
                        <c:v>6</c:v>
                      </c:pt>
                      <c:pt idx="718">
                        <c:v>6</c:v>
                      </c:pt>
                      <c:pt idx="719">
                        <c:v>6</c:v>
                      </c:pt>
                      <c:pt idx="720">
                        <c:v>6</c:v>
                      </c:pt>
                      <c:pt idx="721">
                        <c:v>6</c:v>
                      </c:pt>
                      <c:pt idx="722">
                        <c:v>6</c:v>
                      </c:pt>
                      <c:pt idx="723">
                        <c:v>6</c:v>
                      </c:pt>
                      <c:pt idx="724">
                        <c:v>6</c:v>
                      </c:pt>
                      <c:pt idx="725">
                        <c:v>6</c:v>
                      </c:pt>
                      <c:pt idx="726">
                        <c:v>6</c:v>
                      </c:pt>
                      <c:pt idx="727">
                        <c:v>6</c:v>
                      </c:pt>
                      <c:pt idx="728">
                        <c:v>6</c:v>
                      </c:pt>
                      <c:pt idx="729">
                        <c:v>6</c:v>
                      </c:pt>
                      <c:pt idx="730">
                        <c:v>6</c:v>
                      </c:pt>
                      <c:pt idx="731">
                        <c:v>6</c:v>
                      </c:pt>
                      <c:pt idx="732">
                        <c:v>6</c:v>
                      </c:pt>
                      <c:pt idx="733">
                        <c:v>6</c:v>
                      </c:pt>
                      <c:pt idx="734">
                        <c:v>6</c:v>
                      </c:pt>
                      <c:pt idx="735">
                        <c:v>6</c:v>
                      </c:pt>
                      <c:pt idx="736">
                        <c:v>6</c:v>
                      </c:pt>
                      <c:pt idx="737">
                        <c:v>6</c:v>
                      </c:pt>
                      <c:pt idx="738">
                        <c:v>6</c:v>
                      </c:pt>
                      <c:pt idx="739">
                        <c:v>6</c:v>
                      </c:pt>
                      <c:pt idx="740">
                        <c:v>6</c:v>
                      </c:pt>
                      <c:pt idx="741">
                        <c:v>6</c:v>
                      </c:pt>
                      <c:pt idx="742">
                        <c:v>6</c:v>
                      </c:pt>
                      <c:pt idx="743">
                        <c:v>6</c:v>
                      </c:pt>
                      <c:pt idx="744">
                        <c:v>6</c:v>
                      </c:pt>
                      <c:pt idx="745">
                        <c:v>6</c:v>
                      </c:pt>
                      <c:pt idx="746">
                        <c:v>6</c:v>
                      </c:pt>
                      <c:pt idx="747">
                        <c:v>6</c:v>
                      </c:pt>
                      <c:pt idx="748">
                        <c:v>6</c:v>
                      </c:pt>
                      <c:pt idx="749">
                        <c:v>6</c:v>
                      </c:pt>
                      <c:pt idx="750">
                        <c:v>6</c:v>
                      </c:pt>
                      <c:pt idx="751">
                        <c:v>6</c:v>
                      </c:pt>
                      <c:pt idx="752">
                        <c:v>6</c:v>
                      </c:pt>
                      <c:pt idx="753">
                        <c:v>6</c:v>
                      </c:pt>
                      <c:pt idx="754">
                        <c:v>6</c:v>
                      </c:pt>
                      <c:pt idx="755">
                        <c:v>6</c:v>
                      </c:pt>
                      <c:pt idx="756">
                        <c:v>6</c:v>
                      </c:pt>
                      <c:pt idx="757">
                        <c:v>6</c:v>
                      </c:pt>
                      <c:pt idx="758">
                        <c:v>6</c:v>
                      </c:pt>
                      <c:pt idx="759">
                        <c:v>6</c:v>
                      </c:pt>
                      <c:pt idx="760">
                        <c:v>6</c:v>
                      </c:pt>
                      <c:pt idx="761">
                        <c:v>6</c:v>
                      </c:pt>
                      <c:pt idx="762">
                        <c:v>6</c:v>
                      </c:pt>
                      <c:pt idx="763">
                        <c:v>6</c:v>
                      </c:pt>
                      <c:pt idx="764">
                        <c:v>6</c:v>
                      </c:pt>
                      <c:pt idx="765">
                        <c:v>6</c:v>
                      </c:pt>
                      <c:pt idx="766">
                        <c:v>6</c:v>
                      </c:pt>
                      <c:pt idx="767">
                        <c:v>6</c:v>
                      </c:pt>
                      <c:pt idx="768">
                        <c:v>6</c:v>
                      </c:pt>
                      <c:pt idx="769">
                        <c:v>6</c:v>
                      </c:pt>
                      <c:pt idx="770">
                        <c:v>6</c:v>
                      </c:pt>
                      <c:pt idx="771">
                        <c:v>6</c:v>
                      </c:pt>
                      <c:pt idx="772">
                        <c:v>6</c:v>
                      </c:pt>
                      <c:pt idx="773">
                        <c:v>6</c:v>
                      </c:pt>
                      <c:pt idx="774">
                        <c:v>6</c:v>
                      </c:pt>
                      <c:pt idx="775">
                        <c:v>6</c:v>
                      </c:pt>
                      <c:pt idx="776">
                        <c:v>6</c:v>
                      </c:pt>
                      <c:pt idx="777">
                        <c:v>6</c:v>
                      </c:pt>
                      <c:pt idx="778">
                        <c:v>6</c:v>
                      </c:pt>
                      <c:pt idx="821">
                        <c:v>7</c:v>
                      </c:pt>
                      <c:pt idx="822">
                        <c:v>7</c:v>
                      </c:pt>
                      <c:pt idx="823">
                        <c:v>7</c:v>
                      </c:pt>
                      <c:pt idx="824">
                        <c:v>7</c:v>
                      </c:pt>
                      <c:pt idx="825">
                        <c:v>7</c:v>
                      </c:pt>
                      <c:pt idx="826">
                        <c:v>7</c:v>
                      </c:pt>
                      <c:pt idx="827">
                        <c:v>7</c:v>
                      </c:pt>
                      <c:pt idx="828">
                        <c:v>7</c:v>
                      </c:pt>
                      <c:pt idx="829">
                        <c:v>7</c:v>
                      </c:pt>
                      <c:pt idx="830">
                        <c:v>7</c:v>
                      </c:pt>
                      <c:pt idx="831">
                        <c:v>7</c:v>
                      </c:pt>
                      <c:pt idx="832">
                        <c:v>7</c:v>
                      </c:pt>
                      <c:pt idx="833">
                        <c:v>7</c:v>
                      </c:pt>
                      <c:pt idx="834">
                        <c:v>7</c:v>
                      </c:pt>
                      <c:pt idx="835">
                        <c:v>7</c:v>
                      </c:pt>
                      <c:pt idx="836">
                        <c:v>7</c:v>
                      </c:pt>
                      <c:pt idx="837">
                        <c:v>7</c:v>
                      </c:pt>
                      <c:pt idx="838">
                        <c:v>7</c:v>
                      </c:pt>
                      <c:pt idx="839">
                        <c:v>7</c:v>
                      </c:pt>
                      <c:pt idx="840">
                        <c:v>7</c:v>
                      </c:pt>
                      <c:pt idx="841">
                        <c:v>7</c:v>
                      </c:pt>
                      <c:pt idx="842">
                        <c:v>7</c:v>
                      </c:pt>
                      <c:pt idx="843">
                        <c:v>7</c:v>
                      </c:pt>
                      <c:pt idx="844">
                        <c:v>7</c:v>
                      </c:pt>
                      <c:pt idx="845">
                        <c:v>7</c:v>
                      </c:pt>
                      <c:pt idx="846">
                        <c:v>7</c:v>
                      </c:pt>
                      <c:pt idx="847">
                        <c:v>7</c:v>
                      </c:pt>
                      <c:pt idx="848">
                        <c:v>7</c:v>
                      </c:pt>
                      <c:pt idx="849">
                        <c:v>7</c:v>
                      </c:pt>
                      <c:pt idx="850">
                        <c:v>7</c:v>
                      </c:pt>
                      <c:pt idx="851">
                        <c:v>7</c:v>
                      </c:pt>
                      <c:pt idx="852">
                        <c:v>7</c:v>
                      </c:pt>
                      <c:pt idx="853">
                        <c:v>7</c:v>
                      </c:pt>
                      <c:pt idx="854">
                        <c:v>7</c:v>
                      </c:pt>
                      <c:pt idx="855">
                        <c:v>7</c:v>
                      </c:pt>
                      <c:pt idx="856">
                        <c:v>7</c:v>
                      </c:pt>
                      <c:pt idx="857">
                        <c:v>7</c:v>
                      </c:pt>
                      <c:pt idx="858">
                        <c:v>7</c:v>
                      </c:pt>
                      <c:pt idx="859">
                        <c:v>7</c:v>
                      </c:pt>
                      <c:pt idx="860">
                        <c:v>7</c:v>
                      </c:pt>
                      <c:pt idx="861">
                        <c:v>7</c:v>
                      </c:pt>
                      <c:pt idx="862">
                        <c:v>7</c:v>
                      </c:pt>
                      <c:pt idx="863">
                        <c:v>7</c:v>
                      </c:pt>
                      <c:pt idx="864">
                        <c:v>7</c:v>
                      </c:pt>
                      <c:pt idx="865">
                        <c:v>7</c:v>
                      </c:pt>
                      <c:pt idx="866">
                        <c:v>7</c:v>
                      </c:pt>
                      <c:pt idx="867">
                        <c:v>7</c:v>
                      </c:pt>
                      <c:pt idx="868">
                        <c:v>7</c:v>
                      </c:pt>
                      <c:pt idx="869">
                        <c:v>7</c:v>
                      </c:pt>
                      <c:pt idx="870">
                        <c:v>7</c:v>
                      </c:pt>
                      <c:pt idx="871">
                        <c:v>7</c:v>
                      </c:pt>
                      <c:pt idx="872">
                        <c:v>7</c:v>
                      </c:pt>
                      <c:pt idx="873">
                        <c:v>7</c:v>
                      </c:pt>
                      <c:pt idx="874">
                        <c:v>7</c:v>
                      </c:pt>
                      <c:pt idx="875">
                        <c:v>7</c:v>
                      </c:pt>
                      <c:pt idx="876">
                        <c:v>7</c:v>
                      </c:pt>
                      <c:pt idx="877">
                        <c:v>7</c:v>
                      </c:pt>
                      <c:pt idx="878">
                        <c:v>7</c:v>
                      </c:pt>
                      <c:pt idx="879">
                        <c:v>7</c:v>
                      </c:pt>
                      <c:pt idx="880">
                        <c:v>7</c:v>
                      </c:pt>
                      <c:pt idx="881">
                        <c:v>7</c:v>
                      </c:pt>
                      <c:pt idx="882">
                        <c:v>7</c:v>
                      </c:pt>
                      <c:pt idx="883">
                        <c:v>7</c:v>
                      </c:pt>
                      <c:pt idx="884">
                        <c:v>7</c:v>
                      </c:pt>
                      <c:pt idx="885">
                        <c:v>7</c:v>
                      </c:pt>
                      <c:pt idx="886">
                        <c:v>7</c:v>
                      </c:pt>
                      <c:pt idx="887">
                        <c:v>7</c:v>
                      </c:pt>
                      <c:pt idx="888">
                        <c:v>7</c:v>
                      </c:pt>
                      <c:pt idx="889">
                        <c:v>7</c:v>
                      </c:pt>
                      <c:pt idx="890">
                        <c:v>7</c:v>
                      </c:pt>
                      <c:pt idx="891">
                        <c:v>7</c:v>
                      </c:pt>
                      <c:pt idx="892">
                        <c:v>7</c:v>
                      </c:pt>
                      <c:pt idx="893">
                        <c:v>7</c:v>
                      </c:pt>
                      <c:pt idx="894">
                        <c:v>7</c:v>
                      </c:pt>
                      <c:pt idx="895">
                        <c:v>7</c:v>
                      </c:pt>
                      <c:pt idx="896">
                        <c:v>7</c:v>
                      </c:pt>
                      <c:pt idx="897">
                        <c:v>7</c:v>
                      </c:pt>
                      <c:pt idx="898">
                        <c:v>7</c:v>
                      </c:pt>
                      <c:pt idx="899">
                        <c:v>7</c:v>
                      </c:pt>
                      <c:pt idx="900">
                        <c:v>7</c:v>
                      </c:pt>
                      <c:pt idx="901">
                        <c:v>7</c:v>
                      </c:pt>
                      <c:pt idx="902">
                        <c:v>7</c:v>
                      </c:pt>
                      <c:pt idx="903">
                        <c:v>7</c:v>
                      </c:pt>
                      <c:pt idx="904">
                        <c:v>7</c:v>
                      </c:pt>
                      <c:pt idx="905">
                        <c:v>7</c:v>
                      </c:pt>
                      <c:pt idx="906">
                        <c:v>7</c:v>
                      </c:pt>
                      <c:pt idx="907">
                        <c:v>7</c:v>
                      </c:pt>
                      <c:pt idx="908">
                        <c:v>7</c:v>
                      </c:pt>
                      <c:pt idx="909">
                        <c:v>7</c:v>
                      </c:pt>
                      <c:pt idx="910">
                        <c:v>7</c:v>
                      </c:pt>
                      <c:pt idx="911">
                        <c:v>7</c:v>
                      </c:pt>
                      <c:pt idx="912">
                        <c:v>7</c:v>
                      </c:pt>
                      <c:pt idx="913">
                        <c:v>7</c:v>
                      </c:pt>
                      <c:pt idx="914">
                        <c:v>7</c:v>
                      </c:pt>
                      <c:pt idx="915">
                        <c:v>7</c:v>
                      </c:pt>
                      <c:pt idx="916">
                        <c:v>7</c:v>
                      </c:pt>
                      <c:pt idx="929">
                        <c:v>8</c:v>
                      </c:pt>
                      <c:pt idx="930">
                        <c:v>8</c:v>
                      </c:pt>
                      <c:pt idx="931">
                        <c:v>8</c:v>
                      </c:pt>
                      <c:pt idx="962">
                        <c:v>9</c:v>
                      </c:pt>
                      <c:pt idx="963">
                        <c:v>9</c:v>
                      </c:pt>
                      <c:pt idx="964">
                        <c:v>9</c:v>
                      </c:pt>
                      <c:pt idx="965">
                        <c:v>9</c:v>
                      </c:pt>
                      <c:pt idx="966">
                        <c:v>9</c:v>
                      </c:pt>
                      <c:pt idx="967">
                        <c:v>9</c:v>
                      </c:pt>
                      <c:pt idx="968">
                        <c:v>9</c:v>
                      </c:pt>
                      <c:pt idx="969">
                        <c:v>9</c:v>
                      </c:pt>
                      <c:pt idx="970">
                        <c:v>9</c:v>
                      </c:pt>
                      <c:pt idx="971">
                        <c:v>9</c:v>
                      </c:pt>
                      <c:pt idx="972">
                        <c:v>9</c:v>
                      </c:pt>
                      <c:pt idx="973">
                        <c:v>9</c:v>
                      </c:pt>
                      <c:pt idx="974">
                        <c:v>9</c:v>
                      </c:pt>
                      <c:pt idx="975">
                        <c:v>9</c:v>
                      </c:pt>
                      <c:pt idx="976">
                        <c:v>9</c:v>
                      </c:pt>
                      <c:pt idx="977">
                        <c:v>9</c:v>
                      </c:pt>
                      <c:pt idx="978">
                        <c:v>9</c:v>
                      </c:pt>
                      <c:pt idx="979">
                        <c:v>9</c:v>
                      </c:pt>
                      <c:pt idx="980">
                        <c:v>9</c:v>
                      </c:pt>
                      <c:pt idx="981">
                        <c:v>9</c:v>
                      </c:pt>
                      <c:pt idx="982">
                        <c:v>9</c:v>
                      </c:pt>
                      <c:pt idx="983">
                        <c:v>9</c:v>
                      </c:pt>
                      <c:pt idx="984">
                        <c:v>9</c:v>
                      </c:pt>
                      <c:pt idx="985">
                        <c:v>9</c:v>
                      </c:pt>
                      <c:pt idx="986">
                        <c:v>9</c:v>
                      </c:pt>
                      <c:pt idx="987">
                        <c:v>9</c:v>
                      </c:pt>
                      <c:pt idx="1040">
                        <c:v>10</c:v>
                      </c:pt>
                      <c:pt idx="1041">
                        <c:v>10</c:v>
                      </c:pt>
                      <c:pt idx="1042">
                        <c:v>10</c:v>
                      </c:pt>
                      <c:pt idx="1043">
                        <c:v>10</c:v>
                      </c:pt>
                      <c:pt idx="1044">
                        <c:v>10</c:v>
                      </c:pt>
                      <c:pt idx="1045">
                        <c:v>10</c:v>
                      </c:pt>
                      <c:pt idx="1046">
                        <c:v>10</c:v>
                      </c:pt>
                      <c:pt idx="1047">
                        <c:v>10</c:v>
                      </c:pt>
                      <c:pt idx="1048">
                        <c:v>10</c:v>
                      </c:pt>
                      <c:pt idx="1049">
                        <c:v>10</c:v>
                      </c:pt>
                      <c:pt idx="1050">
                        <c:v>10</c:v>
                      </c:pt>
                      <c:pt idx="1051">
                        <c:v>10</c:v>
                      </c:pt>
                      <c:pt idx="1052">
                        <c:v>10</c:v>
                      </c:pt>
                      <c:pt idx="1053">
                        <c:v>10</c:v>
                      </c:pt>
                      <c:pt idx="1054">
                        <c:v>10</c:v>
                      </c:pt>
                      <c:pt idx="1055">
                        <c:v>10</c:v>
                      </c:pt>
                      <c:pt idx="1056">
                        <c:v>10</c:v>
                      </c:pt>
                      <c:pt idx="1057">
                        <c:v>10</c:v>
                      </c:pt>
                      <c:pt idx="1058">
                        <c:v>10</c:v>
                      </c:pt>
                      <c:pt idx="1059">
                        <c:v>10</c:v>
                      </c:pt>
                      <c:pt idx="1060">
                        <c:v>10</c:v>
                      </c:pt>
                      <c:pt idx="1061">
                        <c:v>10</c:v>
                      </c:pt>
                      <c:pt idx="1062">
                        <c:v>10</c:v>
                      </c:pt>
                      <c:pt idx="1063">
                        <c:v>10</c:v>
                      </c:pt>
                      <c:pt idx="1064">
                        <c:v>10</c:v>
                      </c:pt>
                      <c:pt idx="1065">
                        <c:v>10</c:v>
                      </c:pt>
                      <c:pt idx="1066">
                        <c:v>10</c:v>
                      </c:pt>
                      <c:pt idx="1067">
                        <c:v>10</c:v>
                      </c:pt>
                      <c:pt idx="1068">
                        <c:v>10</c:v>
                      </c:pt>
                      <c:pt idx="1069">
                        <c:v>10</c:v>
                      </c:pt>
                      <c:pt idx="1070">
                        <c:v>10</c:v>
                      </c:pt>
                      <c:pt idx="1071">
                        <c:v>10</c:v>
                      </c:pt>
                      <c:pt idx="1072">
                        <c:v>10</c:v>
                      </c:pt>
                      <c:pt idx="1073">
                        <c:v>10</c:v>
                      </c:pt>
                      <c:pt idx="1074">
                        <c:v>10</c:v>
                      </c:pt>
                      <c:pt idx="1075">
                        <c:v>10</c:v>
                      </c:pt>
                      <c:pt idx="1076">
                        <c:v>10</c:v>
                      </c:pt>
                      <c:pt idx="1077">
                        <c:v>10</c:v>
                      </c:pt>
                      <c:pt idx="1078">
                        <c:v>10</c:v>
                      </c:pt>
                      <c:pt idx="1079">
                        <c:v>10</c:v>
                      </c:pt>
                      <c:pt idx="1080">
                        <c:v>10</c:v>
                      </c:pt>
                      <c:pt idx="1081">
                        <c:v>10</c:v>
                      </c:pt>
                      <c:pt idx="1082">
                        <c:v>10</c:v>
                      </c:pt>
                      <c:pt idx="1083">
                        <c:v>10</c:v>
                      </c:pt>
                      <c:pt idx="1084">
                        <c:v>10</c:v>
                      </c:pt>
                      <c:pt idx="1085">
                        <c:v>10</c:v>
                      </c:pt>
                      <c:pt idx="1086">
                        <c:v>10</c:v>
                      </c:pt>
                      <c:pt idx="1087">
                        <c:v>10</c:v>
                      </c:pt>
                      <c:pt idx="1088">
                        <c:v>10</c:v>
                      </c:pt>
                      <c:pt idx="1089">
                        <c:v>10</c:v>
                      </c:pt>
                      <c:pt idx="1090">
                        <c:v>10</c:v>
                      </c:pt>
                      <c:pt idx="1091">
                        <c:v>10</c:v>
                      </c:pt>
                      <c:pt idx="1092">
                        <c:v>10</c:v>
                      </c:pt>
                      <c:pt idx="1093">
                        <c:v>10</c:v>
                      </c:pt>
                      <c:pt idx="1094">
                        <c:v>10</c:v>
                      </c:pt>
                      <c:pt idx="1095">
                        <c:v>10</c:v>
                      </c:pt>
                      <c:pt idx="1096">
                        <c:v>10</c:v>
                      </c:pt>
                      <c:pt idx="1097">
                        <c:v>10</c:v>
                      </c:pt>
                      <c:pt idx="1098">
                        <c:v>10</c:v>
                      </c:pt>
                      <c:pt idx="1099">
                        <c:v>10</c:v>
                      </c:pt>
                      <c:pt idx="1100">
                        <c:v>10</c:v>
                      </c:pt>
                      <c:pt idx="1101">
                        <c:v>10</c:v>
                      </c:pt>
                      <c:pt idx="1102">
                        <c:v>10</c:v>
                      </c:pt>
                      <c:pt idx="1103">
                        <c:v>10</c:v>
                      </c:pt>
                      <c:pt idx="1104">
                        <c:v>10</c:v>
                      </c:pt>
                      <c:pt idx="1105">
                        <c:v>10</c:v>
                      </c:pt>
                      <c:pt idx="1106">
                        <c:v>10</c:v>
                      </c:pt>
                      <c:pt idx="1107">
                        <c:v>10</c:v>
                      </c:pt>
                      <c:pt idx="1108">
                        <c:v>10</c:v>
                      </c:pt>
                      <c:pt idx="1109">
                        <c:v>10</c:v>
                      </c:pt>
                      <c:pt idx="1110">
                        <c:v>10</c:v>
                      </c:pt>
                      <c:pt idx="1111">
                        <c:v>10</c:v>
                      </c:pt>
                      <c:pt idx="1112">
                        <c:v>10</c:v>
                      </c:pt>
                      <c:pt idx="1113">
                        <c:v>10</c:v>
                      </c:pt>
                      <c:pt idx="1114">
                        <c:v>10</c:v>
                      </c:pt>
                      <c:pt idx="1115">
                        <c:v>10</c:v>
                      </c:pt>
                      <c:pt idx="1116">
                        <c:v>10</c:v>
                      </c:pt>
                      <c:pt idx="1117">
                        <c:v>10</c:v>
                      </c:pt>
                      <c:pt idx="1118">
                        <c:v>10</c:v>
                      </c:pt>
                      <c:pt idx="1119">
                        <c:v>10</c:v>
                      </c:pt>
                      <c:pt idx="1120">
                        <c:v>10</c:v>
                      </c:pt>
                      <c:pt idx="1121">
                        <c:v>10</c:v>
                      </c:pt>
                      <c:pt idx="1122">
                        <c:v>10</c:v>
                      </c:pt>
                      <c:pt idx="1123">
                        <c:v>10</c:v>
                      </c:pt>
                      <c:pt idx="1124">
                        <c:v>10</c:v>
                      </c:pt>
                      <c:pt idx="1125">
                        <c:v>10</c:v>
                      </c:pt>
                      <c:pt idx="1126">
                        <c:v>10</c:v>
                      </c:pt>
                      <c:pt idx="1127">
                        <c:v>10</c:v>
                      </c:pt>
                      <c:pt idx="1128">
                        <c:v>10</c:v>
                      </c:pt>
                      <c:pt idx="1129">
                        <c:v>10</c:v>
                      </c:pt>
                      <c:pt idx="1130">
                        <c:v>10</c:v>
                      </c:pt>
                      <c:pt idx="1131">
                        <c:v>10</c:v>
                      </c:pt>
                      <c:pt idx="1132">
                        <c:v>10</c:v>
                      </c:pt>
                      <c:pt idx="1133">
                        <c:v>10</c:v>
                      </c:pt>
                      <c:pt idx="1134">
                        <c:v>10</c:v>
                      </c:pt>
                      <c:pt idx="1135">
                        <c:v>10</c:v>
                      </c:pt>
                      <c:pt idx="1136">
                        <c:v>10</c:v>
                      </c:pt>
                      <c:pt idx="1137">
                        <c:v>10</c:v>
                      </c:pt>
                      <c:pt idx="1138">
                        <c:v>10</c:v>
                      </c:pt>
                      <c:pt idx="1139">
                        <c:v>10</c:v>
                      </c:pt>
                      <c:pt idx="1140">
                        <c:v>10</c:v>
                      </c:pt>
                      <c:pt idx="1141">
                        <c:v>10</c:v>
                      </c:pt>
                      <c:pt idx="1142">
                        <c:v>10</c:v>
                      </c:pt>
                      <c:pt idx="1143">
                        <c:v>10</c:v>
                      </c:pt>
                      <c:pt idx="1144">
                        <c:v>10</c:v>
                      </c:pt>
                      <c:pt idx="1145">
                        <c:v>10</c:v>
                      </c:pt>
                      <c:pt idx="1146">
                        <c:v>10</c:v>
                      </c:pt>
                      <c:pt idx="1147">
                        <c:v>10</c:v>
                      </c:pt>
                      <c:pt idx="1148">
                        <c:v>10</c:v>
                      </c:pt>
                      <c:pt idx="1149">
                        <c:v>10</c:v>
                      </c:pt>
                      <c:pt idx="1240">
                        <c:v>11</c:v>
                      </c:pt>
                      <c:pt idx="1241">
                        <c:v>11</c:v>
                      </c:pt>
                      <c:pt idx="1242">
                        <c:v>11</c:v>
                      </c:pt>
                      <c:pt idx="1243">
                        <c:v>11</c:v>
                      </c:pt>
                      <c:pt idx="1244">
                        <c:v>11</c:v>
                      </c:pt>
                      <c:pt idx="1245">
                        <c:v>11</c:v>
                      </c:pt>
                      <c:pt idx="1246">
                        <c:v>11</c:v>
                      </c:pt>
                      <c:pt idx="1247">
                        <c:v>11</c:v>
                      </c:pt>
                      <c:pt idx="1248">
                        <c:v>11</c:v>
                      </c:pt>
                      <c:pt idx="1249">
                        <c:v>11</c:v>
                      </c:pt>
                      <c:pt idx="1250">
                        <c:v>11</c:v>
                      </c:pt>
                      <c:pt idx="1251">
                        <c:v>11</c:v>
                      </c:pt>
                      <c:pt idx="1252">
                        <c:v>11</c:v>
                      </c:pt>
                      <c:pt idx="1253">
                        <c:v>11</c:v>
                      </c:pt>
                      <c:pt idx="1254">
                        <c:v>11</c:v>
                      </c:pt>
                      <c:pt idx="1255">
                        <c:v>11</c:v>
                      </c:pt>
                      <c:pt idx="1256">
                        <c:v>11</c:v>
                      </c:pt>
                      <c:pt idx="1257">
                        <c:v>11</c:v>
                      </c:pt>
                      <c:pt idx="1258">
                        <c:v>11</c:v>
                      </c:pt>
                      <c:pt idx="1259">
                        <c:v>11</c:v>
                      </c:pt>
                      <c:pt idx="1260">
                        <c:v>11</c:v>
                      </c:pt>
                      <c:pt idx="1261">
                        <c:v>11</c:v>
                      </c:pt>
                      <c:pt idx="1262">
                        <c:v>11</c:v>
                      </c:pt>
                      <c:pt idx="1263">
                        <c:v>11</c:v>
                      </c:pt>
                      <c:pt idx="1264">
                        <c:v>11</c:v>
                      </c:pt>
                      <c:pt idx="1265">
                        <c:v>11</c:v>
                      </c:pt>
                      <c:pt idx="1266">
                        <c:v>11</c:v>
                      </c:pt>
                      <c:pt idx="1267">
                        <c:v>11</c:v>
                      </c:pt>
                      <c:pt idx="1268">
                        <c:v>11</c:v>
                      </c:pt>
                      <c:pt idx="1269">
                        <c:v>11</c:v>
                      </c:pt>
                      <c:pt idx="1270">
                        <c:v>11</c:v>
                      </c:pt>
                      <c:pt idx="1271">
                        <c:v>11</c:v>
                      </c:pt>
                      <c:pt idx="1272">
                        <c:v>11</c:v>
                      </c:pt>
                      <c:pt idx="1273">
                        <c:v>11</c:v>
                      </c:pt>
                      <c:pt idx="1274">
                        <c:v>11</c:v>
                      </c:pt>
                      <c:pt idx="1275">
                        <c:v>11</c:v>
                      </c:pt>
                      <c:pt idx="1276">
                        <c:v>11</c:v>
                      </c:pt>
                      <c:pt idx="1277">
                        <c:v>11</c:v>
                      </c:pt>
                      <c:pt idx="1278">
                        <c:v>11</c:v>
                      </c:pt>
                      <c:pt idx="1279">
                        <c:v>11</c:v>
                      </c:pt>
                      <c:pt idx="1280">
                        <c:v>11</c:v>
                      </c:pt>
                      <c:pt idx="1281">
                        <c:v>11</c:v>
                      </c:pt>
                      <c:pt idx="1282">
                        <c:v>11</c:v>
                      </c:pt>
                      <c:pt idx="1283">
                        <c:v>11</c:v>
                      </c:pt>
                      <c:pt idx="1284">
                        <c:v>11</c:v>
                      </c:pt>
                      <c:pt idx="1285">
                        <c:v>11</c:v>
                      </c:pt>
                      <c:pt idx="1286">
                        <c:v>11</c:v>
                      </c:pt>
                      <c:pt idx="1287">
                        <c:v>11</c:v>
                      </c:pt>
                      <c:pt idx="1288">
                        <c:v>11</c:v>
                      </c:pt>
                      <c:pt idx="1289">
                        <c:v>11</c:v>
                      </c:pt>
                      <c:pt idx="1290">
                        <c:v>11</c:v>
                      </c:pt>
                      <c:pt idx="1291">
                        <c:v>11</c:v>
                      </c:pt>
                      <c:pt idx="1292">
                        <c:v>11</c:v>
                      </c:pt>
                      <c:pt idx="1293">
                        <c:v>11</c:v>
                      </c:pt>
                      <c:pt idx="1294">
                        <c:v>11</c:v>
                      </c:pt>
                      <c:pt idx="1295">
                        <c:v>11</c:v>
                      </c:pt>
                      <c:pt idx="1296">
                        <c:v>11</c:v>
                      </c:pt>
                      <c:pt idx="1297">
                        <c:v>11</c:v>
                      </c:pt>
                      <c:pt idx="1298">
                        <c:v>11</c:v>
                      </c:pt>
                      <c:pt idx="1299">
                        <c:v>11</c:v>
                      </c:pt>
                      <c:pt idx="1300">
                        <c:v>11</c:v>
                      </c:pt>
                      <c:pt idx="1301">
                        <c:v>11</c:v>
                      </c:pt>
                      <c:pt idx="1302">
                        <c:v>11</c:v>
                      </c:pt>
                      <c:pt idx="1303">
                        <c:v>11</c:v>
                      </c:pt>
                      <c:pt idx="1304">
                        <c:v>11</c:v>
                      </c:pt>
                      <c:pt idx="1305">
                        <c:v>11</c:v>
                      </c:pt>
                      <c:pt idx="1348">
                        <c:v>12</c:v>
                      </c:pt>
                      <c:pt idx="1349">
                        <c:v>12</c:v>
                      </c:pt>
                      <c:pt idx="1350">
                        <c:v>12</c:v>
                      </c:pt>
                      <c:pt idx="1351">
                        <c:v>12</c:v>
                      </c:pt>
                      <c:pt idx="1352">
                        <c:v>12</c:v>
                      </c:pt>
                      <c:pt idx="1353">
                        <c:v>12</c:v>
                      </c:pt>
                      <c:pt idx="1354">
                        <c:v>12</c:v>
                      </c:pt>
                      <c:pt idx="1355">
                        <c:v>12</c:v>
                      </c:pt>
                      <c:pt idx="1356">
                        <c:v>12</c:v>
                      </c:pt>
                      <c:pt idx="1357">
                        <c:v>12</c:v>
                      </c:pt>
                      <c:pt idx="1358">
                        <c:v>12</c:v>
                      </c:pt>
                      <c:pt idx="1359">
                        <c:v>12</c:v>
                      </c:pt>
                      <c:pt idx="1360">
                        <c:v>12</c:v>
                      </c:pt>
                      <c:pt idx="1361">
                        <c:v>12</c:v>
                      </c:pt>
                      <c:pt idx="1362">
                        <c:v>12</c:v>
                      </c:pt>
                      <c:pt idx="1363">
                        <c:v>12</c:v>
                      </c:pt>
                      <c:pt idx="1364">
                        <c:v>12</c:v>
                      </c:pt>
                      <c:pt idx="1365">
                        <c:v>12</c:v>
                      </c:pt>
                      <c:pt idx="1366">
                        <c:v>12</c:v>
                      </c:pt>
                      <c:pt idx="1367">
                        <c:v>12</c:v>
                      </c:pt>
                      <c:pt idx="1368">
                        <c:v>12</c:v>
                      </c:pt>
                      <c:pt idx="1369">
                        <c:v>12</c:v>
                      </c:pt>
                      <c:pt idx="1370">
                        <c:v>12</c:v>
                      </c:pt>
                      <c:pt idx="1371">
                        <c:v>12</c:v>
                      </c:pt>
                      <c:pt idx="1372">
                        <c:v>12</c:v>
                      </c:pt>
                      <c:pt idx="1373">
                        <c:v>12</c:v>
                      </c:pt>
                      <c:pt idx="1374">
                        <c:v>12</c:v>
                      </c:pt>
                      <c:pt idx="1375">
                        <c:v>12</c:v>
                      </c:pt>
                      <c:pt idx="1490">
                        <c:v>13</c:v>
                      </c:pt>
                      <c:pt idx="1491">
                        <c:v>13</c:v>
                      </c:pt>
                      <c:pt idx="1492">
                        <c:v>13</c:v>
                      </c:pt>
                      <c:pt idx="1493">
                        <c:v>13</c:v>
                      </c:pt>
                      <c:pt idx="1494">
                        <c:v>13</c:v>
                      </c:pt>
                      <c:pt idx="1495">
                        <c:v>13</c:v>
                      </c:pt>
                      <c:pt idx="1496">
                        <c:v>13</c:v>
                      </c:pt>
                      <c:pt idx="1497">
                        <c:v>13</c:v>
                      </c:pt>
                      <c:pt idx="1498">
                        <c:v>13</c:v>
                      </c:pt>
                      <c:pt idx="1499">
                        <c:v>13</c:v>
                      </c:pt>
                      <c:pt idx="1500">
                        <c:v>13</c:v>
                      </c:pt>
                      <c:pt idx="1501">
                        <c:v>13</c:v>
                      </c:pt>
                      <c:pt idx="1502">
                        <c:v>13</c:v>
                      </c:pt>
                      <c:pt idx="1503">
                        <c:v>13</c:v>
                      </c:pt>
                      <c:pt idx="1504">
                        <c:v>13</c:v>
                      </c:pt>
                      <c:pt idx="1505">
                        <c:v>13</c:v>
                      </c:pt>
                      <c:pt idx="1506">
                        <c:v>13</c:v>
                      </c:pt>
                      <c:pt idx="1507">
                        <c:v>13</c:v>
                      </c:pt>
                      <c:pt idx="1508">
                        <c:v>13</c:v>
                      </c:pt>
                      <c:pt idx="1509">
                        <c:v>13</c:v>
                      </c:pt>
                      <c:pt idx="1510">
                        <c:v>13</c:v>
                      </c:pt>
                      <c:pt idx="1511">
                        <c:v>13</c:v>
                      </c:pt>
                      <c:pt idx="1512">
                        <c:v>13</c:v>
                      </c:pt>
                      <c:pt idx="1513">
                        <c:v>13</c:v>
                      </c:pt>
                      <c:pt idx="1514">
                        <c:v>13</c:v>
                      </c:pt>
                      <c:pt idx="1515">
                        <c:v>13</c:v>
                      </c:pt>
                      <c:pt idx="1516">
                        <c:v>13</c:v>
                      </c:pt>
                      <c:pt idx="1517">
                        <c:v>13</c:v>
                      </c:pt>
                      <c:pt idx="1518">
                        <c:v>13</c:v>
                      </c:pt>
                      <c:pt idx="1519">
                        <c:v>13</c:v>
                      </c:pt>
                      <c:pt idx="1520">
                        <c:v>13</c:v>
                      </c:pt>
                      <c:pt idx="1521">
                        <c:v>13</c:v>
                      </c:pt>
                      <c:pt idx="1522">
                        <c:v>13</c:v>
                      </c:pt>
                      <c:pt idx="1523">
                        <c:v>13</c:v>
                      </c:pt>
                      <c:pt idx="1524">
                        <c:v>13</c:v>
                      </c:pt>
                      <c:pt idx="1525">
                        <c:v>13</c:v>
                      </c:pt>
                      <c:pt idx="1526">
                        <c:v>13</c:v>
                      </c:pt>
                      <c:pt idx="1527">
                        <c:v>13</c:v>
                      </c:pt>
                      <c:pt idx="1528">
                        <c:v>13</c:v>
                      </c:pt>
                      <c:pt idx="1529">
                        <c:v>13</c:v>
                      </c:pt>
                      <c:pt idx="1530">
                        <c:v>13</c:v>
                      </c:pt>
                      <c:pt idx="1531">
                        <c:v>13</c:v>
                      </c:pt>
                      <c:pt idx="1532">
                        <c:v>13</c:v>
                      </c:pt>
                      <c:pt idx="1533">
                        <c:v>13</c:v>
                      </c:pt>
                      <c:pt idx="1534">
                        <c:v>13</c:v>
                      </c:pt>
                      <c:pt idx="1535">
                        <c:v>13</c:v>
                      </c:pt>
                      <c:pt idx="1536">
                        <c:v>13</c:v>
                      </c:pt>
                      <c:pt idx="1537">
                        <c:v>13</c:v>
                      </c:pt>
                      <c:pt idx="1538">
                        <c:v>13</c:v>
                      </c:pt>
                      <c:pt idx="1539">
                        <c:v>13</c:v>
                      </c:pt>
                      <c:pt idx="1540">
                        <c:v>13</c:v>
                      </c:pt>
                      <c:pt idx="1541">
                        <c:v>13</c:v>
                      </c:pt>
                      <c:pt idx="1542">
                        <c:v>13</c:v>
                      </c:pt>
                      <c:pt idx="1543">
                        <c:v>13</c:v>
                      </c:pt>
                      <c:pt idx="1544">
                        <c:v>13</c:v>
                      </c:pt>
                      <c:pt idx="1545">
                        <c:v>13</c:v>
                      </c:pt>
                      <c:pt idx="1546">
                        <c:v>13</c:v>
                      </c:pt>
                      <c:pt idx="1547">
                        <c:v>13</c:v>
                      </c:pt>
                      <c:pt idx="1548">
                        <c:v>13</c:v>
                      </c:pt>
                      <c:pt idx="1549">
                        <c:v>13</c:v>
                      </c:pt>
                      <c:pt idx="1550">
                        <c:v>13</c:v>
                      </c:pt>
                      <c:pt idx="1551">
                        <c:v>13</c:v>
                      </c:pt>
                      <c:pt idx="1552">
                        <c:v>13</c:v>
                      </c:pt>
                      <c:pt idx="1553">
                        <c:v>13</c:v>
                      </c:pt>
                      <c:pt idx="1554">
                        <c:v>13</c:v>
                      </c:pt>
                      <c:pt idx="1555">
                        <c:v>13</c:v>
                      </c:pt>
                      <c:pt idx="1645">
                        <c:v>14</c:v>
                      </c:pt>
                      <c:pt idx="1646">
                        <c:v>14</c:v>
                      </c:pt>
                      <c:pt idx="1647">
                        <c:v>14</c:v>
                      </c:pt>
                      <c:pt idx="1648">
                        <c:v>14</c:v>
                      </c:pt>
                      <c:pt idx="1649">
                        <c:v>14</c:v>
                      </c:pt>
                      <c:pt idx="1650">
                        <c:v>14</c:v>
                      </c:pt>
                      <c:pt idx="1651">
                        <c:v>14</c:v>
                      </c:pt>
                      <c:pt idx="1652">
                        <c:v>14</c:v>
                      </c:pt>
                      <c:pt idx="1653">
                        <c:v>14</c:v>
                      </c:pt>
                      <c:pt idx="1654">
                        <c:v>14</c:v>
                      </c:pt>
                      <c:pt idx="1655">
                        <c:v>14</c:v>
                      </c:pt>
                      <c:pt idx="1656">
                        <c:v>14</c:v>
                      </c:pt>
                      <c:pt idx="1657">
                        <c:v>14</c:v>
                      </c:pt>
                      <c:pt idx="1658">
                        <c:v>14</c:v>
                      </c:pt>
                      <c:pt idx="1931">
                        <c:v>15</c:v>
                      </c:pt>
                      <c:pt idx="1932">
                        <c:v>15</c:v>
                      </c:pt>
                      <c:pt idx="1933">
                        <c:v>15</c:v>
                      </c:pt>
                      <c:pt idx="1934">
                        <c:v>15</c:v>
                      </c:pt>
                      <c:pt idx="1935">
                        <c:v>15</c:v>
                      </c:pt>
                      <c:pt idx="1936">
                        <c:v>15</c:v>
                      </c:pt>
                      <c:pt idx="1937">
                        <c:v>15</c:v>
                      </c:pt>
                      <c:pt idx="1938">
                        <c:v>15</c:v>
                      </c:pt>
                      <c:pt idx="1939">
                        <c:v>15</c:v>
                      </c:pt>
                      <c:pt idx="1940">
                        <c:v>15</c:v>
                      </c:pt>
                      <c:pt idx="1941">
                        <c:v>15</c:v>
                      </c:pt>
                      <c:pt idx="2085">
                        <c:v>16</c:v>
                      </c:pt>
                      <c:pt idx="2086">
                        <c:v>16</c:v>
                      </c:pt>
                      <c:pt idx="2087">
                        <c:v>16</c:v>
                      </c:pt>
                      <c:pt idx="2088">
                        <c:v>16</c:v>
                      </c:pt>
                      <c:pt idx="2089">
                        <c:v>16</c:v>
                      </c:pt>
                      <c:pt idx="2090">
                        <c:v>16</c:v>
                      </c:pt>
                      <c:pt idx="2091">
                        <c:v>16</c:v>
                      </c:pt>
                      <c:pt idx="2092">
                        <c:v>16</c:v>
                      </c:pt>
                      <c:pt idx="2093">
                        <c:v>16</c:v>
                      </c:pt>
                      <c:pt idx="2094">
                        <c:v>16</c:v>
                      </c:pt>
                      <c:pt idx="2095">
                        <c:v>16</c:v>
                      </c:pt>
                      <c:pt idx="2096">
                        <c:v>16</c:v>
                      </c:pt>
                      <c:pt idx="2097">
                        <c:v>16</c:v>
                      </c:pt>
                      <c:pt idx="2098">
                        <c:v>16</c:v>
                      </c:pt>
                      <c:pt idx="2099">
                        <c:v>16</c:v>
                      </c:pt>
                      <c:pt idx="2100">
                        <c:v>16</c:v>
                      </c:pt>
                      <c:pt idx="2101">
                        <c:v>16</c:v>
                      </c:pt>
                      <c:pt idx="2102">
                        <c:v>16</c:v>
                      </c:pt>
                      <c:pt idx="2103">
                        <c:v>16</c:v>
                      </c:pt>
                      <c:pt idx="2104">
                        <c:v>16</c:v>
                      </c:pt>
                      <c:pt idx="2105">
                        <c:v>16</c:v>
                      </c:pt>
                      <c:pt idx="2106">
                        <c:v>16</c:v>
                      </c:pt>
                      <c:pt idx="2107">
                        <c:v>16</c:v>
                      </c:pt>
                      <c:pt idx="2108">
                        <c:v>16</c:v>
                      </c:pt>
                      <c:pt idx="2109">
                        <c:v>16</c:v>
                      </c:pt>
                      <c:pt idx="2110">
                        <c:v>16</c:v>
                      </c:pt>
                      <c:pt idx="2111">
                        <c:v>16</c:v>
                      </c:pt>
                      <c:pt idx="2112">
                        <c:v>16</c:v>
                      </c:pt>
                      <c:pt idx="2113">
                        <c:v>16</c:v>
                      </c:pt>
                      <c:pt idx="2114">
                        <c:v>16</c:v>
                      </c:pt>
                      <c:pt idx="2115">
                        <c:v>16</c:v>
                      </c:pt>
                      <c:pt idx="2116">
                        <c:v>16</c:v>
                      </c:pt>
                      <c:pt idx="2117">
                        <c:v>16</c:v>
                      </c:pt>
                      <c:pt idx="2118">
                        <c:v>16</c:v>
                      </c:pt>
                      <c:pt idx="2119">
                        <c:v>16</c:v>
                      </c:pt>
                      <c:pt idx="2120">
                        <c:v>16</c:v>
                      </c:pt>
                      <c:pt idx="2121">
                        <c:v>16</c:v>
                      </c:pt>
                      <c:pt idx="2122">
                        <c:v>16</c:v>
                      </c:pt>
                      <c:pt idx="2123">
                        <c:v>16</c:v>
                      </c:pt>
                      <c:pt idx="2124">
                        <c:v>16</c:v>
                      </c:pt>
                      <c:pt idx="2125">
                        <c:v>16</c:v>
                      </c:pt>
                      <c:pt idx="2126">
                        <c:v>16</c:v>
                      </c:pt>
                      <c:pt idx="2127">
                        <c:v>16</c:v>
                      </c:pt>
                      <c:pt idx="2128">
                        <c:v>16</c:v>
                      </c:pt>
                      <c:pt idx="2129">
                        <c:v>16</c:v>
                      </c:pt>
                      <c:pt idx="2130">
                        <c:v>16</c:v>
                      </c:pt>
                      <c:pt idx="2131">
                        <c:v>16</c:v>
                      </c:pt>
                      <c:pt idx="2132">
                        <c:v>16</c:v>
                      </c:pt>
                      <c:pt idx="2133">
                        <c:v>16</c:v>
                      </c:pt>
                      <c:pt idx="2134">
                        <c:v>16</c:v>
                      </c:pt>
                      <c:pt idx="2135">
                        <c:v>16</c:v>
                      </c:pt>
                      <c:pt idx="2136">
                        <c:v>16</c:v>
                      </c:pt>
                      <c:pt idx="2137">
                        <c:v>16</c:v>
                      </c:pt>
                      <c:pt idx="2138">
                        <c:v>16</c:v>
                      </c:pt>
                      <c:pt idx="2139">
                        <c:v>16</c:v>
                      </c:pt>
                      <c:pt idx="2140">
                        <c:v>16</c:v>
                      </c:pt>
                      <c:pt idx="2141">
                        <c:v>16</c:v>
                      </c:pt>
                      <c:pt idx="2142">
                        <c:v>16</c:v>
                      </c:pt>
                      <c:pt idx="2143">
                        <c:v>16</c:v>
                      </c:pt>
                      <c:pt idx="2144">
                        <c:v>16</c:v>
                      </c:pt>
                      <c:pt idx="2145">
                        <c:v>16</c:v>
                      </c:pt>
                      <c:pt idx="2146">
                        <c:v>16</c:v>
                      </c:pt>
                      <c:pt idx="2147">
                        <c:v>16</c:v>
                      </c:pt>
                      <c:pt idx="2148">
                        <c:v>16</c:v>
                      </c:pt>
                      <c:pt idx="2149">
                        <c:v>16</c:v>
                      </c:pt>
                      <c:pt idx="2150">
                        <c:v>16</c:v>
                      </c:pt>
                      <c:pt idx="2151">
                        <c:v>16</c:v>
                      </c:pt>
                      <c:pt idx="2152">
                        <c:v>16</c:v>
                      </c:pt>
                      <c:pt idx="2153">
                        <c:v>16</c:v>
                      </c:pt>
                      <c:pt idx="2168">
                        <c:v>17</c:v>
                      </c:pt>
                      <c:pt idx="2169">
                        <c:v>17</c:v>
                      </c:pt>
                      <c:pt idx="2170">
                        <c:v>17</c:v>
                      </c:pt>
                      <c:pt idx="2171">
                        <c:v>17</c:v>
                      </c:pt>
                      <c:pt idx="2172">
                        <c:v>17</c:v>
                      </c:pt>
                      <c:pt idx="2173">
                        <c:v>17</c:v>
                      </c:pt>
                      <c:pt idx="2174">
                        <c:v>17</c:v>
                      </c:pt>
                      <c:pt idx="2175">
                        <c:v>17</c:v>
                      </c:pt>
                      <c:pt idx="2176">
                        <c:v>17</c:v>
                      </c:pt>
                      <c:pt idx="2177">
                        <c:v>17</c:v>
                      </c:pt>
                      <c:pt idx="2178">
                        <c:v>17</c:v>
                      </c:pt>
                      <c:pt idx="2179">
                        <c:v>17</c:v>
                      </c:pt>
                      <c:pt idx="2180">
                        <c:v>17</c:v>
                      </c:pt>
                      <c:pt idx="2181">
                        <c:v>17</c:v>
                      </c:pt>
                      <c:pt idx="2182">
                        <c:v>17</c:v>
                      </c:pt>
                      <c:pt idx="2183">
                        <c:v>17</c:v>
                      </c:pt>
                      <c:pt idx="2184">
                        <c:v>17</c:v>
                      </c:pt>
                      <c:pt idx="2185">
                        <c:v>17</c:v>
                      </c:pt>
                      <c:pt idx="2186">
                        <c:v>17</c:v>
                      </c:pt>
                      <c:pt idx="2187">
                        <c:v>17</c:v>
                      </c:pt>
                      <c:pt idx="2188">
                        <c:v>17</c:v>
                      </c:pt>
                      <c:pt idx="2189">
                        <c:v>17</c:v>
                      </c:pt>
                      <c:pt idx="2190">
                        <c:v>17</c:v>
                      </c:pt>
                      <c:pt idx="2191">
                        <c:v>17</c:v>
                      </c:pt>
                      <c:pt idx="2192">
                        <c:v>17</c:v>
                      </c:pt>
                      <c:pt idx="2193">
                        <c:v>17</c:v>
                      </c:pt>
                      <c:pt idx="2194">
                        <c:v>17</c:v>
                      </c:pt>
                      <c:pt idx="2195">
                        <c:v>17</c:v>
                      </c:pt>
                      <c:pt idx="2196">
                        <c:v>17</c:v>
                      </c:pt>
                      <c:pt idx="2197">
                        <c:v>17</c:v>
                      </c:pt>
                      <c:pt idx="2198">
                        <c:v>17</c:v>
                      </c:pt>
                      <c:pt idx="2199">
                        <c:v>17</c:v>
                      </c:pt>
                      <c:pt idx="2200">
                        <c:v>17</c:v>
                      </c:pt>
                      <c:pt idx="2201">
                        <c:v>17</c:v>
                      </c:pt>
                      <c:pt idx="2202">
                        <c:v>17</c:v>
                      </c:pt>
                      <c:pt idx="2203">
                        <c:v>17</c:v>
                      </c:pt>
                      <c:pt idx="2204">
                        <c:v>17</c:v>
                      </c:pt>
                      <c:pt idx="2205">
                        <c:v>17</c:v>
                      </c:pt>
                      <c:pt idx="2206">
                        <c:v>17</c:v>
                      </c:pt>
                      <c:pt idx="2207">
                        <c:v>17</c:v>
                      </c:pt>
                      <c:pt idx="2208">
                        <c:v>17</c:v>
                      </c:pt>
                      <c:pt idx="2209">
                        <c:v>17</c:v>
                      </c:pt>
                      <c:pt idx="2210">
                        <c:v>17</c:v>
                      </c:pt>
                      <c:pt idx="2211">
                        <c:v>17</c:v>
                      </c:pt>
                      <c:pt idx="2212">
                        <c:v>17</c:v>
                      </c:pt>
                      <c:pt idx="2213">
                        <c:v>17</c:v>
                      </c:pt>
                      <c:pt idx="2214">
                        <c:v>17</c:v>
                      </c:pt>
                      <c:pt idx="2215">
                        <c:v>17</c:v>
                      </c:pt>
                      <c:pt idx="2216">
                        <c:v>17</c:v>
                      </c:pt>
                      <c:pt idx="2217">
                        <c:v>17</c:v>
                      </c:pt>
                      <c:pt idx="2218">
                        <c:v>17</c:v>
                      </c:pt>
                      <c:pt idx="2219">
                        <c:v>17</c:v>
                      </c:pt>
                      <c:pt idx="2220">
                        <c:v>17</c:v>
                      </c:pt>
                      <c:pt idx="2221">
                        <c:v>17</c:v>
                      </c:pt>
                      <c:pt idx="2222">
                        <c:v>17</c:v>
                      </c:pt>
                      <c:pt idx="2223">
                        <c:v>17</c:v>
                      </c:pt>
                      <c:pt idx="2224">
                        <c:v>17</c:v>
                      </c:pt>
                      <c:pt idx="2225">
                        <c:v>17</c:v>
                      </c:pt>
                      <c:pt idx="2226">
                        <c:v>17</c:v>
                      </c:pt>
                      <c:pt idx="2227">
                        <c:v>17</c:v>
                      </c:pt>
                      <c:pt idx="2228">
                        <c:v>17</c:v>
                      </c:pt>
                      <c:pt idx="2229">
                        <c:v>17</c:v>
                      </c:pt>
                      <c:pt idx="2230">
                        <c:v>17</c:v>
                      </c:pt>
                      <c:pt idx="2231">
                        <c:v>17</c:v>
                      </c:pt>
                      <c:pt idx="2232">
                        <c:v>17</c:v>
                      </c:pt>
                      <c:pt idx="2233">
                        <c:v>17</c:v>
                      </c:pt>
                      <c:pt idx="2234">
                        <c:v>17</c:v>
                      </c:pt>
                      <c:pt idx="2235">
                        <c:v>17</c:v>
                      </c:pt>
                      <c:pt idx="2236">
                        <c:v>17</c:v>
                      </c:pt>
                      <c:pt idx="2237">
                        <c:v>17</c:v>
                      </c:pt>
                      <c:pt idx="2238">
                        <c:v>17</c:v>
                      </c:pt>
                      <c:pt idx="2239">
                        <c:v>17</c:v>
                      </c:pt>
                      <c:pt idx="2240">
                        <c:v>17</c:v>
                      </c:pt>
                      <c:pt idx="2261">
                        <c:v>18</c:v>
                      </c:pt>
                      <c:pt idx="2262">
                        <c:v>18</c:v>
                      </c:pt>
                      <c:pt idx="2263">
                        <c:v>18</c:v>
                      </c:pt>
                      <c:pt idx="2264">
                        <c:v>18</c:v>
                      </c:pt>
                      <c:pt idx="2265">
                        <c:v>18</c:v>
                      </c:pt>
                      <c:pt idx="2266">
                        <c:v>18</c:v>
                      </c:pt>
                      <c:pt idx="2267">
                        <c:v>18</c:v>
                      </c:pt>
                      <c:pt idx="2268">
                        <c:v>18</c:v>
                      </c:pt>
                      <c:pt idx="2269">
                        <c:v>18</c:v>
                      </c:pt>
                      <c:pt idx="2270">
                        <c:v>18</c:v>
                      </c:pt>
                      <c:pt idx="2271">
                        <c:v>18</c:v>
                      </c:pt>
                      <c:pt idx="2272">
                        <c:v>18</c:v>
                      </c:pt>
                      <c:pt idx="2273">
                        <c:v>18</c:v>
                      </c:pt>
                      <c:pt idx="2274">
                        <c:v>18</c:v>
                      </c:pt>
                      <c:pt idx="2275">
                        <c:v>18</c:v>
                      </c:pt>
                      <c:pt idx="2276">
                        <c:v>18</c:v>
                      </c:pt>
                      <c:pt idx="2277">
                        <c:v>18</c:v>
                      </c:pt>
                      <c:pt idx="2278">
                        <c:v>18</c:v>
                      </c:pt>
                      <c:pt idx="2279">
                        <c:v>18</c:v>
                      </c:pt>
                      <c:pt idx="2280">
                        <c:v>18</c:v>
                      </c:pt>
                      <c:pt idx="2281">
                        <c:v>18</c:v>
                      </c:pt>
                      <c:pt idx="2282">
                        <c:v>18</c:v>
                      </c:pt>
                      <c:pt idx="2283">
                        <c:v>18</c:v>
                      </c:pt>
                      <c:pt idx="2284">
                        <c:v>18</c:v>
                      </c:pt>
                      <c:pt idx="2285">
                        <c:v>18</c:v>
                      </c:pt>
                      <c:pt idx="2286">
                        <c:v>18</c:v>
                      </c:pt>
                      <c:pt idx="2287">
                        <c:v>18</c:v>
                      </c:pt>
                      <c:pt idx="2288">
                        <c:v>18</c:v>
                      </c:pt>
                      <c:pt idx="2289">
                        <c:v>18</c:v>
                      </c:pt>
                      <c:pt idx="2290">
                        <c:v>18</c:v>
                      </c:pt>
                      <c:pt idx="2291">
                        <c:v>18</c:v>
                      </c:pt>
                      <c:pt idx="2292">
                        <c:v>18</c:v>
                      </c:pt>
                      <c:pt idx="2293">
                        <c:v>18</c:v>
                      </c:pt>
                      <c:pt idx="2294">
                        <c:v>18</c:v>
                      </c:pt>
                      <c:pt idx="2295">
                        <c:v>18</c:v>
                      </c:pt>
                      <c:pt idx="2296">
                        <c:v>18</c:v>
                      </c:pt>
                      <c:pt idx="2297">
                        <c:v>18</c:v>
                      </c:pt>
                      <c:pt idx="2298">
                        <c:v>18</c:v>
                      </c:pt>
                      <c:pt idx="2299">
                        <c:v>18</c:v>
                      </c:pt>
                      <c:pt idx="2300">
                        <c:v>18</c:v>
                      </c:pt>
                      <c:pt idx="2301">
                        <c:v>18</c:v>
                      </c:pt>
                      <c:pt idx="2302">
                        <c:v>18</c:v>
                      </c:pt>
                      <c:pt idx="2303">
                        <c:v>18</c:v>
                      </c:pt>
                      <c:pt idx="2304">
                        <c:v>18</c:v>
                      </c:pt>
                      <c:pt idx="2305">
                        <c:v>18</c:v>
                      </c:pt>
                      <c:pt idx="2306">
                        <c:v>18</c:v>
                      </c:pt>
                      <c:pt idx="2307">
                        <c:v>18</c:v>
                      </c:pt>
                      <c:pt idx="2308">
                        <c:v>18</c:v>
                      </c:pt>
                      <c:pt idx="2309">
                        <c:v>18</c:v>
                      </c:pt>
                      <c:pt idx="2310">
                        <c:v>18</c:v>
                      </c:pt>
                      <c:pt idx="2311">
                        <c:v>18</c:v>
                      </c:pt>
                      <c:pt idx="2312">
                        <c:v>18</c:v>
                      </c:pt>
                      <c:pt idx="2313">
                        <c:v>18</c:v>
                      </c:pt>
                      <c:pt idx="2314">
                        <c:v>18</c:v>
                      </c:pt>
                      <c:pt idx="2315">
                        <c:v>18</c:v>
                      </c:pt>
                      <c:pt idx="2316">
                        <c:v>18</c:v>
                      </c:pt>
                      <c:pt idx="2317">
                        <c:v>18</c:v>
                      </c:pt>
                      <c:pt idx="2318">
                        <c:v>18</c:v>
                      </c:pt>
                      <c:pt idx="2319">
                        <c:v>18</c:v>
                      </c:pt>
                      <c:pt idx="2320">
                        <c:v>18</c:v>
                      </c:pt>
                      <c:pt idx="2321">
                        <c:v>18</c:v>
                      </c:pt>
                      <c:pt idx="2322">
                        <c:v>18</c:v>
                      </c:pt>
                      <c:pt idx="2364">
                        <c:v>19</c:v>
                      </c:pt>
                      <c:pt idx="2365">
                        <c:v>19</c:v>
                      </c:pt>
                      <c:pt idx="2366">
                        <c:v>19</c:v>
                      </c:pt>
                      <c:pt idx="2367">
                        <c:v>19</c:v>
                      </c:pt>
                      <c:pt idx="2368">
                        <c:v>19</c:v>
                      </c:pt>
                      <c:pt idx="2369">
                        <c:v>19</c:v>
                      </c:pt>
                      <c:pt idx="2370">
                        <c:v>19</c:v>
                      </c:pt>
                      <c:pt idx="2371">
                        <c:v>19</c:v>
                      </c:pt>
                      <c:pt idx="2372">
                        <c:v>19</c:v>
                      </c:pt>
                      <c:pt idx="2373">
                        <c:v>19</c:v>
                      </c:pt>
                      <c:pt idx="2374">
                        <c:v>19</c:v>
                      </c:pt>
                      <c:pt idx="2375">
                        <c:v>19</c:v>
                      </c:pt>
                      <c:pt idx="2376">
                        <c:v>19</c:v>
                      </c:pt>
                      <c:pt idx="2377">
                        <c:v>19</c:v>
                      </c:pt>
                      <c:pt idx="2378">
                        <c:v>19</c:v>
                      </c:pt>
                      <c:pt idx="2379">
                        <c:v>19</c:v>
                      </c:pt>
                      <c:pt idx="2380">
                        <c:v>19</c:v>
                      </c:pt>
                      <c:pt idx="2381">
                        <c:v>19</c:v>
                      </c:pt>
                      <c:pt idx="2382">
                        <c:v>19</c:v>
                      </c:pt>
                      <c:pt idx="2383">
                        <c:v>19</c:v>
                      </c:pt>
                      <c:pt idx="2384">
                        <c:v>19</c:v>
                      </c:pt>
                      <c:pt idx="2385">
                        <c:v>19</c:v>
                      </c:pt>
                      <c:pt idx="2386">
                        <c:v>19</c:v>
                      </c:pt>
                      <c:pt idx="2387">
                        <c:v>19</c:v>
                      </c:pt>
                      <c:pt idx="2388">
                        <c:v>19</c:v>
                      </c:pt>
                      <c:pt idx="2389">
                        <c:v>19</c:v>
                      </c:pt>
                      <c:pt idx="2390">
                        <c:v>19</c:v>
                      </c:pt>
                      <c:pt idx="2391">
                        <c:v>19</c:v>
                      </c:pt>
                      <c:pt idx="2392">
                        <c:v>19</c:v>
                      </c:pt>
                      <c:pt idx="2393">
                        <c:v>19</c:v>
                      </c:pt>
                      <c:pt idx="2394">
                        <c:v>19</c:v>
                      </c:pt>
                      <c:pt idx="2395">
                        <c:v>19</c:v>
                      </c:pt>
                      <c:pt idx="2396">
                        <c:v>19</c:v>
                      </c:pt>
                      <c:pt idx="2397">
                        <c:v>19</c:v>
                      </c:pt>
                      <c:pt idx="2398">
                        <c:v>19</c:v>
                      </c:pt>
                      <c:pt idx="2399">
                        <c:v>19</c:v>
                      </c:pt>
                      <c:pt idx="2400">
                        <c:v>19</c:v>
                      </c:pt>
                      <c:pt idx="2401">
                        <c:v>19</c:v>
                      </c:pt>
                      <c:pt idx="2402">
                        <c:v>19</c:v>
                      </c:pt>
                      <c:pt idx="2403">
                        <c:v>19</c:v>
                      </c:pt>
                      <c:pt idx="2404">
                        <c:v>19</c:v>
                      </c:pt>
                      <c:pt idx="2405">
                        <c:v>19</c:v>
                      </c:pt>
                      <c:pt idx="2406">
                        <c:v>19</c:v>
                      </c:pt>
                      <c:pt idx="2407">
                        <c:v>19</c:v>
                      </c:pt>
                      <c:pt idx="2408">
                        <c:v>19</c:v>
                      </c:pt>
                      <c:pt idx="2409">
                        <c:v>19</c:v>
                      </c:pt>
                      <c:pt idx="2410">
                        <c:v>19</c:v>
                      </c:pt>
                      <c:pt idx="2436">
                        <c:v>20</c:v>
                      </c:pt>
                      <c:pt idx="2437">
                        <c:v>20</c:v>
                      </c:pt>
                      <c:pt idx="2438">
                        <c:v>20</c:v>
                      </c:pt>
                      <c:pt idx="2439">
                        <c:v>20</c:v>
                      </c:pt>
                      <c:pt idx="2440">
                        <c:v>20</c:v>
                      </c:pt>
                      <c:pt idx="2441">
                        <c:v>20</c:v>
                      </c:pt>
                      <c:pt idx="2442">
                        <c:v>20</c:v>
                      </c:pt>
                      <c:pt idx="2443">
                        <c:v>20</c:v>
                      </c:pt>
                      <c:pt idx="2444">
                        <c:v>20</c:v>
                      </c:pt>
                      <c:pt idx="2445">
                        <c:v>20</c:v>
                      </c:pt>
                      <c:pt idx="2446">
                        <c:v>20</c:v>
                      </c:pt>
                      <c:pt idx="2447">
                        <c:v>20</c:v>
                      </c:pt>
                      <c:pt idx="2448">
                        <c:v>20</c:v>
                      </c:pt>
                      <c:pt idx="2449">
                        <c:v>20</c:v>
                      </c:pt>
                      <c:pt idx="2450">
                        <c:v>20</c:v>
                      </c:pt>
                      <c:pt idx="2451">
                        <c:v>20</c:v>
                      </c:pt>
                      <c:pt idx="2452">
                        <c:v>20</c:v>
                      </c:pt>
                      <c:pt idx="2453">
                        <c:v>20</c:v>
                      </c:pt>
                      <c:pt idx="2454">
                        <c:v>20</c:v>
                      </c:pt>
                      <c:pt idx="2455">
                        <c:v>20</c:v>
                      </c:pt>
                      <c:pt idx="2456">
                        <c:v>20</c:v>
                      </c:pt>
                      <c:pt idx="2457">
                        <c:v>20</c:v>
                      </c:pt>
                      <c:pt idx="2458">
                        <c:v>20</c:v>
                      </c:pt>
                      <c:pt idx="2459">
                        <c:v>20</c:v>
                      </c:pt>
                      <c:pt idx="2460">
                        <c:v>20</c:v>
                      </c:pt>
                      <c:pt idx="2461">
                        <c:v>20</c:v>
                      </c:pt>
                      <c:pt idx="2462">
                        <c:v>20</c:v>
                      </c:pt>
                      <c:pt idx="2463">
                        <c:v>20</c:v>
                      </c:pt>
                      <c:pt idx="2464">
                        <c:v>20</c:v>
                      </c:pt>
                      <c:pt idx="2465">
                        <c:v>20</c:v>
                      </c:pt>
                      <c:pt idx="2466">
                        <c:v>20</c:v>
                      </c:pt>
                      <c:pt idx="2467">
                        <c:v>20</c:v>
                      </c:pt>
                      <c:pt idx="2671">
                        <c:v>21</c:v>
                      </c:pt>
                      <c:pt idx="2672">
                        <c:v>21</c:v>
                      </c:pt>
                      <c:pt idx="2673">
                        <c:v>21</c:v>
                      </c:pt>
                      <c:pt idx="2739">
                        <c:v>22</c:v>
                      </c:pt>
                      <c:pt idx="2740">
                        <c:v>22</c:v>
                      </c:pt>
                      <c:pt idx="2741">
                        <c:v>22</c:v>
                      </c:pt>
                      <c:pt idx="2742">
                        <c:v>22</c:v>
                      </c:pt>
                      <c:pt idx="2743">
                        <c:v>22</c:v>
                      </c:pt>
                      <c:pt idx="2744">
                        <c:v>22</c:v>
                      </c:pt>
                      <c:pt idx="2745">
                        <c:v>22</c:v>
                      </c:pt>
                      <c:pt idx="2746">
                        <c:v>22</c:v>
                      </c:pt>
                      <c:pt idx="2747">
                        <c:v>22</c:v>
                      </c:pt>
                      <c:pt idx="2748">
                        <c:v>22</c:v>
                      </c:pt>
                      <c:pt idx="2749">
                        <c:v>22</c:v>
                      </c:pt>
                      <c:pt idx="2750">
                        <c:v>22</c:v>
                      </c:pt>
                      <c:pt idx="2751">
                        <c:v>22</c:v>
                      </c:pt>
                      <c:pt idx="2752">
                        <c:v>22</c:v>
                      </c:pt>
                      <c:pt idx="2753">
                        <c:v>22</c:v>
                      </c:pt>
                      <c:pt idx="2754">
                        <c:v>22</c:v>
                      </c:pt>
                      <c:pt idx="2755">
                        <c:v>22</c:v>
                      </c:pt>
                      <c:pt idx="2756">
                        <c:v>22</c:v>
                      </c:pt>
                      <c:pt idx="2757">
                        <c:v>22</c:v>
                      </c:pt>
                      <c:pt idx="2758">
                        <c:v>22</c:v>
                      </c:pt>
                      <c:pt idx="2759">
                        <c:v>22</c:v>
                      </c:pt>
                      <c:pt idx="2760">
                        <c:v>22</c:v>
                      </c:pt>
                      <c:pt idx="2761">
                        <c:v>22</c:v>
                      </c:pt>
                      <c:pt idx="2762">
                        <c:v>22</c:v>
                      </c:pt>
                      <c:pt idx="2763">
                        <c:v>22</c:v>
                      </c:pt>
                      <c:pt idx="2764">
                        <c:v>22</c:v>
                      </c:pt>
                      <c:pt idx="2765">
                        <c:v>22</c:v>
                      </c:pt>
                      <c:pt idx="2766">
                        <c:v>22</c:v>
                      </c:pt>
                      <c:pt idx="2767">
                        <c:v>22</c:v>
                      </c:pt>
                      <c:pt idx="2768">
                        <c:v>22</c:v>
                      </c:pt>
                      <c:pt idx="2769">
                        <c:v>22</c:v>
                      </c:pt>
                      <c:pt idx="2770">
                        <c:v>22</c:v>
                      </c:pt>
                      <c:pt idx="2771">
                        <c:v>22</c:v>
                      </c:pt>
                      <c:pt idx="2772">
                        <c:v>22</c:v>
                      </c:pt>
                      <c:pt idx="2773">
                        <c:v>22</c:v>
                      </c:pt>
                      <c:pt idx="2774">
                        <c:v>22</c:v>
                      </c:pt>
                      <c:pt idx="2775">
                        <c:v>22</c:v>
                      </c:pt>
                      <c:pt idx="2776">
                        <c:v>22</c:v>
                      </c:pt>
                      <c:pt idx="2777">
                        <c:v>22</c:v>
                      </c:pt>
                      <c:pt idx="2778">
                        <c:v>22</c:v>
                      </c:pt>
                      <c:pt idx="2779">
                        <c:v>22</c:v>
                      </c:pt>
                      <c:pt idx="2780">
                        <c:v>22</c:v>
                      </c:pt>
                      <c:pt idx="2781">
                        <c:v>22</c:v>
                      </c:pt>
                      <c:pt idx="2862">
                        <c:v>23</c:v>
                      </c:pt>
                      <c:pt idx="2863">
                        <c:v>23</c:v>
                      </c:pt>
                      <c:pt idx="2864">
                        <c:v>23</c:v>
                      </c:pt>
                      <c:pt idx="2865">
                        <c:v>23</c:v>
                      </c:pt>
                      <c:pt idx="2866">
                        <c:v>23</c:v>
                      </c:pt>
                      <c:pt idx="2867">
                        <c:v>23</c:v>
                      </c:pt>
                      <c:pt idx="2868">
                        <c:v>23</c:v>
                      </c:pt>
                      <c:pt idx="2887">
                        <c:v>24</c:v>
                      </c:pt>
                      <c:pt idx="2888">
                        <c:v>24</c:v>
                      </c:pt>
                      <c:pt idx="2889">
                        <c:v>24</c:v>
                      </c:pt>
                      <c:pt idx="2890">
                        <c:v>24</c:v>
                      </c:pt>
                      <c:pt idx="2891">
                        <c:v>24</c:v>
                      </c:pt>
                      <c:pt idx="2892">
                        <c:v>24</c:v>
                      </c:pt>
                      <c:pt idx="2893">
                        <c:v>24</c:v>
                      </c:pt>
                      <c:pt idx="2894">
                        <c:v>24</c:v>
                      </c:pt>
                      <c:pt idx="2976">
                        <c:v>25</c:v>
                      </c:pt>
                      <c:pt idx="2977">
                        <c:v>25</c:v>
                      </c:pt>
                      <c:pt idx="2978">
                        <c:v>25</c:v>
                      </c:pt>
                      <c:pt idx="2979">
                        <c:v>25</c:v>
                      </c:pt>
                      <c:pt idx="2980">
                        <c:v>25</c:v>
                      </c:pt>
                      <c:pt idx="2981">
                        <c:v>25</c:v>
                      </c:pt>
                      <c:pt idx="2982">
                        <c:v>25</c:v>
                      </c:pt>
                      <c:pt idx="2983">
                        <c:v>25</c:v>
                      </c:pt>
                      <c:pt idx="2984">
                        <c:v>25</c:v>
                      </c:pt>
                      <c:pt idx="2985">
                        <c:v>25</c:v>
                      </c:pt>
                      <c:pt idx="2986">
                        <c:v>25</c:v>
                      </c:pt>
                      <c:pt idx="2987">
                        <c:v>25</c:v>
                      </c:pt>
                      <c:pt idx="2988">
                        <c:v>25</c:v>
                      </c:pt>
                      <c:pt idx="2989">
                        <c:v>25</c:v>
                      </c:pt>
                      <c:pt idx="2990">
                        <c:v>25</c:v>
                      </c:pt>
                      <c:pt idx="2991">
                        <c:v>25</c:v>
                      </c:pt>
                      <c:pt idx="2992">
                        <c:v>25</c:v>
                      </c:pt>
                      <c:pt idx="2993">
                        <c:v>25</c:v>
                      </c:pt>
                      <c:pt idx="2994">
                        <c:v>25</c:v>
                      </c:pt>
                      <c:pt idx="2995">
                        <c:v>25</c:v>
                      </c:pt>
                      <c:pt idx="2996">
                        <c:v>25</c:v>
                      </c:pt>
                      <c:pt idx="3163">
                        <c:v>26</c:v>
                      </c:pt>
                      <c:pt idx="3164">
                        <c:v>26</c:v>
                      </c:pt>
                      <c:pt idx="3165">
                        <c:v>26</c:v>
                      </c:pt>
                      <c:pt idx="3166">
                        <c:v>26</c:v>
                      </c:pt>
                      <c:pt idx="3167">
                        <c:v>26</c:v>
                      </c:pt>
                      <c:pt idx="3168">
                        <c:v>26</c:v>
                      </c:pt>
                      <c:pt idx="3169">
                        <c:v>26</c:v>
                      </c:pt>
                      <c:pt idx="3170">
                        <c:v>26</c:v>
                      </c:pt>
                      <c:pt idx="3171">
                        <c:v>26</c:v>
                      </c:pt>
                      <c:pt idx="3172">
                        <c:v>26</c:v>
                      </c:pt>
                      <c:pt idx="3173">
                        <c:v>26</c:v>
                      </c:pt>
                      <c:pt idx="3174">
                        <c:v>26</c:v>
                      </c:pt>
                      <c:pt idx="3175">
                        <c:v>26</c:v>
                      </c:pt>
                      <c:pt idx="3176">
                        <c:v>26</c:v>
                      </c:pt>
                      <c:pt idx="3177">
                        <c:v>26</c:v>
                      </c:pt>
                      <c:pt idx="3178">
                        <c:v>26</c:v>
                      </c:pt>
                      <c:pt idx="3179">
                        <c:v>26</c:v>
                      </c:pt>
                      <c:pt idx="3180">
                        <c:v>26</c:v>
                      </c:pt>
                      <c:pt idx="3181">
                        <c:v>26</c:v>
                      </c:pt>
                      <c:pt idx="3182">
                        <c:v>26</c:v>
                      </c:pt>
                      <c:pt idx="3183">
                        <c:v>26</c:v>
                      </c:pt>
                      <c:pt idx="3184">
                        <c:v>26</c:v>
                      </c:pt>
                      <c:pt idx="3185">
                        <c:v>26</c:v>
                      </c:pt>
                      <c:pt idx="3186">
                        <c:v>26</c:v>
                      </c:pt>
                      <c:pt idx="3187">
                        <c:v>26</c:v>
                      </c:pt>
                      <c:pt idx="3188">
                        <c:v>26</c:v>
                      </c:pt>
                      <c:pt idx="3189">
                        <c:v>26</c:v>
                      </c:pt>
                      <c:pt idx="3190">
                        <c:v>26</c:v>
                      </c:pt>
                      <c:pt idx="3191">
                        <c:v>26</c:v>
                      </c:pt>
                      <c:pt idx="3192">
                        <c:v>26</c:v>
                      </c:pt>
                      <c:pt idx="3193">
                        <c:v>26</c:v>
                      </c:pt>
                      <c:pt idx="3194">
                        <c:v>26</c:v>
                      </c:pt>
                      <c:pt idx="3195">
                        <c:v>26</c:v>
                      </c:pt>
                      <c:pt idx="3196">
                        <c:v>26</c:v>
                      </c:pt>
                      <c:pt idx="3197">
                        <c:v>26</c:v>
                      </c:pt>
                      <c:pt idx="3198">
                        <c:v>26</c:v>
                      </c:pt>
                      <c:pt idx="3199">
                        <c:v>26</c:v>
                      </c:pt>
                      <c:pt idx="3200">
                        <c:v>26</c:v>
                      </c:pt>
                      <c:pt idx="3201">
                        <c:v>26</c:v>
                      </c:pt>
                      <c:pt idx="3202">
                        <c:v>26</c:v>
                      </c:pt>
                      <c:pt idx="3203">
                        <c:v>26</c:v>
                      </c:pt>
                      <c:pt idx="3204">
                        <c:v>26</c:v>
                      </c:pt>
                      <c:pt idx="3205">
                        <c:v>26</c:v>
                      </c:pt>
                      <c:pt idx="3206">
                        <c:v>26</c:v>
                      </c:pt>
                      <c:pt idx="3207">
                        <c:v>26</c:v>
                      </c:pt>
                      <c:pt idx="3208">
                        <c:v>26</c:v>
                      </c:pt>
                      <c:pt idx="3209">
                        <c:v>26</c:v>
                      </c:pt>
                      <c:pt idx="3210">
                        <c:v>26</c:v>
                      </c:pt>
                      <c:pt idx="3211">
                        <c:v>26</c:v>
                      </c:pt>
                      <c:pt idx="3212">
                        <c:v>26</c:v>
                      </c:pt>
                      <c:pt idx="3213">
                        <c:v>26</c:v>
                      </c:pt>
                      <c:pt idx="3214">
                        <c:v>26</c:v>
                      </c:pt>
                      <c:pt idx="3215">
                        <c:v>26</c:v>
                      </c:pt>
                      <c:pt idx="3216">
                        <c:v>26</c:v>
                      </c:pt>
                      <c:pt idx="3233">
                        <c:v>27</c:v>
                      </c:pt>
                      <c:pt idx="3234">
                        <c:v>27</c:v>
                      </c:pt>
                      <c:pt idx="3235">
                        <c:v>27</c:v>
                      </c:pt>
                      <c:pt idx="3236">
                        <c:v>27</c:v>
                      </c:pt>
                      <c:pt idx="3237">
                        <c:v>27</c:v>
                      </c:pt>
                      <c:pt idx="3238">
                        <c:v>27</c:v>
                      </c:pt>
                      <c:pt idx="3239">
                        <c:v>27</c:v>
                      </c:pt>
                      <c:pt idx="3240">
                        <c:v>27</c:v>
                      </c:pt>
                      <c:pt idx="3241">
                        <c:v>27</c:v>
                      </c:pt>
                      <c:pt idx="3242">
                        <c:v>27</c:v>
                      </c:pt>
                      <c:pt idx="3243">
                        <c:v>27</c:v>
                      </c:pt>
                      <c:pt idx="3244">
                        <c:v>27</c:v>
                      </c:pt>
                      <c:pt idx="3245">
                        <c:v>27</c:v>
                      </c:pt>
                      <c:pt idx="3246">
                        <c:v>27</c:v>
                      </c:pt>
                      <c:pt idx="3247">
                        <c:v>27</c:v>
                      </c:pt>
                      <c:pt idx="3248">
                        <c:v>27</c:v>
                      </c:pt>
                      <c:pt idx="3249">
                        <c:v>27</c:v>
                      </c:pt>
                      <c:pt idx="3250">
                        <c:v>27</c:v>
                      </c:pt>
                      <c:pt idx="3251">
                        <c:v>27</c:v>
                      </c:pt>
                      <c:pt idx="3252">
                        <c:v>27</c:v>
                      </c:pt>
                      <c:pt idx="3253">
                        <c:v>27</c:v>
                      </c:pt>
                      <c:pt idx="3254">
                        <c:v>27</c:v>
                      </c:pt>
                      <c:pt idx="3255">
                        <c:v>27</c:v>
                      </c:pt>
                      <c:pt idx="3256">
                        <c:v>27</c:v>
                      </c:pt>
                      <c:pt idx="3257">
                        <c:v>27</c:v>
                      </c:pt>
                      <c:pt idx="3258">
                        <c:v>27</c:v>
                      </c:pt>
                      <c:pt idx="3259">
                        <c:v>27</c:v>
                      </c:pt>
                      <c:pt idx="3282">
                        <c:v>28</c:v>
                      </c:pt>
                      <c:pt idx="3283">
                        <c:v>28</c:v>
                      </c:pt>
                      <c:pt idx="3284">
                        <c:v>28</c:v>
                      </c:pt>
                      <c:pt idx="3285">
                        <c:v>28</c:v>
                      </c:pt>
                      <c:pt idx="3286">
                        <c:v>28</c:v>
                      </c:pt>
                      <c:pt idx="3287">
                        <c:v>28</c:v>
                      </c:pt>
                      <c:pt idx="3288">
                        <c:v>28</c:v>
                      </c:pt>
                      <c:pt idx="3289">
                        <c:v>28</c:v>
                      </c:pt>
                      <c:pt idx="3290">
                        <c:v>28</c:v>
                      </c:pt>
                      <c:pt idx="3291">
                        <c:v>28</c:v>
                      </c:pt>
                      <c:pt idx="3292">
                        <c:v>28</c:v>
                      </c:pt>
                      <c:pt idx="3293">
                        <c:v>28</c:v>
                      </c:pt>
                      <c:pt idx="3294">
                        <c:v>28</c:v>
                      </c:pt>
                      <c:pt idx="3295">
                        <c:v>28</c:v>
                      </c:pt>
                      <c:pt idx="3296">
                        <c:v>28</c:v>
                      </c:pt>
                      <c:pt idx="3297">
                        <c:v>28</c:v>
                      </c:pt>
                      <c:pt idx="3368">
                        <c:v>29</c:v>
                      </c:pt>
                      <c:pt idx="3369">
                        <c:v>29</c:v>
                      </c:pt>
                      <c:pt idx="3370">
                        <c:v>29</c:v>
                      </c:pt>
                      <c:pt idx="3371">
                        <c:v>29</c:v>
                      </c:pt>
                      <c:pt idx="3372">
                        <c:v>29</c:v>
                      </c:pt>
                      <c:pt idx="3373">
                        <c:v>29</c:v>
                      </c:pt>
                      <c:pt idx="3377">
                        <c:v>30</c:v>
                      </c:pt>
                      <c:pt idx="3378">
                        <c:v>30</c:v>
                      </c:pt>
                      <c:pt idx="3379">
                        <c:v>30</c:v>
                      </c:pt>
                      <c:pt idx="3380">
                        <c:v>30</c:v>
                      </c:pt>
                      <c:pt idx="3381">
                        <c:v>30</c:v>
                      </c:pt>
                      <c:pt idx="3382">
                        <c:v>30</c:v>
                      </c:pt>
                      <c:pt idx="3383">
                        <c:v>30</c:v>
                      </c:pt>
                      <c:pt idx="3384">
                        <c:v>30</c:v>
                      </c:pt>
                      <c:pt idx="3385">
                        <c:v>30</c:v>
                      </c:pt>
                      <c:pt idx="3386">
                        <c:v>30</c:v>
                      </c:pt>
                      <c:pt idx="3387">
                        <c:v>30</c:v>
                      </c:pt>
                      <c:pt idx="3388">
                        <c:v>30</c:v>
                      </c:pt>
                      <c:pt idx="3389">
                        <c:v>30</c:v>
                      </c:pt>
                      <c:pt idx="3390">
                        <c:v>30</c:v>
                      </c:pt>
                      <c:pt idx="3391">
                        <c:v>30</c:v>
                      </c:pt>
                      <c:pt idx="3392">
                        <c:v>30</c:v>
                      </c:pt>
                      <c:pt idx="3393">
                        <c:v>30</c:v>
                      </c:pt>
                      <c:pt idx="3394">
                        <c:v>30</c:v>
                      </c:pt>
                      <c:pt idx="3395">
                        <c:v>30</c:v>
                      </c:pt>
                      <c:pt idx="3396">
                        <c:v>30</c:v>
                      </c:pt>
                      <c:pt idx="3397">
                        <c:v>30</c:v>
                      </c:pt>
                      <c:pt idx="3398">
                        <c:v>30</c:v>
                      </c:pt>
                      <c:pt idx="3399">
                        <c:v>30</c:v>
                      </c:pt>
                      <c:pt idx="3400">
                        <c:v>30</c:v>
                      </c:pt>
                      <c:pt idx="3401">
                        <c:v>30</c:v>
                      </c:pt>
                      <c:pt idx="3402">
                        <c:v>30</c:v>
                      </c:pt>
                      <c:pt idx="3442">
                        <c:v>31</c:v>
                      </c:pt>
                      <c:pt idx="3443">
                        <c:v>31</c:v>
                      </c:pt>
                      <c:pt idx="3444">
                        <c:v>31</c:v>
                      </c:pt>
                      <c:pt idx="3445">
                        <c:v>31</c:v>
                      </c:pt>
                      <c:pt idx="3446">
                        <c:v>31</c:v>
                      </c:pt>
                      <c:pt idx="3447">
                        <c:v>31</c:v>
                      </c:pt>
                      <c:pt idx="3448">
                        <c:v>31</c:v>
                      </c:pt>
                      <c:pt idx="3449">
                        <c:v>31</c:v>
                      </c:pt>
                      <c:pt idx="3450">
                        <c:v>31</c:v>
                      </c:pt>
                      <c:pt idx="3451">
                        <c:v>31</c:v>
                      </c:pt>
                      <c:pt idx="3452">
                        <c:v>31</c:v>
                      </c:pt>
                      <c:pt idx="3453">
                        <c:v>31</c:v>
                      </c:pt>
                      <c:pt idx="3454">
                        <c:v>31</c:v>
                      </c:pt>
                      <c:pt idx="3661">
                        <c:v>32</c:v>
                      </c:pt>
                      <c:pt idx="3662">
                        <c:v>32</c:v>
                      </c:pt>
                      <c:pt idx="3663">
                        <c:v>32</c:v>
                      </c:pt>
                      <c:pt idx="3664">
                        <c:v>32</c:v>
                      </c:pt>
                      <c:pt idx="3665">
                        <c:v>32</c:v>
                      </c:pt>
                      <c:pt idx="3666">
                        <c:v>32</c:v>
                      </c:pt>
                      <c:pt idx="3667">
                        <c:v>32</c:v>
                      </c:pt>
                      <c:pt idx="3668">
                        <c:v>32</c:v>
                      </c:pt>
                      <c:pt idx="3669">
                        <c:v>32</c:v>
                      </c:pt>
                      <c:pt idx="3670">
                        <c:v>32</c:v>
                      </c:pt>
                      <c:pt idx="3687">
                        <c:v>33</c:v>
                      </c:pt>
                      <c:pt idx="3688">
                        <c:v>33</c:v>
                      </c:pt>
                      <c:pt idx="3689">
                        <c:v>33</c:v>
                      </c:pt>
                      <c:pt idx="3690">
                        <c:v>33</c:v>
                      </c:pt>
                      <c:pt idx="3691">
                        <c:v>33</c:v>
                      </c:pt>
                      <c:pt idx="3692">
                        <c:v>33</c:v>
                      </c:pt>
                      <c:pt idx="3693">
                        <c:v>33</c:v>
                      </c:pt>
                      <c:pt idx="3694">
                        <c:v>33</c:v>
                      </c:pt>
                      <c:pt idx="3695">
                        <c:v>33</c:v>
                      </c:pt>
                      <c:pt idx="3696">
                        <c:v>33</c:v>
                      </c:pt>
                      <c:pt idx="3697">
                        <c:v>33</c:v>
                      </c:pt>
                      <c:pt idx="3698">
                        <c:v>33</c:v>
                      </c:pt>
                      <c:pt idx="3699">
                        <c:v>33</c:v>
                      </c:pt>
                      <c:pt idx="3700">
                        <c:v>33</c:v>
                      </c:pt>
                      <c:pt idx="3701">
                        <c:v>33</c:v>
                      </c:pt>
                      <c:pt idx="3702">
                        <c:v>33</c:v>
                      </c:pt>
                      <c:pt idx="3703">
                        <c:v>33</c:v>
                      </c:pt>
                      <c:pt idx="3704">
                        <c:v>33</c:v>
                      </c:pt>
                      <c:pt idx="3705">
                        <c:v>33</c:v>
                      </c:pt>
                      <c:pt idx="3706">
                        <c:v>33</c:v>
                      </c:pt>
                      <c:pt idx="3707">
                        <c:v>33</c:v>
                      </c:pt>
                      <c:pt idx="3708">
                        <c:v>33</c:v>
                      </c:pt>
                      <c:pt idx="3709">
                        <c:v>33</c:v>
                      </c:pt>
                      <c:pt idx="3710">
                        <c:v>33</c:v>
                      </c:pt>
                      <c:pt idx="3711">
                        <c:v>33</c:v>
                      </c:pt>
                      <c:pt idx="3712">
                        <c:v>33</c:v>
                      </c:pt>
                      <c:pt idx="3713">
                        <c:v>33</c:v>
                      </c:pt>
                      <c:pt idx="3714">
                        <c:v>33</c:v>
                      </c:pt>
                      <c:pt idx="3715">
                        <c:v>33</c:v>
                      </c:pt>
                      <c:pt idx="3716">
                        <c:v>33</c:v>
                      </c:pt>
                      <c:pt idx="3717">
                        <c:v>33</c:v>
                      </c:pt>
                      <c:pt idx="3718">
                        <c:v>33</c:v>
                      </c:pt>
                      <c:pt idx="3719">
                        <c:v>33</c:v>
                      </c:pt>
                      <c:pt idx="3720">
                        <c:v>33</c:v>
                      </c:pt>
                      <c:pt idx="3721">
                        <c:v>33</c:v>
                      </c:pt>
                      <c:pt idx="3722">
                        <c:v>33</c:v>
                      </c:pt>
                      <c:pt idx="3723">
                        <c:v>33</c:v>
                      </c:pt>
                      <c:pt idx="3724">
                        <c:v>33</c:v>
                      </c:pt>
                      <c:pt idx="3725">
                        <c:v>33</c:v>
                      </c:pt>
                      <c:pt idx="3726">
                        <c:v>33</c:v>
                      </c:pt>
                      <c:pt idx="3727">
                        <c:v>33</c:v>
                      </c:pt>
                      <c:pt idx="3728">
                        <c:v>33</c:v>
                      </c:pt>
                      <c:pt idx="3761">
                        <c:v>34</c:v>
                      </c:pt>
                      <c:pt idx="3762">
                        <c:v>34</c:v>
                      </c:pt>
                      <c:pt idx="3763">
                        <c:v>34</c:v>
                      </c:pt>
                      <c:pt idx="3764">
                        <c:v>34</c:v>
                      </c:pt>
                      <c:pt idx="3765">
                        <c:v>34</c:v>
                      </c:pt>
                      <c:pt idx="3766">
                        <c:v>34</c:v>
                      </c:pt>
                      <c:pt idx="3767">
                        <c:v>34</c:v>
                      </c:pt>
                      <c:pt idx="3768">
                        <c:v>34</c:v>
                      </c:pt>
                      <c:pt idx="3769">
                        <c:v>34</c:v>
                      </c:pt>
                      <c:pt idx="3770">
                        <c:v>34</c:v>
                      </c:pt>
                      <c:pt idx="3771">
                        <c:v>34</c:v>
                      </c:pt>
                      <c:pt idx="3772">
                        <c:v>34</c:v>
                      </c:pt>
                      <c:pt idx="3773">
                        <c:v>34</c:v>
                      </c:pt>
                      <c:pt idx="3774">
                        <c:v>34</c:v>
                      </c:pt>
                      <c:pt idx="3775">
                        <c:v>34</c:v>
                      </c:pt>
                      <c:pt idx="3776">
                        <c:v>34</c:v>
                      </c:pt>
                      <c:pt idx="3777">
                        <c:v>34</c:v>
                      </c:pt>
                      <c:pt idx="3789">
                        <c:v>35</c:v>
                      </c:pt>
                      <c:pt idx="3790">
                        <c:v>35</c:v>
                      </c:pt>
                      <c:pt idx="3791">
                        <c:v>35</c:v>
                      </c:pt>
                      <c:pt idx="3792">
                        <c:v>35</c:v>
                      </c:pt>
                      <c:pt idx="3793">
                        <c:v>35</c:v>
                      </c:pt>
                      <c:pt idx="3794">
                        <c:v>35</c:v>
                      </c:pt>
                      <c:pt idx="3795">
                        <c:v>35</c:v>
                      </c:pt>
                      <c:pt idx="3796">
                        <c:v>35</c:v>
                      </c:pt>
                      <c:pt idx="3797">
                        <c:v>35</c:v>
                      </c:pt>
                      <c:pt idx="3904">
                        <c:v>36</c:v>
                      </c:pt>
                      <c:pt idx="3905">
                        <c:v>36</c:v>
                      </c:pt>
                      <c:pt idx="3906">
                        <c:v>36</c:v>
                      </c:pt>
                      <c:pt idx="3907">
                        <c:v>36</c:v>
                      </c:pt>
                      <c:pt idx="3908">
                        <c:v>36</c:v>
                      </c:pt>
                      <c:pt idx="3909">
                        <c:v>36</c:v>
                      </c:pt>
                      <c:pt idx="3910">
                        <c:v>36</c:v>
                      </c:pt>
                      <c:pt idx="3911">
                        <c:v>36</c:v>
                      </c:pt>
                      <c:pt idx="3912">
                        <c:v>36</c:v>
                      </c:pt>
                      <c:pt idx="3913">
                        <c:v>36</c:v>
                      </c:pt>
                      <c:pt idx="3914">
                        <c:v>36</c:v>
                      </c:pt>
                      <c:pt idx="3915">
                        <c:v>36</c:v>
                      </c:pt>
                      <c:pt idx="3916">
                        <c:v>36</c:v>
                      </c:pt>
                      <c:pt idx="3917">
                        <c:v>36</c:v>
                      </c:pt>
                      <c:pt idx="3918">
                        <c:v>36</c:v>
                      </c:pt>
                      <c:pt idx="3919">
                        <c:v>36</c:v>
                      </c:pt>
                      <c:pt idx="3920">
                        <c:v>36</c:v>
                      </c:pt>
                      <c:pt idx="3921">
                        <c:v>36</c:v>
                      </c:pt>
                      <c:pt idx="3922">
                        <c:v>36</c:v>
                      </c:pt>
                      <c:pt idx="3923">
                        <c:v>36</c:v>
                      </c:pt>
                      <c:pt idx="3924">
                        <c:v>36</c:v>
                      </c:pt>
                      <c:pt idx="3925">
                        <c:v>36</c:v>
                      </c:pt>
                      <c:pt idx="3926">
                        <c:v>36</c:v>
                      </c:pt>
                      <c:pt idx="3945">
                        <c:v>37</c:v>
                      </c:pt>
                      <c:pt idx="3946">
                        <c:v>37</c:v>
                      </c:pt>
                      <c:pt idx="3947">
                        <c:v>37</c:v>
                      </c:pt>
                      <c:pt idx="3948">
                        <c:v>37</c:v>
                      </c:pt>
                      <c:pt idx="3949">
                        <c:v>37</c:v>
                      </c:pt>
                      <c:pt idx="3950">
                        <c:v>37</c:v>
                      </c:pt>
                      <c:pt idx="3951">
                        <c:v>37</c:v>
                      </c:pt>
                      <c:pt idx="3952">
                        <c:v>37</c:v>
                      </c:pt>
                      <c:pt idx="3953">
                        <c:v>37</c:v>
                      </c:pt>
                      <c:pt idx="3954">
                        <c:v>37</c:v>
                      </c:pt>
                      <c:pt idx="3955">
                        <c:v>37</c:v>
                      </c:pt>
                      <c:pt idx="3956">
                        <c:v>37</c:v>
                      </c:pt>
                      <c:pt idx="3957">
                        <c:v>37</c:v>
                      </c:pt>
                      <c:pt idx="3958">
                        <c:v>37</c:v>
                      </c:pt>
                      <c:pt idx="3959">
                        <c:v>37</c:v>
                      </c:pt>
                      <c:pt idx="3960">
                        <c:v>37</c:v>
                      </c:pt>
                      <c:pt idx="3961">
                        <c:v>37</c:v>
                      </c:pt>
                      <c:pt idx="3962">
                        <c:v>37</c:v>
                      </c:pt>
                      <c:pt idx="3963">
                        <c:v>37</c:v>
                      </c:pt>
                      <c:pt idx="3964">
                        <c:v>37</c:v>
                      </c:pt>
                      <c:pt idx="3965">
                        <c:v>37</c:v>
                      </c:pt>
                      <c:pt idx="4038">
                        <c:v>38</c:v>
                      </c:pt>
                      <c:pt idx="4039">
                        <c:v>38</c:v>
                      </c:pt>
                      <c:pt idx="4040">
                        <c:v>38</c:v>
                      </c:pt>
                      <c:pt idx="4041">
                        <c:v>38</c:v>
                      </c:pt>
                      <c:pt idx="4042">
                        <c:v>38</c:v>
                      </c:pt>
                      <c:pt idx="4043">
                        <c:v>38</c:v>
                      </c:pt>
                      <c:pt idx="4050">
                        <c:v>39</c:v>
                      </c:pt>
                      <c:pt idx="4051">
                        <c:v>39</c:v>
                      </c:pt>
                      <c:pt idx="4052">
                        <c:v>39</c:v>
                      </c:pt>
                      <c:pt idx="4053">
                        <c:v>39</c:v>
                      </c:pt>
                      <c:pt idx="4054">
                        <c:v>39</c:v>
                      </c:pt>
                      <c:pt idx="4055">
                        <c:v>39</c:v>
                      </c:pt>
                      <c:pt idx="4056">
                        <c:v>39</c:v>
                      </c:pt>
                      <c:pt idx="4057">
                        <c:v>39</c:v>
                      </c:pt>
                      <c:pt idx="4058">
                        <c:v>39</c:v>
                      </c:pt>
                      <c:pt idx="4059">
                        <c:v>39</c:v>
                      </c:pt>
                      <c:pt idx="4060">
                        <c:v>39</c:v>
                      </c:pt>
                      <c:pt idx="4061">
                        <c:v>39</c:v>
                      </c:pt>
                      <c:pt idx="4062">
                        <c:v>39</c:v>
                      </c:pt>
                      <c:pt idx="4063">
                        <c:v>39</c:v>
                      </c:pt>
                      <c:pt idx="4064">
                        <c:v>39</c:v>
                      </c:pt>
                      <c:pt idx="4065">
                        <c:v>39</c:v>
                      </c:pt>
                      <c:pt idx="4066">
                        <c:v>39</c:v>
                      </c:pt>
                      <c:pt idx="4067">
                        <c:v>39</c:v>
                      </c:pt>
                      <c:pt idx="4068">
                        <c:v>39</c:v>
                      </c:pt>
                      <c:pt idx="4069">
                        <c:v>39</c:v>
                      </c:pt>
                      <c:pt idx="4070">
                        <c:v>39</c:v>
                      </c:pt>
                      <c:pt idx="4071">
                        <c:v>39</c:v>
                      </c:pt>
                      <c:pt idx="4072">
                        <c:v>39</c:v>
                      </c:pt>
                      <c:pt idx="4073">
                        <c:v>39</c:v>
                      </c:pt>
                      <c:pt idx="4074">
                        <c:v>39</c:v>
                      </c:pt>
                      <c:pt idx="4075">
                        <c:v>39</c:v>
                      </c:pt>
                      <c:pt idx="4076">
                        <c:v>39</c:v>
                      </c:pt>
                      <c:pt idx="4083">
                        <c:v>40</c:v>
                      </c:pt>
                      <c:pt idx="4084">
                        <c:v>40</c:v>
                      </c:pt>
                      <c:pt idx="4085">
                        <c:v>40</c:v>
                      </c:pt>
                      <c:pt idx="4086">
                        <c:v>40</c:v>
                      </c:pt>
                      <c:pt idx="4087">
                        <c:v>40</c:v>
                      </c:pt>
                      <c:pt idx="4088">
                        <c:v>40</c:v>
                      </c:pt>
                      <c:pt idx="4089">
                        <c:v>40</c:v>
                      </c:pt>
                      <c:pt idx="4090">
                        <c:v>40</c:v>
                      </c:pt>
                      <c:pt idx="4091">
                        <c:v>40</c:v>
                      </c:pt>
                      <c:pt idx="4092">
                        <c:v>40</c:v>
                      </c:pt>
                      <c:pt idx="4093">
                        <c:v>40</c:v>
                      </c:pt>
                      <c:pt idx="4094">
                        <c:v>40</c:v>
                      </c:pt>
                      <c:pt idx="4095">
                        <c:v>40</c:v>
                      </c:pt>
                      <c:pt idx="4096">
                        <c:v>40</c:v>
                      </c:pt>
                      <c:pt idx="4112">
                        <c:v>41</c:v>
                      </c:pt>
                      <c:pt idx="4113">
                        <c:v>41</c:v>
                      </c:pt>
                      <c:pt idx="4114">
                        <c:v>41</c:v>
                      </c:pt>
                      <c:pt idx="4115">
                        <c:v>41</c:v>
                      </c:pt>
                      <c:pt idx="4116">
                        <c:v>41</c:v>
                      </c:pt>
                      <c:pt idx="4117">
                        <c:v>41</c:v>
                      </c:pt>
                      <c:pt idx="4118">
                        <c:v>41</c:v>
                      </c:pt>
                      <c:pt idx="4119">
                        <c:v>41</c:v>
                      </c:pt>
                      <c:pt idx="4125">
                        <c:v>42</c:v>
                      </c:pt>
                      <c:pt idx="4126">
                        <c:v>42</c:v>
                      </c:pt>
                      <c:pt idx="4127">
                        <c:v>42</c:v>
                      </c:pt>
                      <c:pt idx="4128">
                        <c:v>42</c:v>
                      </c:pt>
                      <c:pt idx="4129">
                        <c:v>42</c:v>
                      </c:pt>
                      <c:pt idx="4130">
                        <c:v>42</c:v>
                      </c:pt>
                      <c:pt idx="4131">
                        <c:v>42</c:v>
                      </c:pt>
                      <c:pt idx="4132">
                        <c:v>42</c:v>
                      </c:pt>
                      <c:pt idx="4133">
                        <c:v>42</c:v>
                      </c:pt>
                      <c:pt idx="4134">
                        <c:v>42</c:v>
                      </c:pt>
                      <c:pt idx="4135">
                        <c:v>42</c:v>
                      </c:pt>
                      <c:pt idx="4136">
                        <c:v>42</c:v>
                      </c:pt>
                      <c:pt idx="4137">
                        <c:v>42</c:v>
                      </c:pt>
                      <c:pt idx="4138">
                        <c:v>42</c:v>
                      </c:pt>
                      <c:pt idx="4139">
                        <c:v>42</c:v>
                      </c:pt>
                      <c:pt idx="4140">
                        <c:v>42</c:v>
                      </c:pt>
                      <c:pt idx="4141">
                        <c:v>42</c:v>
                      </c:pt>
                      <c:pt idx="4142">
                        <c:v>42</c:v>
                      </c:pt>
                      <c:pt idx="4143">
                        <c:v>42</c:v>
                      </c:pt>
                      <c:pt idx="4144">
                        <c:v>42</c:v>
                      </c:pt>
                      <c:pt idx="4145">
                        <c:v>42</c:v>
                      </c:pt>
                      <c:pt idx="4146">
                        <c:v>42</c:v>
                      </c:pt>
                      <c:pt idx="4147">
                        <c:v>42</c:v>
                      </c:pt>
                      <c:pt idx="4148">
                        <c:v>42</c:v>
                      </c:pt>
                      <c:pt idx="4149">
                        <c:v>42</c:v>
                      </c:pt>
                      <c:pt idx="4150">
                        <c:v>42</c:v>
                      </c:pt>
                      <c:pt idx="4151">
                        <c:v>42</c:v>
                      </c:pt>
                      <c:pt idx="4152">
                        <c:v>42</c:v>
                      </c:pt>
                      <c:pt idx="4328">
                        <c:v>43</c:v>
                      </c:pt>
                      <c:pt idx="4329">
                        <c:v>43</c:v>
                      </c:pt>
                      <c:pt idx="4330">
                        <c:v>43</c:v>
                      </c:pt>
                      <c:pt idx="4331">
                        <c:v>43</c:v>
                      </c:pt>
                      <c:pt idx="4332">
                        <c:v>43</c:v>
                      </c:pt>
                      <c:pt idx="4333">
                        <c:v>43</c:v>
                      </c:pt>
                      <c:pt idx="4334">
                        <c:v>43</c:v>
                      </c:pt>
                      <c:pt idx="4335">
                        <c:v>43</c:v>
                      </c:pt>
                      <c:pt idx="4412">
                        <c:v>44</c:v>
                      </c:pt>
                      <c:pt idx="4413">
                        <c:v>44</c:v>
                      </c:pt>
                      <c:pt idx="4414">
                        <c:v>44</c:v>
                      </c:pt>
                      <c:pt idx="4415">
                        <c:v>44</c:v>
                      </c:pt>
                      <c:pt idx="4416">
                        <c:v>44</c:v>
                      </c:pt>
                      <c:pt idx="4417">
                        <c:v>44</c:v>
                      </c:pt>
                      <c:pt idx="4418">
                        <c:v>44</c:v>
                      </c:pt>
                      <c:pt idx="4419">
                        <c:v>44</c:v>
                      </c:pt>
                      <c:pt idx="4420">
                        <c:v>44</c:v>
                      </c:pt>
                      <c:pt idx="4421">
                        <c:v>44</c:v>
                      </c:pt>
                      <c:pt idx="4422">
                        <c:v>44</c:v>
                      </c:pt>
                      <c:pt idx="4423">
                        <c:v>44</c:v>
                      </c:pt>
                      <c:pt idx="4424">
                        <c:v>44</c:v>
                      </c:pt>
                      <c:pt idx="4425">
                        <c:v>44</c:v>
                      </c:pt>
                      <c:pt idx="4426">
                        <c:v>44</c:v>
                      </c:pt>
                      <c:pt idx="4427">
                        <c:v>44</c:v>
                      </c:pt>
                      <c:pt idx="4428">
                        <c:v>44</c:v>
                      </c:pt>
                      <c:pt idx="4429">
                        <c:v>44</c:v>
                      </c:pt>
                      <c:pt idx="4430">
                        <c:v>44</c:v>
                      </c:pt>
                      <c:pt idx="4431">
                        <c:v>44</c:v>
                      </c:pt>
                      <c:pt idx="4432">
                        <c:v>44</c:v>
                      </c:pt>
                      <c:pt idx="4433">
                        <c:v>44</c:v>
                      </c:pt>
                      <c:pt idx="4434">
                        <c:v>44</c:v>
                      </c:pt>
                      <c:pt idx="4435">
                        <c:v>44</c:v>
                      </c:pt>
                      <c:pt idx="4436">
                        <c:v>44</c:v>
                      </c:pt>
                      <c:pt idx="4437">
                        <c:v>44</c:v>
                      </c:pt>
                      <c:pt idx="4438">
                        <c:v>44</c:v>
                      </c:pt>
                      <c:pt idx="4439">
                        <c:v>44</c:v>
                      </c:pt>
                      <c:pt idx="4440">
                        <c:v>44</c:v>
                      </c:pt>
                      <c:pt idx="4441">
                        <c:v>44</c:v>
                      </c:pt>
                      <c:pt idx="4442">
                        <c:v>44</c:v>
                      </c:pt>
                      <c:pt idx="4443">
                        <c:v>44</c:v>
                      </c:pt>
                      <c:pt idx="4444">
                        <c:v>44</c:v>
                      </c:pt>
                      <c:pt idx="4445">
                        <c:v>44</c:v>
                      </c:pt>
                      <c:pt idx="4446">
                        <c:v>44</c:v>
                      </c:pt>
                      <c:pt idx="4447">
                        <c:v>44</c:v>
                      </c:pt>
                      <c:pt idx="4448">
                        <c:v>44</c:v>
                      </c:pt>
                      <c:pt idx="4449">
                        <c:v>44</c:v>
                      </c:pt>
                      <c:pt idx="4450">
                        <c:v>44</c:v>
                      </c:pt>
                      <c:pt idx="4451">
                        <c:v>44</c:v>
                      </c:pt>
                      <c:pt idx="4474">
                        <c:v>45</c:v>
                      </c:pt>
                      <c:pt idx="4475">
                        <c:v>45</c:v>
                      </c:pt>
                      <c:pt idx="4476">
                        <c:v>45</c:v>
                      </c:pt>
                      <c:pt idx="4477">
                        <c:v>45</c:v>
                      </c:pt>
                      <c:pt idx="4478">
                        <c:v>45</c:v>
                      </c:pt>
                      <c:pt idx="4479">
                        <c:v>45</c:v>
                      </c:pt>
                      <c:pt idx="4480">
                        <c:v>45</c:v>
                      </c:pt>
                      <c:pt idx="4481">
                        <c:v>45</c:v>
                      </c:pt>
                      <c:pt idx="4482">
                        <c:v>45</c:v>
                      </c:pt>
                      <c:pt idx="4483">
                        <c:v>45</c:v>
                      </c:pt>
                      <c:pt idx="4484">
                        <c:v>45</c:v>
                      </c:pt>
                      <c:pt idx="4485">
                        <c:v>45</c:v>
                      </c:pt>
                      <c:pt idx="4486">
                        <c:v>45</c:v>
                      </c:pt>
                      <c:pt idx="4487">
                        <c:v>45</c:v>
                      </c:pt>
                      <c:pt idx="4488">
                        <c:v>45</c:v>
                      </c:pt>
                      <c:pt idx="4489">
                        <c:v>45</c:v>
                      </c:pt>
                      <c:pt idx="4490">
                        <c:v>45</c:v>
                      </c:pt>
                      <c:pt idx="4491">
                        <c:v>45</c:v>
                      </c:pt>
                      <c:pt idx="4492">
                        <c:v>45</c:v>
                      </c:pt>
                      <c:pt idx="4493">
                        <c:v>45</c:v>
                      </c:pt>
                      <c:pt idx="4494">
                        <c:v>45</c:v>
                      </c:pt>
                      <c:pt idx="4495">
                        <c:v>45</c:v>
                      </c:pt>
                      <c:pt idx="4496">
                        <c:v>45</c:v>
                      </c:pt>
                      <c:pt idx="4497">
                        <c:v>45</c:v>
                      </c:pt>
                      <c:pt idx="4498">
                        <c:v>45</c:v>
                      </c:pt>
                      <c:pt idx="4499">
                        <c:v>45</c:v>
                      </c:pt>
                      <c:pt idx="4500">
                        <c:v>45</c:v>
                      </c:pt>
                      <c:pt idx="4501">
                        <c:v>45</c:v>
                      </c:pt>
                      <c:pt idx="4502">
                        <c:v>45</c:v>
                      </c:pt>
                      <c:pt idx="4503">
                        <c:v>45</c:v>
                      </c:pt>
                      <c:pt idx="4504">
                        <c:v>45</c:v>
                      </c:pt>
                      <c:pt idx="4505">
                        <c:v>45</c:v>
                      </c:pt>
                      <c:pt idx="4506">
                        <c:v>45</c:v>
                      </c:pt>
                      <c:pt idx="4507">
                        <c:v>45</c:v>
                      </c:pt>
                      <c:pt idx="4508">
                        <c:v>45</c:v>
                      </c:pt>
                      <c:pt idx="4509">
                        <c:v>45</c:v>
                      </c:pt>
                      <c:pt idx="4510">
                        <c:v>45</c:v>
                      </c:pt>
                      <c:pt idx="4511">
                        <c:v>45</c:v>
                      </c:pt>
                      <c:pt idx="4512">
                        <c:v>45</c:v>
                      </c:pt>
                      <c:pt idx="4513">
                        <c:v>45</c:v>
                      </c:pt>
                      <c:pt idx="4514">
                        <c:v>45</c:v>
                      </c:pt>
                      <c:pt idx="4515">
                        <c:v>45</c:v>
                      </c:pt>
                      <c:pt idx="4516">
                        <c:v>45</c:v>
                      </c:pt>
                      <c:pt idx="4517">
                        <c:v>45</c:v>
                      </c:pt>
                      <c:pt idx="4541">
                        <c:v>46</c:v>
                      </c:pt>
                      <c:pt idx="4542">
                        <c:v>46</c:v>
                      </c:pt>
                      <c:pt idx="4543">
                        <c:v>46</c:v>
                      </c:pt>
                      <c:pt idx="4544">
                        <c:v>46</c:v>
                      </c:pt>
                      <c:pt idx="4545">
                        <c:v>46</c:v>
                      </c:pt>
                      <c:pt idx="4546">
                        <c:v>46</c:v>
                      </c:pt>
                      <c:pt idx="4547">
                        <c:v>46</c:v>
                      </c:pt>
                      <c:pt idx="4548">
                        <c:v>46</c:v>
                      </c:pt>
                      <c:pt idx="4549">
                        <c:v>46</c:v>
                      </c:pt>
                      <c:pt idx="4550">
                        <c:v>46</c:v>
                      </c:pt>
                      <c:pt idx="4551">
                        <c:v>46</c:v>
                      </c:pt>
                      <c:pt idx="4552">
                        <c:v>46</c:v>
                      </c:pt>
                      <c:pt idx="4618">
                        <c:v>47</c:v>
                      </c:pt>
                      <c:pt idx="4619">
                        <c:v>47</c:v>
                      </c:pt>
                      <c:pt idx="4620">
                        <c:v>47</c:v>
                      </c:pt>
                      <c:pt idx="4621">
                        <c:v>47</c:v>
                      </c:pt>
                      <c:pt idx="4622">
                        <c:v>47</c:v>
                      </c:pt>
                      <c:pt idx="4623">
                        <c:v>47</c:v>
                      </c:pt>
                      <c:pt idx="4624">
                        <c:v>47</c:v>
                      </c:pt>
                      <c:pt idx="4625">
                        <c:v>47</c:v>
                      </c:pt>
                      <c:pt idx="4626">
                        <c:v>47</c:v>
                      </c:pt>
                      <c:pt idx="4627">
                        <c:v>47</c:v>
                      </c:pt>
                      <c:pt idx="4628">
                        <c:v>47</c:v>
                      </c:pt>
                      <c:pt idx="4629">
                        <c:v>47</c:v>
                      </c:pt>
                      <c:pt idx="4630">
                        <c:v>47</c:v>
                      </c:pt>
                      <c:pt idx="4631">
                        <c:v>47</c:v>
                      </c:pt>
                      <c:pt idx="4632">
                        <c:v>47</c:v>
                      </c:pt>
                      <c:pt idx="4633">
                        <c:v>47</c:v>
                      </c:pt>
                      <c:pt idx="4634">
                        <c:v>47</c:v>
                      </c:pt>
                      <c:pt idx="4635">
                        <c:v>47</c:v>
                      </c:pt>
                      <c:pt idx="4636">
                        <c:v>47</c:v>
                      </c:pt>
                      <c:pt idx="4637">
                        <c:v>47</c:v>
                      </c:pt>
                      <c:pt idx="4638">
                        <c:v>47</c:v>
                      </c:pt>
                      <c:pt idx="4639">
                        <c:v>47</c:v>
                      </c:pt>
                      <c:pt idx="4688">
                        <c:v>48</c:v>
                      </c:pt>
                      <c:pt idx="4689">
                        <c:v>48</c:v>
                      </c:pt>
                      <c:pt idx="4690">
                        <c:v>48</c:v>
                      </c:pt>
                      <c:pt idx="4691">
                        <c:v>48</c:v>
                      </c:pt>
                      <c:pt idx="4692">
                        <c:v>48</c:v>
                      </c:pt>
                      <c:pt idx="4706">
                        <c:v>49</c:v>
                      </c:pt>
                      <c:pt idx="4707">
                        <c:v>49</c:v>
                      </c:pt>
                      <c:pt idx="4708">
                        <c:v>49</c:v>
                      </c:pt>
                      <c:pt idx="4709">
                        <c:v>49</c:v>
                      </c:pt>
                      <c:pt idx="4710">
                        <c:v>49</c:v>
                      </c:pt>
                      <c:pt idx="4711">
                        <c:v>49</c:v>
                      </c:pt>
                      <c:pt idx="4712">
                        <c:v>49</c:v>
                      </c:pt>
                      <c:pt idx="4713">
                        <c:v>49</c:v>
                      </c:pt>
                      <c:pt idx="4714">
                        <c:v>49</c:v>
                      </c:pt>
                      <c:pt idx="4715">
                        <c:v>49</c:v>
                      </c:pt>
                      <c:pt idx="4716">
                        <c:v>49</c:v>
                      </c:pt>
                      <c:pt idx="4717">
                        <c:v>49</c:v>
                      </c:pt>
                      <c:pt idx="4718">
                        <c:v>49</c:v>
                      </c:pt>
                      <c:pt idx="4719">
                        <c:v>49</c:v>
                      </c:pt>
                      <c:pt idx="4720">
                        <c:v>49</c:v>
                      </c:pt>
                      <c:pt idx="4721">
                        <c:v>49</c:v>
                      </c:pt>
                      <c:pt idx="4722">
                        <c:v>49</c:v>
                      </c:pt>
                      <c:pt idx="4723">
                        <c:v>49</c:v>
                      </c:pt>
                      <c:pt idx="4724">
                        <c:v>49</c:v>
                      </c:pt>
                      <c:pt idx="4725">
                        <c:v>49</c:v>
                      </c:pt>
                      <c:pt idx="4726">
                        <c:v>49</c:v>
                      </c:pt>
                      <c:pt idx="5001">
                        <c:v>50</c:v>
                      </c:pt>
                      <c:pt idx="5002">
                        <c:v>50</c:v>
                      </c:pt>
                      <c:pt idx="5003">
                        <c:v>50</c:v>
                      </c:pt>
                      <c:pt idx="5004">
                        <c:v>50</c:v>
                      </c:pt>
                      <c:pt idx="5005">
                        <c:v>50</c:v>
                      </c:pt>
                      <c:pt idx="5006">
                        <c:v>50</c:v>
                      </c:pt>
                      <c:pt idx="5007">
                        <c:v>50</c:v>
                      </c:pt>
                      <c:pt idx="5008">
                        <c:v>50</c:v>
                      </c:pt>
                      <c:pt idx="5009">
                        <c:v>50</c:v>
                      </c:pt>
                      <c:pt idx="5010">
                        <c:v>50</c:v>
                      </c:pt>
                      <c:pt idx="5011">
                        <c:v>50</c:v>
                      </c:pt>
                      <c:pt idx="5012">
                        <c:v>50</c:v>
                      </c:pt>
                      <c:pt idx="5013">
                        <c:v>50</c:v>
                      </c:pt>
                      <c:pt idx="5014">
                        <c:v>50</c:v>
                      </c:pt>
                      <c:pt idx="5015">
                        <c:v>50</c:v>
                      </c:pt>
                      <c:pt idx="5016">
                        <c:v>50</c:v>
                      </c:pt>
                      <c:pt idx="5017">
                        <c:v>50</c:v>
                      </c:pt>
                      <c:pt idx="5018">
                        <c:v>50</c:v>
                      </c:pt>
                      <c:pt idx="5019">
                        <c:v>50</c:v>
                      </c:pt>
                      <c:pt idx="5020">
                        <c:v>50</c:v>
                      </c:pt>
                      <c:pt idx="5021">
                        <c:v>50</c:v>
                      </c:pt>
                      <c:pt idx="5022">
                        <c:v>50</c:v>
                      </c:pt>
                      <c:pt idx="5023">
                        <c:v>50</c:v>
                      </c:pt>
                      <c:pt idx="5024">
                        <c:v>50</c:v>
                      </c:pt>
                      <c:pt idx="5025">
                        <c:v>50</c:v>
                      </c:pt>
                      <c:pt idx="5026">
                        <c:v>50</c:v>
                      </c:pt>
                      <c:pt idx="5027">
                        <c:v>50</c:v>
                      </c:pt>
                      <c:pt idx="5028">
                        <c:v>50</c:v>
                      </c:pt>
                      <c:pt idx="5029">
                        <c:v>50</c:v>
                      </c:pt>
                      <c:pt idx="5030">
                        <c:v>50</c:v>
                      </c:pt>
                      <c:pt idx="5031">
                        <c:v>50</c:v>
                      </c:pt>
                      <c:pt idx="5032">
                        <c:v>50</c:v>
                      </c:pt>
                      <c:pt idx="5033">
                        <c:v>50</c:v>
                      </c:pt>
                      <c:pt idx="5034">
                        <c:v>50</c:v>
                      </c:pt>
                      <c:pt idx="5035">
                        <c:v>50</c:v>
                      </c:pt>
                      <c:pt idx="5061">
                        <c:v>51</c:v>
                      </c:pt>
                      <c:pt idx="5062">
                        <c:v>51</c:v>
                      </c:pt>
                      <c:pt idx="5063">
                        <c:v>51</c:v>
                      </c:pt>
                      <c:pt idx="5064">
                        <c:v>51</c:v>
                      </c:pt>
                      <c:pt idx="5065">
                        <c:v>51</c:v>
                      </c:pt>
                      <c:pt idx="5066">
                        <c:v>51</c:v>
                      </c:pt>
                      <c:pt idx="5067">
                        <c:v>51</c:v>
                      </c:pt>
                      <c:pt idx="5068">
                        <c:v>51</c:v>
                      </c:pt>
                      <c:pt idx="5069">
                        <c:v>51</c:v>
                      </c:pt>
                      <c:pt idx="5070">
                        <c:v>51</c:v>
                      </c:pt>
                      <c:pt idx="5071">
                        <c:v>51</c:v>
                      </c:pt>
                      <c:pt idx="5072">
                        <c:v>51</c:v>
                      </c:pt>
                      <c:pt idx="5073">
                        <c:v>51</c:v>
                      </c:pt>
                      <c:pt idx="5074">
                        <c:v>51</c:v>
                      </c:pt>
                      <c:pt idx="5075">
                        <c:v>51</c:v>
                      </c:pt>
                      <c:pt idx="5076">
                        <c:v>51</c:v>
                      </c:pt>
                      <c:pt idx="5077">
                        <c:v>51</c:v>
                      </c:pt>
                      <c:pt idx="5078">
                        <c:v>51</c:v>
                      </c:pt>
                      <c:pt idx="5079">
                        <c:v>51</c:v>
                      </c:pt>
                      <c:pt idx="5080">
                        <c:v>51</c:v>
                      </c:pt>
                      <c:pt idx="5081">
                        <c:v>51</c:v>
                      </c:pt>
                      <c:pt idx="5082">
                        <c:v>51</c:v>
                      </c:pt>
                      <c:pt idx="5083">
                        <c:v>51</c:v>
                      </c:pt>
                      <c:pt idx="5084">
                        <c:v>51</c:v>
                      </c:pt>
                      <c:pt idx="5085">
                        <c:v>51</c:v>
                      </c:pt>
                      <c:pt idx="5086">
                        <c:v>51</c:v>
                      </c:pt>
                      <c:pt idx="5087">
                        <c:v>51</c:v>
                      </c:pt>
                      <c:pt idx="5088">
                        <c:v>51</c:v>
                      </c:pt>
                      <c:pt idx="5089">
                        <c:v>51</c:v>
                      </c:pt>
                      <c:pt idx="5090">
                        <c:v>51</c:v>
                      </c:pt>
                      <c:pt idx="5091">
                        <c:v>51</c:v>
                      </c:pt>
                      <c:pt idx="5092">
                        <c:v>51</c:v>
                      </c:pt>
                      <c:pt idx="5093">
                        <c:v>51</c:v>
                      </c:pt>
                      <c:pt idx="5094">
                        <c:v>51</c:v>
                      </c:pt>
                      <c:pt idx="5095">
                        <c:v>51</c:v>
                      </c:pt>
                      <c:pt idx="5096">
                        <c:v>51</c:v>
                      </c:pt>
                      <c:pt idx="5097">
                        <c:v>51</c:v>
                      </c:pt>
                      <c:pt idx="5098">
                        <c:v>51</c:v>
                      </c:pt>
                      <c:pt idx="5099">
                        <c:v>51</c:v>
                      </c:pt>
                      <c:pt idx="5100">
                        <c:v>51</c:v>
                      </c:pt>
                      <c:pt idx="5101">
                        <c:v>51</c:v>
                      </c:pt>
                      <c:pt idx="5142">
                        <c:v>52</c:v>
                      </c:pt>
                      <c:pt idx="5143">
                        <c:v>52</c:v>
                      </c:pt>
                      <c:pt idx="5144">
                        <c:v>52</c:v>
                      </c:pt>
                      <c:pt idx="5145">
                        <c:v>52</c:v>
                      </c:pt>
                      <c:pt idx="5146">
                        <c:v>52</c:v>
                      </c:pt>
                      <c:pt idx="5147">
                        <c:v>52</c:v>
                      </c:pt>
                      <c:pt idx="5148">
                        <c:v>52</c:v>
                      </c:pt>
                      <c:pt idx="5149">
                        <c:v>52</c:v>
                      </c:pt>
                      <c:pt idx="5150">
                        <c:v>52</c:v>
                      </c:pt>
                      <c:pt idx="5151">
                        <c:v>52</c:v>
                      </c:pt>
                      <c:pt idx="5152">
                        <c:v>52</c:v>
                      </c:pt>
                      <c:pt idx="5153">
                        <c:v>52</c:v>
                      </c:pt>
                      <c:pt idx="5154">
                        <c:v>52</c:v>
                      </c:pt>
                      <c:pt idx="5155">
                        <c:v>52</c:v>
                      </c:pt>
                      <c:pt idx="5156">
                        <c:v>52</c:v>
                      </c:pt>
                      <c:pt idx="5157">
                        <c:v>52</c:v>
                      </c:pt>
                      <c:pt idx="5158">
                        <c:v>52</c:v>
                      </c:pt>
                      <c:pt idx="5159">
                        <c:v>52</c:v>
                      </c:pt>
                      <c:pt idx="5160">
                        <c:v>52</c:v>
                      </c:pt>
                      <c:pt idx="5161">
                        <c:v>52</c:v>
                      </c:pt>
                      <c:pt idx="5162">
                        <c:v>52</c:v>
                      </c:pt>
                      <c:pt idx="5163">
                        <c:v>52</c:v>
                      </c:pt>
                      <c:pt idx="5164">
                        <c:v>52</c:v>
                      </c:pt>
                      <c:pt idx="5165">
                        <c:v>52</c:v>
                      </c:pt>
                      <c:pt idx="5166">
                        <c:v>52</c:v>
                      </c:pt>
                      <c:pt idx="5167">
                        <c:v>52</c:v>
                      </c:pt>
                      <c:pt idx="5168">
                        <c:v>52</c:v>
                      </c:pt>
                      <c:pt idx="5169">
                        <c:v>52</c:v>
                      </c:pt>
                      <c:pt idx="5170">
                        <c:v>52</c:v>
                      </c:pt>
                      <c:pt idx="5171">
                        <c:v>52</c:v>
                      </c:pt>
                      <c:pt idx="5172">
                        <c:v>52</c:v>
                      </c:pt>
                      <c:pt idx="5173">
                        <c:v>52</c:v>
                      </c:pt>
                      <c:pt idx="5174">
                        <c:v>52</c:v>
                      </c:pt>
                      <c:pt idx="5175">
                        <c:v>52</c:v>
                      </c:pt>
                      <c:pt idx="5213">
                        <c:v>53</c:v>
                      </c:pt>
                      <c:pt idx="5214">
                        <c:v>53</c:v>
                      </c:pt>
                      <c:pt idx="5215">
                        <c:v>53</c:v>
                      </c:pt>
                      <c:pt idx="5216">
                        <c:v>53</c:v>
                      </c:pt>
                      <c:pt idx="5217">
                        <c:v>53</c:v>
                      </c:pt>
                      <c:pt idx="5218">
                        <c:v>53</c:v>
                      </c:pt>
                      <c:pt idx="5219">
                        <c:v>53</c:v>
                      </c:pt>
                      <c:pt idx="5220">
                        <c:v>53</c:v>
                      </c:pt>
                      <c:pt idx="5221">
                        <c:v>53</c:v>
                      </c:pt>
                      <c:pt idx="5222">
                        <c:v>53</c:v>
                      </c:pt>
                      <c:pt idx="5223">
                        <c:v>53</c:v>
                      </c:pt>
                      <c:pt idx="5257">
                        <c:v>54</c:v>
                      </c:pt>
                      <c:pt idx="5258">
                        <c:v>54</c:v>
                      </c:pt>
                      <c:pt idx="5259">
                        <c:v>54</c:v>
                      </c:pt>
                      <c:pt idx="5260">
                        <c:v>54</c:v>
                      </c:pt>
                      <c:pt idx="5261">
                        <c:v>54</c:v>
                      </c:pt>
                      <c:pt idx="5262">
                        <c:v>54</c:v>
                      </c:pt>
                      <c:pt idx="5263">
                        <c:v>54</c:v>
                      </c:pt>
                      <c:pt idx="5264">
                        <c:v>54</c:v>
                      </c:pt>
                      <c:pt idx="5265">
                        <c:v>54</c:v>
                      </c:pt>
                      <c:pt idx="5415">
                        <c:v>55</c:v>
                      </c:pt>
                      <c:pt idx="5416">
                        <c:v>55</c:v>
                      </c:pt>
                      <c:pt idx="5417">
                        <c:v>55</c:v>
                      </c:pt>
                      <c:pt idx="5418">
                        <c:v>55</c:v>
                      </c:pt>
                      <c:pt idx="5419">
                        <c:v>55</c:v>
                      </c:pt>
                      <c:pt idx="5420">
                        <c:v>55</c:v>
                      </c:pt>
                      <c:pt idx="5421">
                        <c:v>55</c:v>
                      </c:pt>
                      <c:pt idx="5422">
                        <c:v>55</c:v>
                      </c:pt>
                      <c:pt idx="5423">
                        <c:v>55</c:v>
                      </c:pt>
                      <c:pt idx="5434">
                        <c:v>56</c:v>
                      </c:pt>
                      <c:pt idx="5435">
                        <c:v>56</c:v>
                      </c:pt>
                      <c:pt idx="5436">
                        <c:v>56</c:v>
                      </c:pt>
                      <c:pt idx="5437">
                        <c:v>56</c:v>
                      </c:pt>
                      <c:pt idx="5438">
                        <c:v>56</c:v>
                      </c:pt>
                      <c:pt idx="5439">
                        <c:v>56</c:v>
                      </c:pt>
                      <c:pt idx="5440">
                        <c:v>56</c:v>
                      </c:pt>
                      <c:pt idx="5441">
                        <c:v>56</c:v>
                      </c:pt>
                      <c:pt idx="5442">
                        <c:v>56</c:v>
                      </c:pt>
                      <c:pt idx="5443">
                        <c:v>56</c:v>
                      </c:pt>
                      <c:pt idx="5444">
                        <c:v>56</c:v>
                      </c:pt>
                      <c:pt idx="5445">
                        <c:v>56</c:v>
                      </c:pt>
                      <c:pt idx="5446">
                        <c:v>56</c:v>
                      </c:pt>
                      <c:pt idx="5447">
                        <c:v>56</c:v>
                      </c:pt>
                      <c:pt idx="5448">
                        <c:v>56</c:v>
                      </c:pt>
                      <c:pt idx="5563">
                        <c:v>57</c:v>
                      </c:pt>
                      <c:pt idx="5564">
                        <c:v>57</c:v>
                      </c:pt>
                      <c:pt idx="5565">
                        <c:v>57</c:v>
                      </c:pt>
                      <c:pt idx="5566">
                        <c:v>57</c:v>
                      </c:pt>
                      <c:pt idx="5567">
                        <c:v>57</c:v>
                      </c:pt>
                      <c:pt idx="5568">
                        <c:v>57</c:v>
                      </c:pt>
                      <c:pt idx="5569">
                        <c:v>57</c:v>
                      </c:pt>
                      <c:pt idx="5570">
                        <c:v>57</c:v>
                      </c:pt>
                      <c:pt idx="5571">
                        <c:v>57</c:v>
                      </c:pt>
                      <c:pt idx="5572">
                        <c:v>57</c:v>
                      </c:pt>
                      <c:pt idx="5573">
                        <c:v>57</c:v>
                      </c:pt>
                      <c:pt idx="5574">
                        <c:v>57</c:v>
                      </c:pt>
                      <c:pt idx="5575">
                        <c:v>57</c:v>
                      </c:pt>
                      <c:pt idx="5576">
                        <c:v>57</c:v>
                      </c:pt>
                      <c:pt idx="5577">
                        <c:v>57</c:v>
                      </c:pt>
                      <c:pt idx="5578">
                        <c:v>57</c:v>
                      </c:pt>
                      <c:pt idx="5579">
                        <c:v>57</c:v>
                      </c:pt>
                      <c:pt idx="5580">
                        <c:v>57</c:v>
                      </c:pt>
                      <c:pt idx="5581">
                        <c:v>57</c:v>
                      </c:pt>
                      <c:pt idx="5582">
                        <c:v>57</c:v>
                      </c:pt>
                      <c:pt idx="5583">
                        <c:v>57</c:v>
                      </c:pt>
                      <c:pt idx="5584">
                        <c:v>57</c:v>
                      </c:pt>
                      <c:pt idx="5759">
                        <c:v>58</c:v>
                      </c:pt>
                      <c:pt idx="5760">
                        <c:v>58</c:v>
                      </c:pt>
                      <c:pt idx="5761">
                        <c:v>58</c:v>
                      </c:pt>
                      <c:pt idx="5762">
                        <c:v>58</c:v>
                      </c:pt>
                      <c:pt idx="5763">
                        <c:v>58</c:v>
                      </c:pt>
                      <c:pt idx="5764">
                        <c:v>58</c:v>
                      </c:pt>
                      <c:pt idx="5765">
                        <c:v>58</c:v>
                      </c:pt>
                      <c:pt idx="5766">
                        <c:v>58</c:v>
                      </c:pt>
                      <c:pt idx="5767">
                        <c:v>58</c:v>
                      </c:pt>
                      <c:pt idx="5768">
                        <c:v>58</c:v>
                      </c:pt>
                      <c:pt idx="5769">
                        <c:v>58</c:v>
                      </c:pt>
                      <c:pt idx="5770">
                        <c:v>58</c:v>
                      </c:pt>
                      <c:pt idx="5771">
                        <c:v>58</c:v>
                      </c:pt>
                      <c:pt idx="5772">
                        <c:v>58</c:v>
                      </c:pt>
                      <c:pt idx="5773">
                        <c:v>58</c:v>
                      </c:pt>
                      <c:pt idx="5774">
                        <c:v>58</c:v>
                      </c:pt>
                      <c:pt idx="5775">
                        <c:v>58</c:v>
                      </c:pt>
                      <c:pt idx="5776">
                        <c:v>58</c:v>
                      </c:pt>
                      <c:pt idx="5777">
                        <c:v>58</c:v>
                      </c:pt>
                      <c:pt idx="5778">
                        <c:v>58</c:v>
                      </c:pt>
                      <c:pt idx="5779">
                        <c:v>58</c:v>
                      </c:pt>
                      <c:pt idx="5780">
                        <c:v>58</c:v>
                      </c:pt>
                      <c:pt idx="5781">
                        <c:v>58</c:v>
                      </c:pt>
                      <c:pt idx="5782">
                        <c:v>58</c:v>
                      </c:pt>
                      <c:pt idx="5783">
                        <c:v>58</c:v>
                      </c:pt>
                      <c:pt idx="5784">
                        <c:v>58</c:v>
                      </c:pt>
                      <c:pt idx="5785">
                        <c:v>58</c:v>
                      </c:pt>
                      <c:pt idx="5786">
                        <c:v>58</c:v>
                      </c:pt>
                      <c:pt idx="5875">
                        <c:v>59</c:v>
                      </c:pt>
                      <c:pt idx="5876">
                        <c:v>59</c:v>
                      </c:pt>
                      <c:pt idx="5877">
                        <c:v>59</c:v>
                      </c:pt>
                      <c:pt idx="5878">
                        <c:v>59</c:v>
                      </c:pt>
                      <c:pt idx="5879">
                        <c:v>59</c:v>
                      </c:pt>
                      <c:pt idx="5880">
                        <c:v>59</c:v>
                      </c:pt>
                      <c:pt idx="5881">
                        <c:v>59</c:v>
                      </c:pt>
                      <c:pt idx="5882">
                        <c:v>59</c:v>
                      </c:pt>
                      <c:pt idx="5883">
                        <c:v>59</c:v>
                      </c:pt>
                      <c:pt idx="5884">
                        <c:v>59</c:v>
                      </c:pt>
                      <c:pt idx="5885">
                        <c:v>59</c:v>
                      </c:pt>
                      <c:pt idx="5886">
                        <c:v>59</c:v>
                      </c:pt>
                      <c:pt idx="5887">
                        <c:v>59</c:v>
                      </c:pt>
                      <c:pt idx="5888">
                        <c:v>59</c:v>
                      </c:pt>
                      <c:pt idx="5889">
                        <c:v>59</c:v>
                      </c:pt>
                      <c:pt idx="5890">
                        <c:v>59</c:v>
                      </c:pt>
                      <c:pt idx="5891">
                        <c:v>59</c:v>
                      </c:pt>
                      <c:pt idx="5892">
                        <c:v>59</c:v>
                      </c:pt>
                      <c:pt idx="5893">
                        <c:v>59</c:v>
                      </c:pt>
                      <c:pt idx="6025">
                        <c:v>60</c:v>
                      </c:pt>
                      <c:pt idx="6026">
                        <c:v>60</c:v>
                      </c:pt>
                      <c:pt idx="6027">
                        <c:v>60</c:v>
                      </c:pt>
                      <c:pt idx="6028">
                        <c:v>60</c:v>
                      </c:pt>
                      <c:pt idx="6029">
                        <c:v>60</c:v>
                      </c:pt>
                      <c:pt idx="6030">
                        <c:v>60</c:v>
                      </c:pt>
                      <c:pt idx="6031">
                        <c:v>60</c:v>
                      </c:pt>
                      <c:pt idx="6032">
                        <c:v>60</c:v>
                      </c:pt>
                      <c:pt idx="6064">
                        <c:v>61</c:v>
                      </c:pt>
                      <c:pt idx="6065">
                        <c:v>61</c:v>
                      </c:pt>
                      <c:pt idx="6066">
                        <c:v>61</c:v>
                      </c:pt>
                      <c:pt idx="6067">
                        <c:v>61</c:v>
                      </c:pt>
                      <c:pt idx="6068">
                        <c:v>61</c:v>
                      </c:pt>
                      <c:pt idx="6069">
                        <c:v>61</c:v>
                      </c:pt>
                      <c:pt idx="6070">
                        <c:v>61</c:v>
                      </c:pt>
                      <c:pt idx="6071">
                        <c:v>61</c:v>
                      </c:pt>
                      <c:pt idx="6072">
                        <c:v>61</c:v>
                      </c:pt>
                      <c:pt idx="6073">
                        <c:v>61</c:v>
                      </c:pt>
                      <c:pt idx="6074">
                        <c:v>61</c:v>
                      </c:pt>
                      <c:pt idx="6075">
                        <c:v>61</c:v>
                      </c:pt>
                      <c:pt idx="6076">
                        <c:v>61</c:v>
                      </c:pt>
                      <c:pt idx="6077">
                        <c:v>61</c:v>
                      </c:pt>
                      <c:pt idx="6078">
                        <c:v>61</c:v>
                      </c:pt>
                      <c:pt idx="6079">
                        <c:v>61</c:v>
                      </c:pt>
                      <c:pt idx="6080">
                        <c:v>61</c:v>
                      </c:pt>
                      <c:pt idx="6081">
                        <c:v>61</c:v>
                      </c:pt>
                      <c:pt idx="6082">
                        <c:v>61</c:v>
                      </c:pt>
                      <c:pt idx="6083">
                        <c:v>61</c:v>
                      </c:pt>
                      <c:pt idx="6084">
                        <c:v>61</c:v>
                      </c:pt>
                      <c:pt idx="6085">
                        <c:v>61</c:v>
                      </c:pt>
                      <c:pt idx="6086">
                        <c:v>61</c:v>
                      </c:pt>
                      <c:pt idx="6087">
                        <c:v>61</c:v>
                      </c:pt>
                      <c:pt idx="6088">
                        <c:v>61</c:v>
                      </c:pt>
                      <c:pt idx="6089">
                        <c:v>61</c:v>
                      </c:pt>
                      <c:pt idx="6090">
                        <c:v>61</c:v>
                      </c:pt>
                      <c:pt idx="6091">
                        <c:v>61</c:v>
                      </c:pt>
                      <c:pt idx="6092">
                        <c:v>61</c:v>
                      </c:pt>
                      <c:pt idx="6093">
                        <c:v>61</c:v>
                      </c:pt>
                      <c:pt idx="6094">
                        <c:v>61</c:v>
                      </c:pt>
                      <c:pt idx="6095">
                        <c:v>61</c:v>
                      </c:pt>
                      <c:pt idx="6096">
                        <c:v>61</c:v>
                      </c:pt>
                      <c:pt idx="6097">
                        <c:v>61</c:v>
                      </c:pt>
                      <c:pt idx="6098">
                        <c:v>61</c:v>
                      </c:pt>
                      <c:pt idx="6099">
                        <c:v>61</c:v>
                      </c:pt>
                      <c:pt idx="6100">
                        <c:v>61</c:v>
                      </c:pt>
                      <c:pt idx="6101">
                        <c:v>61</c:v>
                      </c:pt>
                      <c:pt idx="6102">
                        <c:v>61</c:v>
                      </c:pt>
                      <c:pt idx="6103">
                        <c:v>61</c:v>
                      </c:pt>
                      <c:pt idx="6104">
                        <c:v>61</c:v>
                      </c:pt>
                      <c:pt idx="6105">
                        <c:v>61</c:v>
                      </c:pt>
                      <c:pt idx="6106">
                        <c:v>61</c:v>
                      </c:pt>
                      <c:pt idx="6107">
                        <c:v>61</c:v>
                      </c:pt>
                      <c:pt idx="6108">
                        <c:v>61</c:v>
                      </c:pt>
                      <c:pt idx="6148">
                        <c:v>62</c:v>
                      </c:pt>
                      <c:pt idx="6149">
                        <c:v>62</c:v>
                      </c:pt>
                      <c:pt idx="6150">
                        <c:v>62</c:v>
                      </c:pt>
                      <c:pt idx="6151">
                        <c:v>62</c:v>
                      </c:pt>
                      <c:pt idx="6152">
                        <c:v>62</c:v>
                      </c:pt>
                      <c:pt idx="6153">
                        <c:v>62</c:v>
                      </c:pt>
                      <c:pt idx="6154">
                        <c:v>62</c:v>
                      </c:pt>
                      <c:pt idx="6155">
                        <c:v>62</c:v>
                      </c:pt>
                      <c:pt idx="6156">
                        <c:v>62</c:v>
                      </c:pt>
                      <c:pt idx="6157">
                        <c:v>62</c:v>
                      </c:pt>
                      <c:pt idx="6158">
                        <c:v>62</c:v>
                      </c:pt>
                      <c:pt idx="6159">
                        <c:v>62</c:v>
                      </c:pt>
                      <c:pt idx="6160">
                        <c:v>62</c:v>
                      </c:pt>
                      <c:pt idx="6161">
                        <c:v>62</c:v>
                      </c:pt>
                      <c:pt idx="6162">
                        <c:v>62</c:v>
                      </c:pt>
                      <c:pt idx="6163">
                        <c:v>62</c:v>
                      </c:pt>
                      <c:pt idx="6164">
                        <c:v>62</c:v>
                      </c:pt>
                      <c:pt idx="6165">
                        <c:v>62</c:v>
                      </c:pt>
                      <c:pt idx="6166">
                        <c:v>62</c:v>
                      </c:pt>
                      <c:pt idx="6167">
                        <c:v>62</c:v>
                      </c:pt>
                      <c:pt idx="6168">
                        <c:v>62</c:v>
                      </c:pt>
                      <c:pt idx="6169">
                        <c:v>62</c:v>
                      </c:pt>
                      <c:pt idx="6170">
                        <c:v>62</c:v>
                      </c:pt>
                      <c:pt idx="6171">
                        <c:v>62</c:v>
                      </c:pt>
                      <c:pt idx="6172">
                        <c:v>62</c:v>
                      </c:pt>
                      <c:pt idx="6173">
                        <c:v>62</c:v>
                      </c:pt>
                      <c:pt idx="6174">
                        <c:v>62</c:v>
                      </c:pt>
                      <c:pt idx="6175">
                        <c:v>62</c:v>
                      </c:pt>
                      <c:pt idx="6176">
                        <c:v>62</c:v>
                      </c:pt>
                      <c:pt idx="6177">
                        <c:v>62</c:v>
                      </c:pt>
                      <c:pt idx="6178">
                        <c:v>62</c:v>
                      </c:pt>
                      <c:pt idx="6179">
                        <c:v>62</c:v>
                      </c:pt>
                      <c:pt idx="6180">
                        <c:v>62</c:v>
                      </c:pt>
                      <c:pt idx="6181">
                        <c:v>62</c:v>
                      </c:pt>
                      <c:pt idx="6182">
                        <c:v>62</c:v>
                      </c:pt>
                      <c:pt idx="6183">
                        <c:v>62</c:v>
                      </c:pt>
                      <c:pt idx="6184">
                        <c:v>62</c:v>
                      </c:pt>
                      <c:pt idx="6185">
                        <c:v>62</c:v>
                      </c:pt>
                      <c:pt idx="6186">
                        <c:v>62</c:v>
                      </c:pt>
                      <c:pt idx="6187">
                        <c:v>62</c:v>
                      </c:pt>
                      <c:pt idx="6188">
                        <c:v>62</c:v>
                      </c:pt>
                      <c:pt idx="6189">
                        <c:v>62</c:v>
                      </c:pt>
                      <c:pt idx="6190">
                        <c:v>62</c:v>
                      </c:pt>
                      <c:pt idx="6197">
                        <c:v>63</c:v>
                      </c:pt>
                      <c:pt idx="6198">
                        <c:v>63</c:v>
                      </c:pt>
                      <c:pt idx="6199">
                        <c:v>63</c:v>
                      </c:pt>
                      <c:pt idx="6200">
                        <c:v>63</c:v>
                      </c:pt>
                      <c:pt idx="6201">
                        <c:v>63</c:v>
                      </c:pt>
                      <c:pt idx="6202">
                        <c:v>63</c:v>
                      </c:pt>
                      <c:pt idx="6233">
                        <c:v>64</c:v>
                      </c:pt>
                      <c:pt idx="6234">
                        <c:v>64</c:v>
                      </c:pt>
                      <c:pt idx="6235">
                        <c:v>64</c:v>
                      </c:pt>
                      <c:pt idx="6236">
                        <c:v>64</c:v>
                      </c:pt>
                      <c:pt idx="6237">
                        <c:v>64</c:v>
                      </c:pt>
                      <c:pt idx="6238">
                        <c:v>64</c:v>
                      </c:pt>
                      <c:pt idx="6239">
                        <c:v>64</c:v>
                      </c:pt>
                      <c:pt idx="6240">
                        <c:v>64</c:v>
                      </c:pt>
                      <c:pt idx="6241">
                        <c:v>64</c:v>
                      </c:pt>
                      <c:pt idx="6242">
                        <c:v>64</c:v>
                      </c:pt>
                      <c:pt idx="6243">
                        <c:v>64</c:v>
                      </c:pt>
                      <c:pt idx="6244">
                        <c:v>64</c:v>
                      </c:pt>
                      <c:pt idx="6245">
                        <c:v>64</c:v>
                      </c:pt>
                      <c:pt idx="6246">
                        <c:v>64</c:v>
                      </c:pt>
                      <c:pt idx="6247">
                        <c:v>64</c:v>
                      </c:pt>
                      <c:pt idx="6248">
                        <c:v>64</c:v>
                      </c:pt>
                      <c:pt idx="6249">
                        <c:v>64</c:v>
                      </c:pt>
                      <c:pt idx="6250">
                        <c:v>64</c:v>
                      </c:pt>
                      <c:pt idx="6251">
                        <c:v>64</c:v>
                      </c:pt>
                      <c:pt idx="6252">
                        <c:v>64</c:v>
                      </c:pt>
                      <c:pt idx="6253">
                        <c:v>64</c:v>
                      </c:pt>
                      <c:pt idx="6254">
                        <c:v>64</c:v>
                      </c:pt>
                      <c:pt idx="6255">
                        <c:v>64</c:v>
                      </c:pt>
                      <c:pt idx="6256">
                        <c:v>64</c:v>
                      </c:pt>
                      <c:pt idx="6257">
                        <c:v>64</c:v>
                      </c:pt>
                      <c:pt idx="6258">
                        <c:v>64</c:v>
                      </c:pt>
                      <c:pt idx="6259">
                        <c:v>64</c:v>
                      </c:pt>
                      <c:pt idx="6260">
                        <c:v>64</c:v>
                      </c:pt>
                      <c:pt idx="6261">
                        <c:v>64</c:v>
                      </c:pt>
                      <c:pt idx="6262">
                        <c:v>64</c:v>
                      </c:pt>
                      <c:pt idx="6263">
                        <c:v>64</c:v>
                      </c:pt>
                      <c:pt idx="6385">
                        <c:v>65</c:v>
                      </c:pt>
                      <c:pt idx="6386">
                        <c:v>65</c:v>
                      </c:pt>
                      <c:pt idx="6387">
                        <c:v>65</c:v>
                      </c:pt>
                      <c:pt idx="6388">
                        <c:v>65</c:v>
                      </c:pt>
                      <c:pt idx="6389">
                        <c:v>65</c:v>
                      </c:pt>
                      <c:pt idx="6390">
                        <c:v>65</c:v>
                      </c:pt>
                      <c:pt idx="6391">
                        <c:v>65</c:v>
                      </c:pt>
                      <c:pt idx="6392">
                        <c:v>65</c:v>
                      </c:pt>
                      <c:pt idx="6393">
                        <c:v>65</c:v>
                      </c:pt>
                      <c:pt idx="6450">
                        <c:v>66</c:v>
                      </c:pt>
                      <c:pt idx="6451">
                        <c:v>66</c:v>
                      </c:pt>
                      <c:pt idx="6452">
                        <c:v>66</c:v>
                      </c:pt>
                      <c:pt idx="6453">
                        <c:v>66</c:v>
                      </c:pt>
                      <c:pt idx="6494">
                        <c:v>67</c:v>
                      </c:pt>
                      <c:pt idx="6495">
                        <c:v>67</c:v>
                      </c:pt>
                      <c:pt idx="6496">
                        <c:v>67</c:v>
                      </c:pt>
                      <c:pt idx="6497">
                        <c:v>67</c:v>
                      </c:pt>
                      <c:pt idx="6498">
                        <c:v>67</c:v>
                      </c:pt>
                      <c:pt idx="6499">
                        <c:v>67</c:v>
                      </c:pt>
                      <c:pt idx="6500">
                        <c:v>67</c:v>
                      </c:pt>
                      <c:pt idx="6501">
                        <c:v>67</c:v>
                      </c:pt>
                      <c:pt idx="6502">
                        <c:v>67</c:v>
                      </c:pt>
                      <c:pt idx="6503">
                        <c:v>67</c:v>
                      </c:pt>
                      <c:pt idx="6504">
                        <c:v>67</c:v>
                      </c:pt>
                      <c:pt idx="6505">
                        <c:v>67</c:v>
                      </c:pt>
                      <c:pt idx="6506">
                        <c:v>67</c:v>
                      </c:pt>
                      <c:pt idx="6507">
                        <c:v>67</c:v>
                      </c:pt>
                      <c:pt idx="6508">
                        <c:v>67</c:v>
                      </c:pt>
                      <c:pt idx="6509">
                        <c:v>67</c:v>
                      </c:pt>
                      <c:pt idx="6510">
                        <c:v>67</c:v>
                      </c:pt>
                      <c:pt idx="6511">
                        <c:v>67</c:v>
                      </c:pt>
                      <c:pt idx="6512">
                        <c:v>67</c:v>
                      </c:pt>
                      <c:pt idx="6513">
                        <c:v>67</c:v>
                      </c:pt>
                      <c:pt idx="6514">
                        <c:v>67</c:v>
                      </c:pt>
                      <c:pt idx="6515">
                        <c:v>67</c:v>
                      </c:pt>
                      <c:pt idx="6516">
                        <c:v>67</c:v>
                      </c:pt>
                      <c:pt idx="6517">
                        <c:v>67</c:v>
                      </c:pt>
                      <c:pt idx="6518">
                        <c:v>67</c:v>
                      </c:pt>
                      <c:pt idx="6519">
                        <c:v>67</c:v>
                      </c:pt>
                      <c:pt idx="6520">
                        <c:v>67</c:v>
                      </c:pt>
                      <c:pt idx="6620">
                        <c:v>68</c:v>
                      </c:pt>
                      <c:pt idx="6621">
                        <c:v>68</c:v>
                      </c:pt>
                      <c:pt idx="6622">
                        <c:v>68</c:v>
                      </c:pt>
                      <c:pt idx="6623">
                        <c:v>68</c:v>
                      </c:pt>
                      <c:pt idx="6624">
                        <c:v>68</c:v>
                      </c:pt>
                      <c:pt idx="6625">
                        <c:v>68</c:v>
                      </c:pt>
                      <c:pt idx="6626">
                        <c:v>68</c:v>
                      </c:pt>
                      <c:pt idx="6627">
                        <c:v>68</c:v>
                      </c:pt>
                      <c:pt idx="6628">
                        <c:v>68</c:v>
                      </c:pt>
                      <c:pt idx="6629">
                        <c:v>68</c:v>
                      </c:pt>
                      <c:pt idx="6630">
                        <c:v>68</c:v>
                      </c:pt>
                      <c:pt idx="6631">
                        <c:v>68</c:v>
                      </c:pt>
                      <c:pt idx="6632">
                        <c:v>68</c:v>
                      </c:pt>
                      <c:pt idx="6633">
                        <c:v>68</c:v>
                      </c:pt>
                      <c:pt idx="6634">
                        <c:v>68</c:v>
                      </c:pt>
                      <c:pt idx="6635">
                        <c:v>68</c:v>
                      </c:pt>
                      <c:pt idx="6636">
                        <c:v>68</c:v>
                      </c:pt>
                      <c:pt idx="6637">
                        <c:v>68</c:v>
                      </c:pt>
                      <c:pt idx="6638">
                        <c:v>68</c:v>
                      </c:pt>
                      <c:pt idx="6639">
                        <c:v>68</c:v>
                      </c:pt>
                      <c:pt idx="6640">
                        <c:v>68</c:v>
                      </c:pt>
                      <c:pt idx="6641">
                        <c:v>68</c:v>
                      </c:pt>
                      <c:pt idx="6642">
                        <c:v>68</c:v>
                      </c:pt>
                      <c:pt idx="6643">
                        <c:v>68</c:v>
                      </c:pt>
                      <c:pt idx="6644">
                        <c:v>68</c:v>
                      </c:pt>
                      <c:pt idx="6645">
                        <c:v>68</c:v>
                      </c:pt>
                      <c:pt idx="6646">
                        <c:v>68</c:v>
                      </c:pt>
                      <c:pt idx="6647">
                        <c:v>68</c:v>
                      </c:pt>
                      <c:pt idx="6648">
                        <c:v>68</c:v>
                      </c:pt>
                      <c:pt idx="6649">
                        <c:v>68</c:v>
                      </c:pt>
                      <c:pt idx="6650">
                        <c:v>68</c:v>
                      </c:pt>
                      <c:pt idx="6651">
                        <c:v>68</c:v>
                      </c:pt>
                      <c:pt idx="6688">
                        <c:v>69</c:v>
                      </c:pt>
                      <c:pt idx="6689">
                        <c:v>69</c:v>
                      </c:pt>
                      <c:pt idx="6690">
                        <c:v>69</c:v>
                      </c:pt>
                      <c:pt idx="6691">
                        <c:v>69</c:v>
                      </c:pt>
                      <c:pt idx="6692">
                        <c:v>69</c:v>
                      </c:pt>
                      <c:pt idx="6693">
                        <c:v>69</c:v>
                      </c:pt>
                      <c:pt idx="6694">
                        <c:v>69</c:v>
                      </c:pt>
                      <c:pt idx="6695">
                        <c:v>69</c:v>
                      </c:pt>
                      <c:pt idx="6696">
                        <c:v>69</c:v>
                      </c:pt>
                      <c:pt idx="6697">
                        <c:v>69</c:v>
                      </c:pt>
                      <c:pt idx="6698">
                        <c:v>69</c:v>
                      </c:pt>
                      <c:pt idx="6699">
                        <c:v>69</c:v>
                      </c:pt>
                      <c:pt idx="6700">
                        <c:v>69</c:v>
                      </c:pt>
                      <c:pt idx="6701">
                        <c:v>69</c:v>
                      </c:pt>
                      <c:pt idx="6702">
                        <c:v>69</c:v>
                      </c:pt>
                      <c:pt idx="6703">
                        <c:v>69</c:v>
                      </c:pt>
                      <c:pt idx="6704">
                        <c:v>69</c:v>
                      </c:pt>
                      <c:pt idx="6705">
                        <c:v>69</c:v>
                      </c:pt>
                      <c:pt idx="6719">
                        <c:v>70</c:v>
                      </c:pt>
                      <c:pt idx="6720">
                        <c:v>70</c:v>
                      </c:pt>
                      <c:pt idx="6721">
                        <c:v>70</c:v>
                      </c:pt>
                      <c:pt idx="6722">
                        <c:v>70</c:v>
                      </c:pt>
                      <c:pt idx="6723">
                        <c:v>70</c:v>
                      </c:pt>
                      <c:pt idx="6724">
                        <c:v>70</c:v>
                      </c:pt>
                      <c:pt idx="6725">
                        <c:v>70</c:v>
                      </c:pt>
                      <c:pt idx="6726">
                        <c:v>70</c:v>
                      </c:pt>
                      <c:pt idx="6727">
                        <c:v>70</c:v>
                      </c:pt>
                      <c:pt idx="6728">
                        <c:v>70</c:v>
                      </c:pt>
                      <c:pt idx="6729">
                        <c:v>70</c:v>
                      </c:pt>
                      <c:pt idx="6730">
                        <c:v>70</c:v>
                      </c:pt>
                      <c:pt idx="6731">
                        <c:v>70</c:v>
                      </c:pt>
                      <c:pt idx="6732">
                        <c:v>70</c:v>
                      </c:pt>
                      <c:pt idx="6774">
                        <c:v>71</c:v>
                      </c:pt>
                      <c:pt idx="6775">
                        <c:v>71</c:v>
                      </c:pt>
                      <c:pt idx="6776">
                        <c:v>71</c:v>
                      </c:pt>
                      <c:pt idx="6777">
                        <c:v>71</c:v>
                      </c:pt>
                      <c:pt idx="6778">
                        <c:v>71</c:v>
                      </c:pt>
                      <c:pt idx="6779">
                        <c:v>71</c:v>
                      </c:pt>
                      <c:pt idx="6780">
                        <c:v>71</c:v>
                      </c:pt>
                      <c:pt idx="6781">
                        <c:v>71</c:v>
                      </c:pt>
                      <c:pt idx="6782">
                        <c:v>71</c:v>
                      </c:pt>
                      <c:pt idx="6783">
                        <c:v>71</c:v>
                      </c:pt>
                      <c:pt idx="6784">
                        <c:v>71</c:v>
                      </c:pt>
                      <c:pt idx="6802">
                        <c:v>72</c:v>
                      </c:pt>
                      <c:pt idx="6803">
                        <c:v>72</c:v>
                      </c:pt>
                      <c:pt idx="6804">
                        <c:v>72</c:v>
                      </c:pt>
                      <c:pt idx="6805">
                        <c:v>72</c:v>
                      </c:pt>
                      <c:pt idx="6806">
                        <c:v>72</c:v>
                      </c:pt>
                      <c:pt idx="6829">
                        <c:v>73</c:v>
                      </c:pt>
                      <c:pt idx="6830">
                        <c:v>73</c:v>
                      </c:pt>
                      <c:pt idx="6831">
                        <c:v>73</c:v>
                      </c:pt>
                      <c:pt idx="6832">
                        <c:v>73</c:v>
                      </c:pt>
                      <c:pt idx="6833">
                        <c:v>73</c:v>
                      </c:pt>
                      <c:pt idx="6834">
                        <c:v>73</c:v>
                      </c:pt>
                      <c:pt idx="6835">
                        <c:v>73</c:v>
                      </c:pt>
                      <c:pt idx="6836">
                        <c:v>73</c:v>
                      </c:pt>
                      <c:pt idx="6837">
                        <c:v>73</c:v>
                      </c:pt>
                      <c:pt idx="6838">
                        <c:v>73</c:v>
                      </c:pt>
                      <c:pt idx="6839">
                        <c:v>73</c:v>
                      </c:pt>
                      <c:pt idx="6840">
                        <c:v>73</c:v>
                      </c:pt>
                      <c:pt idx="6841">
                        <c:v>73</c:v>
                      </c:pt>
                      <c:pt idx="6842">
                        <c:v>73</c:v>
                      </c:pt>
                      <c:pt idx="6843">
                        <c:v>73</c:v>
                      </c:pt>
                      <c:pt idx="6844">
                        <c:v>73</c:v>
                      </c:pt>
                      <c:pt idx="6845">
                        <c:v>73</c:v>
                      </c:pt>
                      <c:pt idx="6846">
                        <c:v>73</c:v>
                      </c:pt>
                      <c:pt idx="6847">
                        <c:v>73</c:v>
                      </c:pt>
                      <c:pt idx="6848">
                        <c:v>73</c:v>
                      </c:pt>
                      <c:pt idx="6849">
                        <c:v>73</c:v>
                      </c:pt>
                      <c:pt idx="6850">
                        <c:v>73</c:v>
                      </c:pt>
                      <c:pt idx="6851">
                        <c:v>73</c:v>
                      </c:pt>
                      <c:pt idx="6852">
                        <c:v>73</c:v>
                      </c:pt>
                      <c:pt idx="6853">
                        <c:v>73</c:v>
                      </c:pt>
                      <c:pt idx="6854">
                        <c:v>73</c:v>
                      </c:pt>
                      <c:pt idx="6855">
                        <c:v>73</c:v>
                      </c:pt>
                      <c:pt idx="6856">
                        <c:v>73</c:v>
                      </c:pt>
                      <c:pt idx="6857">
                        <c:v>73</c:v>
                      </c:pt>
                      <c:pt idx="6858">
                        <c:v>73</c:v>
                      </c:pt>
                      <c:pt idx="6859">
                        <c:v>73</c:v>
                      </c:pt>
                      <c:pt idx="6860">
                        <c:v>73</c:v>
                      </c:pt>
                      <c:pt idx="6861">
                        <c:v>73</c:v>
                      </c:pt>
                      <c:pt idx="6862">
                        <c:v>73</c:v>
                      </c:pt>
                      <c:pt idx="6863">
                        <c:v>73</c:v>
                      </c:pt>
                      <c:pt idx="6864">
                        <c:v>73</c:v>
                      </c:pt>
                      <c:pt idx="6865">
                        <c:v>73</c:v>
                      </c:pt>
                      <c:pt idx="6866">
                        <c:v>73</c:v>
                      </c:pt>
                      <c:pt idx="6867">
                        <c:v>73</c:v>
                      </c:pt>
                      <c:pt idx="6877">
                        <c:v>74</c:v>
                      </c:pt>
                      <c:pt idx="6878">
                        <c:v>74</c:v>
                      </c:pt>
                      <c:pt idx="6879">
                        <c:v>74</c:v>
                      </c:pt>
                      <c:pt idx="6880">
                        <c:v>74</c:v>
                      </c:pt>
                      <c:pt idx="6881">
                        <c:v>74</c:v>
                      </c:pt>
                      <c:pt idx="6882">
                        <c:v>74</c:v>
                      </c:pt>
                      <c:pt idx="6883">
                        <c:v>74</c:v>
                      </c:pt>
                      <c:pt idx="6884">
                        <c:v>74</c:v>
                      </c:pt>
                      <c:pt idx="6885">
                        <c:v>74</c:v>
                      </c:pt>
                      <c:pt idx="6886">
                        <c:v>74</c:v>
                      </c:pt>
                      <c:pt idx="6887">
                        <c:v>74</c:v>
                      </c:pt>
                      <c:pt idx="6888">
                        <c:v>74</c:v>
                      </c:pt>
                      <c:pt idx="6889">
                        <c:v>74</c:v>
                      </c:pt>
                      <c:pt idx="6890">
                        <c:v>74</c:v>
                      </c:pt>
                      <c:pt idx="6891">
                        <c:v>74</c:v>
                      </c:pt>
                      <c:pt idx="6892">
                        <c:v>74</c:v>
                      </c:pt>
                      <c:pt idx="6893">
                        <c:v>74</c:v>
                      </c:pt>
                      <c:pt idx="6894">
                        <c:v>74</c:v>
                      </c:pt>
                      <c:pt idx="6895">
                        <c:v>74</c:v>
                      </c:pt>
                      <c:pt idx="6896">
                        <c:v>74</c:v>
                      </c:pt>
                      <c:pt idx="6897">
                        <c:v>74</c:v>
                      </c:pt>
                      <c:pt idx="6898">
                        <c:v>74</c:v>
                      </c:pt>
                      <c:pt idx="6899">
                        <c:v>74</c:v>
                      </c:pt>
                      <c:pt idx="6900">
                        <c:v>74</c:v>
                      </c:pt>
                      <c:pt idx="6910">
                        <c:v>75</c:v>
                      </c:pt>
                      <c:pt idx="6911">
                        <c:v>75</c:v>
                      </c:pt>
                      <c:pt idx="6912">
                        <c:v>75</c:v>
                      </c:pt>
                      <c:pt idx="6913">
                        <c:v>75</c:v>
                      </c:pt>
                      <c:pt idx="6914">
                        <c:v>75</c:v>
                      </c:pt>
                      <c:pt idx="6915">
                        <c:v>75</c:v>
                      </c:pt>
                      <c:pt idx="6916">
                        <c:v>75</c:v>
                      </c:pt>
                      <c:pt idx="6917">
                        <c:v>75</c:v>
                      </c:pt>
                      <c:pt idx="6918">
                        <c:v>75</c:v>
                      </c:pt>
                      <c:pt idx="6932">
                        <c:v>76</c:v>
                      </c:pt>
                      <c:pt idx="6933">
                        <c:v>76</c:v>
                      </c:pt>
                      <c:pt idx="6934">
                        <c:v>76</c:v>
                      </c:pt>
                      <c:pt idx="6935">
                        <c:v>76</c:v>
                      </c:pt>
                      <c:pt idx="6936">
                        <c:v>76</c:v>
                      </c:pt>
                      <c:pt idx="6937">
                        <c:v>76</c:v>
                      </c:pt>
                      <c:pt idx="6938">
                        <c:v>76</c:v>
                      </c:pt>
                      <c:pt idx="6939">
                        <c:v>76</c:v>
                      </c:pt>
                      <c:pt idx="6940">
                        <c:v>76</c:v>
                      </c:pt>
                      <c:pt idx="6941">
                        <c:v>76</c:v>
                      </c:pt>
                      <c:pt idx="6942">
                        <c:v>76</c:v>
                      </c:pt>
                      <c:pt idx="6943">
                        <c:v>76</c:v>
                      </c:pt>
                      <c:pt idx="6981">
                        <c:v>77</c:v>
                      </c:pt>
                      <c:pt idx="6982">
                        <c:v>77</c:v>
                      </c:pt>
                      <c:pt idx="6983">
                        <c:v>77</c:v>
                      </c:pt>
                      <c:pt idx="6984">
                        <c:v>77</c:v>
                      </c:pt>
                      <c:pt idx="6985">
                        <c:v>77</c:v>
                      </c:pt>
                      <c:pt idx="6986">
                        <c:v>77</c:v>
                      </c:pt>
                      <c:pt idx="6987">
                        <c:v>77</c:v>
                      </c:pt>
                      <c:pt idx="6988">
                        <c:v>77</c:v>
                      </c:pt>
                      <c:pt idx="6989">
                        <c:v>77</c:v>
                      </c:pt>
                      <c:pt idx="6990">
                        <c:v>77</c:v>
                      </c:pt>
                      <c:pt idx="6991">
                        <c:v>77</c:v>
                      </c:pt>
                      <c:pt idx="6992">
                        <c:v>77</c:v>
                      </c:pt>
                      <c:pt idx="6993">
                        <c:v>77</c:v>
                      </c:pt>
                      <c:pt idx="6994">
                        <c:v>77</c:v>
                      </c:pt>
                      <c:pt idx="6995">
                        <c:v>77</c:v>
                      </c:pt>
                      <c:pt idx="6996">
                        <c:v>77</c:v>
                      </c:pt>
                      <c:pt idx="6997">
                        <c:v>77</c:v>
                      </c:pt>
                      <c:pt idx="6998">
                        <c:v>77</c:v>
                      </c:pt>
                      <c:pt idx="6999">
                        <c:v>77</c:v>
                      </c:pt>
                      <c:pt idx="7000">
                        <c:v>77</c:v>
                      </c:pt>
                      <c:pt idx="7001">
                        <c:v>77</c:v>
                      </c:pt>
                      <c:pt idx="7002">
                        <c:v>77</c:v>
                      </c:pt>
                      <c:pt idx="7003">
                        <c:v>77</c:v>
                      </c:pt>
                      <c:pt idx="7004">
                        <c:v>77</c:v>
                      </c:pt>
                      <c:pt idx="7005">
                        <c:v>77</c:v>
                      </c:pt>
                      <c:pt idx="7006">
                        <c:v>77</c:v>
                      </c:pt>
                      <c:pt idx="7007">
                        <c:v>77</c:v>
                      </c:pt>
                      <c:pt idx="7008">
                        <c:v>77</c:v>
                      </c:pt>
                      <c:pt idx="7009">
                        <c:v>77</c:v>
                      </c:pt>
                      <c:pt idx="7010">
                        <c:v>77</c:v>
                      </c:pt>
                      <c:pt idx="7011">
                        <c:v>77</c:v>
                      </c:pt>
                      <c:pt idx="7047">
                        <c:v>78</c:v>
                      </c:pt>
                      <c:pt idx="7048">
                        <c:v>78</c:v>
                      </c:pt>
                      <c:pt idx="7049">
                        <c:v>78</c:v>
                      </c:pt>
                      <c:pt idx="7050">
                        <c:v>78</c:v>
                      </c:pt>
                      <c:pt idx="7051">
                        <c:v>78</c:v>
                      </c:pt>
                      <c:pt idx="7052">
                        <c:v>78</c:v>
                      </c:pt>
                      <c:pt idx="7053">
                        <c:v>78</c:v>
                      </c:pt>
                      <c:pt idx="7054">
                        <c:v>78</c:v>
                      </c:pt>
                      <c:pt idx="7055">
                        <c:v>78</c:v>
                      </c:pt>
                      <c:pt idx="7056">
                        <c:v>78</c:v>
                      </c:pt>
                      <c:pt idx="7057">
                        <c:v>78</c:v>
                      </c:pt>
                      <c:pt idx="7058">
                        <c:v>78</c:v>
                      </c:pt>
                      <c:pt idx="7059">
                        <c:v>78</c:v>
                      </c:pt>
                      <c:pt idx="7060">
                        <c:v>78</c:v>
                      </c:pt>
                      <c:pt idx="7061">
                        <c:v>78</c:v>
                      </c:pt>
                      <c:pt idx="7062">
                        <c:v>78</c:v>
                      </c:pt>
                      <c:pt idx="7063">
                        <c:v>78</c:v>
                      </c:pt>
                      <c:pt idx="7064">
                        <c:v>78</c:v>
                      </c:pt>
                      <c:pt idx="7065">
                        <c:v>78</c:v>
                      </c:pt>
                      <c:pt idx="7066">
                        <c:v>78</c:v>
                      </c:pt>
                      <c:pt idx="7067">
                        <c:v>78</c:v>
                      </c:pt>
                      <c:pt idx="7068">
                        <c:v>78</c:v>
                      </c:pt>
                      <c:pt idx="7069">
                        <c:v>78</c:v>
                      </c:pt>
                      <c:pt idx="7070">
                        <c:v>78</c:v>
                      </c:pt>
                      <c:pt idx="7071">
                        <c:v>78</c:v>
                      </c:pt>
                      <c:pt idx="7072">
                        <c:v>78</c:v>
                      </c:pt>
                      <c:pt idx="7073">
                        <c:v>78</c:v>
                      </c:pt>
                      <c:pt idx="7074">
                        <c:v>78</c:v>
                      </c:pt>
                      <c:pt idx="7075">
                        <c:v>78</c:v>
                      </c:pt>
                      <c:pt idx="7076">
                        <c:v>78</c:v>
                      </c:pt>
                      <c:pt idx="7077">
                        <c:v>78</c:v>
                      </c:pt>
                      <c:pt idx="7078">
                        <c:v>78</c:v>
                      </c:pt>
                      <c:pt idx="7079">
                        <c:v>78</c:v>
                      </c:pt>
                      <c:pt idx="7080">
                        <c:v>78</c:v>
                      </c:pt>
                      <c:pt idx="7081">
                        <c:v>78</c:v>
                      </c:pt>
                      <c:pt idx="7082">
                        <c:v>78</c:v>
                      </c:pt>
                      <c:pt idx="7083">
                        <c:v>78</c:v>
                      </c:pt>
                      <c:pt idx="7084">
                        <c:v>78</c:v>
                      </c:pt>
                      <c:pt idx="7085">
                        <c:v>78</c:v>
                      </c:pt>
                      <c:pt idx="7086">
                        <c:v>78</c:v>
                      </c:pt>
                      <c:pt idx="7095">
                        <c:v>79</c:v>
                      </c:pt>
                      <c:pt idx="7096">
                        <c:v>79</c:v>
                      </c:pt>
                      <c:pt idx="7097">
                        <c:v>79</c:v>
                      </c:pt>
                      <c:pt idx="7098">
                        <c:v>79</c:v>
                      </c:pt>
                      <c:pt idx="7099">
                        <c:v>79</c:v>
                      </c:pt>
                      <c:pt idx="7100">
                        <c:v>79</c:v>
                      </c:pt>
                      <c:pt idx="7101">
                        <c:v>79</c:v>
                      </c:pt>
                      <c:pt idx="7102">
                        <c:v>79</c:v>
                      </c:pt>
                      <c:pt idx="7103">
                        <c:v>79</c:v>
                      </c:pt>
                      <c:pt idx="7104">
                        <c:v>79</c:v>
                      </c:pt>
                      <c:pt idx="7105">
                        <c:v>79</c:v>
                      </c:pt>
                      <c:pt idx="7106">
                        <c:v>79</c:v>
                      </c:pt>
                      <c:pt idx="7107">
                        <c:v>79</c:v>
                      </c:pt>
                      <c:pt idx="7108">
                        <c:v>79</c:v>
                      </c:pt>
                      <c:pt idx="7109">
                        <c:v>79</c:v>
                      </c:pt>
                      <c:pt idx="7110">
                        <c:v>79</c:v>
                      </c:pt>
                      <c:pt idx="7111">
                        <c:v>79</c:v>
                      </c:pt>
                      <c:pt idx="7112">
                        <c:v>79</c:v>
                      </c:pt>
                      <c:pt idx="7113">
                        <c:v>79</c:v>
                      </c:pt>
                      <c:pt idx="7114">
                        <c:v>79</c:v>
                      </c:pt>
                      <c:pt idx="7115">
                        <c:v>79</c:v>
                      </c:pt>
                      <c:pt idx="7130">
                        <c:v>80</c:v>
                      </c:pt>
                      <c:pt idx="7131">
                        <c:v>80</c:v>
                      </c:pt>
                      <c:pt idx="7132">
                        <c:v>80</c:v>
                      </c:pt>
                      <c:pt idx="7133">
                        <c:v>80</c:v>
                      </c:pt>
                      <c:pt idx="7134">
                        <c:v>80</c:v>
                      </c:pt>
                      <c:pt idx="7135">
                        <c:v>80</c:v>
                      </c:pt>
                      <c:pt idx="7136">
                        <c:v>80</c:v>
                      </c:pt>
                      <c:pt idx="7137">
                        <c:v>80</c:v>
                      </c:pt>
                      <c:pt idx="7138">
                        <c:v>80</c:v>
                      </c:pt>
                      <c:pt idx="7139">
                        <c:v>80</c:v>
                      </c:pt>
                      <c:pt idx="7140">
                        <c:v>80</c:v>
                      </c:pt>
                      <c:pt idx="7141">
                        <c:v>80</c:v>
                      </c:pt>
                      <c:pt idx="7142">
                        <c:v>80</c:v>
                      </c:pt>
                      <c:pt idx="7143">
                        <c:v>80</c:v>
                      </c:pt>
                      <c:pt idx="7144">
                        <c:v>80</c:v>
                      </c:pt>
                      <c:pt idx="7145">
                        <c:v>80</c:v>
                      </c:pt>
                      <c:pt idx="7146">
                        <c:v>80</c:v>
                      </c:pt>
                      <c:pt idx="7147">
                        <c:v>80</c:v>
                      </c:pt>
                      <c:pt idx="7148">
                        <c:v>80</c:v>
                      </c:pt>
                      <c:pt idx="7149">
                        <c:v>80</c:v>
                      </c:pt>
                      <c:pt idx="7150">
                        <c:v>80</c:v>
                      </c:pt>
                      <c:pt idx="7151">
                        <c:v>80</c:v>
                      </c:pt>
                      <c:pt idx="7152">
                        <c:v>80</c:v>
                      </c:pt>
                      <c:pt idx="7153">
                        <c:v>80</c:v>
                      </c:pt>
                      <c:pt idx="7154">
                        <c:v>80</c:v>
                      </c:pt>
                      <c:pt idx="7155">
                        <c:v>80</c:v>
                      </c:pt>
                      <c:pt idx="7156">
                        <c:v>80</c:v>
                      </c:pt>
                      <c:pt idx="7157">
                        <c:v>80</c:v>
                      </c:pt>
                      <c:pt idx="7158">
                        <c:v>80</c:v>
                      </c:pt>
                      <c:pt idx="7183">
                        <c:v>81</c:v>
                      </c:pt>
                      <c:pt idx="7184">
                        <c:v>81</c:v>
                      </c:pt>
                      <c:pt idx="7185">
                        <c:v>81</c:v>
                      </c:pt>
                      <c:pt idx="7186">
                        <c:v>81</c:v>
                      </c:pt>
                      <c:pt idx="7187">
                        <c:v>81</c:v>
                      </c:pt>
                      <c:pt idx="7188">
                        <c:v>81</c:v>
                      </c:pt>
                      <c:pt idx="7189">
                        <c:v>81</c:v>
                      </c:pt>
                      <c:pt idx="7190">
                        <c:v>81</c:v>
                      </c:pt>
                      <c:pt idx="7191">
                        <c:v>81</c:v>
                      </c:pt>
                      <c:pt idx="7192">
                        <c:v>81</c:v>
                      </c:pt>
                      <c:pt idx="7193">
                        <c:v>81</c:v>
                      </c:pt>
                      <c:pt idx="7214">
                        <c:v>82</c:v>
                      </c:pt>
                      <c:pt idx="7215">
                        <c:v>82</c:v>
                      </c:pt>
                      <c:pt idx="7216">
                        <c:v>82</c:v>
                      </c:pt>
                      <c:pt idx="7217">
                        <c:v>82</c:v>
                      </c:pt>
                      <c:pt idx="7218">
                        <c:v>82</c:v>
                      </c:pt>
                      <c:pt idx="7219">
                        <c:v>82</c:v>
                      </c:pt>
                      <c:pt idx="7220">
                        <c:v>82</c:v>
                      </c:pt>
                      <c:pt idx="7221">
                        <c:v>82</c:v>
                      </c:pt>
                      <c:pt idx="7222">
                        <c:v>82</c:v>
                      </c:pt>
                      <c:pt idx="7291">
                        <c:v>83</c:v>
                      </c:pt>
                      <c:pt idx="7292">
                        <c:v>83</c:v>
                      </c:pt>
                      <c:pt idx="7293">
                        <c:v>83</c:v>
                      </c:pt>
                      <c:pt idx="7294">
                        <c:v>83</c:v>
                      </c:pt>
                      <c:pt idx="7304">
                        <c:v>84</c:v>
                      </c:pt>
                      <c:pt idx="7305">
                        <c:v>84</c:v>
                      </c:pt>
                      <c:pt idx="7306">
                        <c:v>84</c:v>
                      </c:pt>
                      <c:pt idx="7307">
                        <c:v>84</c:v>
                      </c:pt>
                      <c:pt idx="7308">
                        <c:v>84</c:v>
                      </c:pt>
                      <c:pt idx="7309">
                        <c:v>84</c:v>
                      </c:pt>
                      <c:pt idx="7310">
                        <c:v>84</c:v>
                      </c:pt>
                      <c:pt idx="7311">
                        <c:v>84</c:v>
                      </c:pt>
                      <c:pt idx="7434">
                        <c:v>85</c:v>
                      </c:pt>
                      <c:pt idx="7435">
                        <c:v>85</c:v>
                      </c:pt>
                      <c:pt idx="7436">
                        <c:v>85</c:v>
                      </c:pt>
                      <c:pt idx="7437">
                        <c:v>85</c:v>
                      </c:pt>
                      <c:pt idx="7438">
                        <c:v>85</c:v>
                      </c:pt>
                      <c:pt idx="7439">
                        <c:v>85</c:v>
                      </c:pt>
                      <c:pt idx="7440">
                        <c:v>85</c:v>
                      </c:pt>
                      <c:pt idx="7441">
                        <c:v>85</c:v>
                      </c:pt>
                      <c:pt idx="7442">
                        <c:v>85</c:v>
                      </c:pt>
                      <c:pt idx="7443">
                        <c:v>85</c:v>
                      </c:pt>
                      <c:pt idx="7444">
                        <c:v>85</c:v>
                      </c:pt>
                      <c:pt idx="7445">
                        <c:v>85</c:v>
                      </c:pt>
                      <c:pt idx="7446">
                        <c:v>85</c:v>
                      </c:pt>
                      <c:pt idx="7447">
                        <c:v>85</c:v>
                      </c:pt>
                      <c:pt idx="7448">
                        <c:v>85</c:v>
                      </c:pt>
                      <c:pt idx="7449">
                        <c:v>85</c:v>
                      </c:pt>
                      <c:pt idx="7450">
                        <c:v>85</c:v>
                      </c:pt>
                      <c:pt idx="7451">
                        <c:v>85</c:v>
                      </c:pt>
                      <c:pt idx="7452">
                        <c:v>85</c:v>
                      </c:pt>
                      <c:pt idx="7453">
                        <c:v>85</c:v>
                      </c:pt>
                      <c:pt idx="7454">
                        <c:v>85</c:v>
                      </c:pt>
                      <c:pt idx="7455">
                        <c:v>85</c:v>
                      </c:pt>
                      <c:pt idx="7456">
                        <c:v>85</c:v>
                      </c:pt>
                      <c:pt idx="7457">
                        <c:v>85</c:v>
                      </c:pt>
                      <c:pt idx="7458">
                        <c:v>85</c:v>
                      </c:pt>
                      <c:pt idx="7459">
                        <c:v>85</c:v>
                      </c:pt>
                      <c:pt idx="7460">
                        <c:v>85</c:v>
                      </c:pt>
                      <c:pt idx="7461">
                        <c:v>85</c:v>
                      </c:pt>
                      <c:pt idx="7462">
                        <c:v>85</c:v>
                      </c:pt>
                      <c:pt idx="7463">
                        <c:v>85</c:v>
                      </c:pt>
                      <c:pt idx="7464">
                        <c:v>85</c:v>
                      </c:pt>
                      <c:pt idx="7472">
                        <c:v>86</c:v>
                      </c:pt>
                      <c:pt idx="7473">
                        <c:v>86</c:v>
                      </c:pt>
                      <c:pt idx="7474">
                        <c:v>86</c:v>
                      </c:pt>
                      <c:pt idx="7475">
                        <c:v>86</c:v>
                      </c:pt>
                      <c:pt idx="7476">
                        <c:v>86</c:v>
                      </c:pt>
                      <c:pt idx="7477">
                        <c:v>86</c:v>
                      </c:pt>
                      <c:pt idx="7478">
                        <c:v>86</c:v>
                      </c:pt>
                      <c:pt idx="7490">
                        <c:v>87</c:v>
                      </c:pt>
                      <c:pt idx="7491">
                        <c:v>87</c:v>
                      </c:pt>
                      <c:pt idx="7492">
                        <c:v>87</c:v>
                      </c:pt>
                      <c:pt idx="7493">
                        <c:v>87</c:v>
                      </c:pt>
                      <c:pt idx="7494">
                        <c:v>87</c:v>
                      </c:pt>
                      <c:pt idx="7495">
                        <c:v>87</c:v>
                      </c:pt>
                      <c:pt idx="7496">
                        <c:v>87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8146-4C75-BFBE-F132244D9FDF}"/>
                  </c:ext>
                </c:extLst>
              </c15:ser>
            </c15:filteredScatterSeries>
          </c:ext>
        </c:extLst>
      </c:scatterChart>
      <c:valAx>
        <c:axId val="971638927"/>
        <c:scaling>
          <c:orientation val="minMax"/>
          <c:max val="76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41839"/>
        <c:crosses val="autoZero"/>
        <c:crossBetween val="midCat"/>
      </c:valAx>
      <c:valAx>
        <c:axId val="971641839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163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1_76_LE_MALE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transpose!$O$1</c:f>
              <c:strCache>
                <c:ptCount val="1"/>
                <c:pt idx="0">
                  <c:v>B_Eszik1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transpose!$O$2:$O$7653</c:f>
              <c:numCache>
                <c:formatCode>General</c:formatCode>
                <c:ptCount val="7652"/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7-4DCC-8B83-C2E980DF1D8E}"/>
            </c:ext>
          </c:extLst>
        </c:ser>
        <c:ser>
          <c:idx val="1"/>
          <c:order val="1"/>
          <c:tx>
            <c:strRef>
              <c:f>transpose!$Q$1</c:f>
              <c:strCache>
                <c:ptCount val="1"/>
                <c:pt idx="0">
                  <c:v>B_Eszik2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transpose!$Q$2:$Q$7653</c:f>
              <c:numCache>
                <c:formatCode>General</c:formatCode>
                <c:ptCount val="7652"/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97-4DCC-8B83-C2E980DF1D8E}"/>
            </c:ext>
          </c:extLst>
        </c:ser>
        <c:ser>
          <c:idx val="2"/>
          <c:order val="2"/>
          <c:tx>
            <c:strRef>
              <c:f>transpose!$S$1</c:f>
              <c:strCache>
                <c:ptCount val="1"/>
                <c:pt idx="0">
                  <c:v>B_Eszik3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transpose!$S$2:$S$7653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97-4DCC-8B83-C2E980DF1D8E}"/>
            </c:ext>
          </c:extLst>
        </c:ser>
        <c:ser>
          <c:idx val="3"/>
          <c:order val="3"/>
          <c:tx>
            <c:strRef>
              <c:f>transpose!$U$1</c:f>
              <c:strCache>
                <c:ptCount val="1"/>
                <c:pt idx="0">
                  <c:v>B_Eszik4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transpose!$U$2:$U$7653</c:f>
              <c:numCache>
                <c:formatCode>General</c:formatCode>
                <c:ptCount val="7652"/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97-4DCC-8B83-C2E980DF1D8E}"/>
            </c:ext>
          </c:extLst>
        </c:ser>
        <c:ser>
          <c:idx val="4"/>
          <c:order val="4"/>
          <c:tx>
            <c:strRef>
              <c:f>transpose!$W$1</c:f>
              <c:strCache>
                <c:ptCount val="1"/>
                <c:pt idx="0">
                  <c:v>B_Eszik5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transpose!$W$2:$W$7653</c:f>
              <c:numCache>
                <c:formatCode>General</c:formatCode>
                <c:ptCount val="7652"/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97-4DCC-8B83-C2E980DF1D8E}"/>
            </c:ext>
          </c:extLst>
        </c:ser>
        <c:ser>
          <c:idx val="5"/>
          <c:order val="5"/>
          <c:tx>
            <c:strRef>
              <c:f>transpose!$Y$1</c:f>
              <c:strCache>
                <c:ptCount val="1"/>
                <c:pt idx="0">
                  <c:v>B_Eszik6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transpose!$Y$2:$Y$7653</c:f>
              <c:numCache>
                <c:formatCode>General</c:formatCode>
                <c:ptCount val="7652"/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97-4DCC-8B83-C2E980DF1D8E}"/>
            </c:ext>
          </c:extLst>
        </c:ser>
        <c:ser>
          <c:idx val="6"/>
          <c:order val="6"/>
          <c:tx>
            <c:strRef>
              <c:f>transpose!$AA$1</c:f>
              <c:strCache>
                <c:ptCount val="1"/>
                <c:pt idx="0">
                  <c:v>B_Eszik7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transpose!$AA$2:$AA$7653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97-4DCC-8B83-C2E980DF1D8E}"/>
            </c:ext>
          </c:extLst>
        </c:ser>
        <c:ser>
          <c:idx val="7"/>
          <c:order val="7"/>
          <c:tx>
            <c:strRef>
              <c:f>transpose!$AC$1</c:f>
              <c:strCache>
                <c:ptCount val="1"/>
                <c:pt idx="0">
                  <c:v>B_Eszik8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transpose!$AC$2:$AC$7653</c:f>
              <c:numCache>
                <c:formatCode>General</c:formatCode>
                <c:ptCount val="7652"/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97-4DCC-8B83-C2E980DF1D8E}"/>
            </c:ext>
          </c:extLst>
        </c:ser>
        <c:ser>
          <c:idx val="8"/>
          <c:order val="8"/>
          <c:tx>
            <c:strRef>
              <c:f>transpose!$AE$1</c:f>
              <c:strCache>
                <c:ptCount val="1"/>
                <c:pt idx="0">
                  <c:v>B_Eszik9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transpose!$AE$2:$AE$7653</c:f>
              <c:numCache>
                <c:formatCode>General</c:formatCode>
                <c:ptCount val="7652"/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C97-4DCC-8B83-C2E980DF1D8E}"/>
            </c:ext>
          </c:extLst>
        </c:ser>
        <c:ser>
          <c:idx val="9"/>
          <c:order val="9"/>
          <c:tx>
            <c:strRef>
              <c:f>transpose!$AG$1</c:f>
              <c:strCache>
                <c:ptCount val="1"/>
                <c:pt idx="0">
                  <c:v>B_Eszik10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transpose!$AG$2:$AG$7653</c:f>
              <c:numCache>
                <c:formatCode>General</c:formatCode>
                <c:ptCount val="7652"/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C97-4DCC-8B83-C2E980DF1D8E}"/>
            </c:ext>
          </c:extLst>
        </c:ser>
        <c:ser>
          <c:idx val="10"/>
          <c:order val="10"/>
          <c:tx>
            <c:strRef>
              <c:f>transpose!$AI$1</c:f>
              <c:strCache>
                <c:ptCount val="1"/>
                <c:pt idx="0">
                  <c:v>B_Eszik11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transpose!$AI$2:$AI$7653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C97-4DCC-8B83-C2E980DF1D8E}"/>
            </c:ext>
          </c:extLst>
        </c:ser>
        <c:ser>
          <c:idx val="11"/>
          <c:order val="11"/>
          <c:tx>
            <c:strRef>
              <c:f>transpose!$AK$1</c:f>
              <c:strCache>
                <c:ptCount val="1"/>
                <c:pt idx="0">
                  <c:v>B_Eszik12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transpose!$AK$2:$AK$7653</c:f>
              <c:numCache>
                <c:formatCode>General</c:formatCode>
                <c:ptCount val="7652"/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C97-4DCC-8B83-C2E980DF1D8E}"/>
            </c:ext>
          </c:extLst>
        </c:ser>
        <c:ser>
          <c:idx val="12"/>
          <c:order val="12"/>
          <c:tx>
            <c:strRef>
              <c:f>transpose!$AM$1</c:f>
              <c:strCache>
                <c:ptCount val="1"/>
                <c:pt idx="0">
                  <c:v>B_Eszik13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transpose!$AM$2:$AM$7653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C97-4DCC-8B83-C2E980DF1D8E}"/>
            </c:ext>
          </c:extLst>
        </c:ser>
        <c:ser>
          <c:idx val="13"/>
          <c:order val="13"/>
          <c:tx>
            <c:strRef>
              <c:f>transpose!$AO$1</c:f>
              <c:strCache>
                <c:ptCount val="1"/>
                <c:pt idx="0">
                  <c:v>B_Eszik14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transpose!$AO$2:$AO$7653</c:f>
              <c:numCache>
                <c:formatCode>General</c:formatCode>
                <c:ptCount val="7652"/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C97-4DCC-8B83-C2E980DF1D8E}"/>
            </c:ext>
          </c:extLst>
        </c:ser>
        <c:ser>
          <c:idx val="14"/>
          <c:order val="14"/>
          <c:tx>
            <c:strRef>
              <c:f>transpose!$AQ$1</c:f>
              <c:strCache>
                <c:ptCount val="1"/>
                <c:pt idx="0">
                  <c:v>B_Eszik15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transpose!$AQ$2:$AQ$7653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C97-4DCC-8B83-C2E980DF1D8E}"/>
            </c:ext>
          </c:extLst>
        </c:ser>
        <c:ser>
          <c:idx val="15"/>
          <c:order val="15"/>
          <c:tx>
            <c:strRef>
              <c:f>transpose!$AS$1</c:f>
              <c:strCache>
                <c:ptCount val="1"/>
                <c:pt idx="0">
                  <c:v>B_Eszik16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transpose!$AS$2:$AS$7653</c:f>
              <c:numCache>
                <c:formatCode>General</c:formatCode>
                <c:ptCount val="7652"/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C97-4DCC-8B83-C2E980DF1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759"/>
        <c:crosses val="autoZero"/>
        <c:crossBetween val="midCat"/>
        <c:majorUnit val="1000"/>
      </c:valAx>
      <c:valAx>
        <c:axId val="813189759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34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457378731052321E-2"/>
          <c:y val="0.55341806391848092"/>
          <c:w val="0.91837902863448562"/>
          <c:h val="0.417954608615099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1_76_LE_MALE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transpose!$O$1</c:f>
              <c:strCache>
                <c:ptCount val="1"/>
                <c:pt idx="0">
                  <c:v>B_Eszik1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transpose!$O$2:$O$7653</c:f>
              <c:numCache>
                <c:formatCode>General</c:formatCode>
                <c:ptCount val="7652"/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7C-49D5-AEA0-3878CE16E1AE}"/>
            </c:ext>
          </c:extLst>
        </c:ser>
        <c:ser>
          <c:idx val="2"/>
          <c:order val="2"/>
          <c:tx>
            <c:strRef>
              <c:f>transpose!$S$1</c:f>
              <c:strCache>
                <c:ptCount val="1"/>
                <c:pt idx="0">
                  <c:v>B_Eszik3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transpose!$S$2:$S$7653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C-49D5-AEA0-3878CE16E1AE}"/>
            </c:ext>
          </c:extLst>
        </c:ser>
        <c:ser>
          <c:idx val="4"/>
          <c:order val="4"/>
          <c:tx>
            <c:strRef>
              <c:f>transpose!$W$1</c:f>
              <c:strCache>
                <c:ptCount val="1"/>
                <c:pt idx="0">
                  <c:v>B_Eszik5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transpose!$W$2:$W$7653</c:f>
              <c:numCache>
                <c:formatCode>General</c:formatCode>
                <c:ptCount val="7652"/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7C-49D5-AEA0-3878CE16E1AE}"/>
            </c:ext>
          </c:extLst>
        </c:ser>
        <c:ser>
          <c:idx val="6"/>
          <c:order val="6"/>
          <c:tx>
            <c:strRef>
              <c:f>transpose!$AA$1</c:f>
              <c:strCache>
                <c:ptCount val="1"/>
                <c:pt idx="0">
                  <c:v>B_Eszik7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transpose!$AA$2:$AA$7653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7C-49D5-AEA0-3878CE16E1AE}"/>
            </c:ext>
          </c:extLst>
        </c:ser>
        <c:ser>
          <c:idx val="8"/>
          <c:order val="8"/>
          <c:tx>
            <c:strRef>
              <c:f>transpose!$AE$1</c:f>
              <c:strCache>
                <c:ptCount val="1"/>
                <c:pt idx="0">
                  <c:v>B_Eszik9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transpose!$AE$2:$AE$7653</c:f>
              <c:numCache>
                <c:formatCode>General</c:formatCode>
                <c:ptCount val="7652"/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7C-49D5-AEA0-3878CE16E1AE}"/>
            </c:ext>
          </c:extLst>
        </c:ser>
        <c:ser>
          <c:idx val="10"/>
          <c:order val="10"/>
          <c:tx>
            <c:strRef>
              <c:f>transpose!$AI$1</c:f>
              <c:strCache>
                <c:ptCount val="1"/>
                <c:pt idx="0">
                  <c:v>B_Eszik11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transpose!$AI$2:$AI$7653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7C-49D5-AEA0-3878CE16E1AE}"/>
            </c:ext>
          </c:extLst>
        </c:ser>
        <c:ser>
          <c:idx val="12"/>
          <c:order val="12"/>
          <c:tx>
            <c:strRef>
              <c:f>transpose!$AM$1</c:f>
              <c:strCache>
                <c:ptCount val="1"/>
                <c:pt idx="0">
                  <c:v>B_Eszik13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transpose!$AM$2:$AM$7653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7C-49D5-AEA0-3878CE16E1AE}"/>
            </c:ext>
          </c:extLst>
        </c:ser>
        <c:ser>
          <c:idx val="14"/>
          <c:order val="14"/>
          <c:tx>
            <c:strRef>
              <c:f>transpose!$AQ$1</c:f>
              <c:strCache>
                <c:ptCount val="1"/>
                <c:pt idx="0">
                  <c:v>B_Eszik15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transpose!$AQ$2:$AQ$7653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7C-49D5-AEA0-3878CE16E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transpose!$Q$1</c15:sqref>
                        </c15:formulaRef>
                      </c:ext>
                    </c:extLst>
                    <c:strCache>
                      <c:ptCount val="1"/>
                      <c:pt idx="0">
                        <c:v>B_Eszik2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transpose!$Q$2:$Q$7653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3455">
                        <c:v>1</c:v>
                      </c:pt>
                      <c:pt idx="3456">
                        <c:v>1</c:v>
                      </c:pt>
                      <c:pt idx="3457">
                        <c:v>1</c:v>
                      </c:pt>
                      <c:pt idx="3458">
                        <c:v>1</c:v>
                      </c:pt>
                      <c:pt idx="3459">
                        <c:v>1</c:v>
                      </c:pt>
                      <c:pt idx="3460">
                        <c:v>1</c:v>
                      </c:pt>
                      <c:pt idx="3461">
                        <c:v>1</c:v>
                      </c:pt>
                      <c:pt idx="3462">
                        <c:v>1</c:v>
                      </c:pt>
                      <c:pt idx="3463">
                        <c:v>1</c:v>
                      </c:pt>
                      <c:pt idx="3464">
                        <c:v>1</c:v>
                      </c:pt>
                      <c:pt idx="3465">
                        <c:v>1</c:v>
                      </c:pt>
                      <c:pt idx="3466">
                        <c:v>1</c:v>
                      </c:pt>
                      <c:pt idx="3467">
                        <c:v>1</c:v>
                      </c:pt>
                      <c:pt idx="3468">
                        <c:v>1</c:v>
                      </c:pt>
                      <c:pt idx="3469">
                        <c:v>1</c:v>
                      </c:pt>
                      <c:pt idx="3470">
                        <c:v>1</c:v>
                      </c:pt>
                      <c:pt idx="3471">
                        <c:v>1</c:v>
                      </c:pt>
                      <c:pt idx="3472">
                        <c:v>1</c:v>
                      </c:pt>
                      <c:pt idx="3473">
                        <c:v>1</c:v>
                      </c:pt>
                      <c:pt idx="3474">
                        <c:v>1</c:v>
                      </c:pt>
                      <c:pt idx="3475">
                        <c:v>1</c:v>
                      </c:pt>
                      <c:pt idx="3476">
                        <c:v>1</c:v>
                      </c:pt>
                      <c:pt idx="3477">
                        <c:v>1</c:v>
                      </c:pt>
                      <c:pt idx="3478">
                        <c:v>1</c:v>
                      </c:pt>
                      <c:pt idx="3479">
                        <c:v>1</c:v>
                      </c:pt>
                      <c:pt idx="3480">
                        <c:v>1</c:v>
                      </c:pt>
                      <c:pt idx="3481">
                        <c:v>1</c:v>
                      </c:pt>
                      <c:pt idx="3482">
                        <c:v>1</c:v>
                      </c:pt>
                      <c:pt idx="3483">
                        <c:v>1</c:v>
                      </c:pt>
                      <c:pt idx="3484">
                        <c:v>1</c:v>
                      </c:pt>
                      <c:pt idx="3485">
                        <c:v>1</c:v>
                      </c:pt>
                      <c:pt idx="3486">
                        <c:v>1</c:v>
                      </c:pt>
                      <c:pt idx="3487">
                        <c:v>1</c:v>
                      </c:pt>
                      <c:pt idx="3488">
                        <c:v>1</c:v>
                      </c:pt>
                      <c:pt idx="3489">
                        <c:v>1</c:v>
                      </c:pt>
                      <c:pt idx="3490">
                        <c:v>1</c:v>
                      </c:pt>
                      <c:pt idx="3491">
                        <c:v>1</c:v>
                      </c:pt>
                      <c:pt idx="3492">
                        <c:v>1</c:v>
                      </c:pt>
                      <c:pt idx="3493">
                        <c:v>1</c:v>
                      </c:pt>
                      <c:pt idx="3494">
                        <c:v>1</c:v>
                      </c:pt>
                      <c:pt idx="3495">
                        <c:v>1</c:v>
                      </c:pt>
                      <c:pt idx="3496">
                        <c:v>1</c:v>
                      </c:pt>
                      <c:pt idx="3497">
                        <c:v>1</c:v>
                      </c:pt>
                      <c:pt idx="3498">
                        <c:v>1</c:v>
                      </c:pt>
                      <c:pt idx="3499">
                        <c:v>1</c:v>
                      </c:pt>
                      <c:pt idx="3500">
                        <c:v>1</c:v>
                      </c:pt>
                      <c:pt idx="3501">
                        <c:v>1</c:v>
                      </c:pt>
                      <c:pt idx="3502">
                        <c:v>1</c:v>
                      </c:pt>
                      <c:pt idx="3503">
                        <c:v>1</c:v>
                      </c:pt>
                      <c:pt idx="3504">
                        <c:v>1</c:v>
                      </c:pt>
                      <c:pt idx="3505">
                        <c:v>1</c:v>
                      </c:pt>
                      <c:pt idx="3506">
                        <c:v>1</c:v>
                      </c:pt>
                      <c:pt idx="3507">
                        <c:v>1</c:v>
                      </c:pt>
                      <c:pt idx="3508">
                        <c:v>1</c:v>
                      </c:pt>
                      <c:pt idx="3509">
                        <c:v>1</c:v>
                      </c:pt>
                      <c:pt idx="3510">
                        <c:v>1</c:v>
                      </c:pt>
                      <c:pt idx="3511">
                        <c:v>1</c:v>
                      </c:pt>
                      <c:pt idx="3512">
                        <c:v>1</c:v>
                      </c:pt>
                      <c:pt idx="3513">
                        <c:v>1</c:v>
                      </c:pt>
                      <c:pt idx="3514">
                        <c:v>1</c:v>
                      </c:pt>
                      <c:pt idx="3515">
                        <c:v>1</c:v>
                      </c:pt>
                      <c:pt idx="3516">
                        <c:v>1</c:v>
                      </c:pt>
                      <c:pt idx="3517">
                        <c:v>1</c:v>
                      </c:pt>
                      <c:pt idx="3518">
                        <c:v>1</c:v>
                      </c:pt>
                      <c:pt idx="3519">
                        <c:v>1</c:v>
                      </c:pt>
                      <c:pt idx="3520">
                        <c:v>1</c:v>
                      </c:pt>
                      <c:pt idx="3521">
                        <c:v>1</c:v>
                      </c:pt>
                      <c:pt idx="3522">
                        <c:v>1</c:v>
                      </c:pt>
                      <c:pt idx="3523">
                        <c:v>1</c:v>
                      </c:pt>
                      <c:pt idx="3524">
                        <c:v>1</c:v>
                      </c:pt>
                      <c:pt idx="3525">
                        <c:v>1</c:v>
                      </c:pt>
                      <c:pt idx="3526">
                        <c:v>1</c:v>
                      </c:pt>
                      <c:pt idx="3527">
                        <c:v>1</c:v>
                      </c:pt>
                      <c:pt idx="3528">
                        <c:v>1</c:v>
                      </c:pt>
                      <c:pt idx="3529">
                        <c:v>1</c:v>
                      </c:pt>
                      <c:pt idx="3530">
                        <c:v>1</c:v>
                      </c:pt>
                      <c:pt idx="3531">
                        <c:v>1</c:v>
                      </c:pt>
                      <c:pt idx="3532">
                        <c:v>1</c:v>
                      </c:pt>
                      <c:pt idx="3533">
                        <c:v>1</c:v>
                      </c:pt>
                      <c:pt idx="3534">
                        <c:v>1</c:v>
                      </c:pt>
                      <c:pt idx="3535">
                        <c:v>1</c:v>
                      </c:pt>
                      <c:pt idx="3536">
                        <c:v>1</c:v>
                      </c:pt>
                      <c:pt idx="3537">
                        <c:v>1</c:v>
                      </c:pt>
                      <c:pt idx="3538">
                        <c:v>1</c:v>
                      </c:pt>
                      <c:pt idx="3539">
                        <c:v>1</c:v>
                      </c:pt>
                      <c:pt idx="3540">
                        <c:v>1</c:v>
                      </c:pt>
                      <c:pt idx="3541">
                        <c:v>1</c:v>
                      </c:pt>
                      <c:pt idx="3542">
                        <c:v>1</c:v>
                      </c:pt>
                      <c:pt idx="3543">
                        <c:v>1</c:v>
                      </c:pt>
                      <c:pt idx="3544">
                        <c:v>1</c:v>
                      </c:pt>
                      <c:pt idx="3545">
                        <c:v>1</c:v>
                      </c:pt>
                      <c:pt idx="3546">
                        <c:v>1</c:v>
                      </c:pt>
                      <c:pt idx="3547">
                        <c:v>1</c:v>
                      </c:pt>
                      <c:pt idx="3548">
                        <c:v>1</c:v>
                      </c:pt>
                      <c:pt idx="3549">
                        <c:v>1</c:v>
                      </c:pt>
                      <c:pt idx="3550">
                        <c:v>1</c:v>
                      </c:pt>
                      <c:pt idx="3551">
                        <c:v>1</c:v>
                      </c:pt>
                      <c:pt idx="3552">
                        <c:v>1</c:v>
                      </c:pt>
                      <c:pt idx="3553">
                        <c:v>1</c:v>
                      </c:pt>
                      <c:pt idx="3554">
                        <c:v>1</c:v>
                      </c:pt>
                      <c:pt idx="3555">
                        <c:v>1</c:v>
                      </c:pt>
                      <c:pt idx="3556">
                        <c:v>1</c:v>
                      </c:pt>
                      <c:pt idx="3557">
                        <c:v>1</c:v>
                      </c:pt>
                      <c:pt idx="3558">
                        <c:v>1</c:v>
                      </c:pt>
                      <c:pt idx="3559">
                        <c:v>1</c:v>
                      </c:pt>
                      <c:pt idx="3560">
                        <c:v>1</c:v>
                      </c:pt>
                      <c:pt idx="3561">
                        <c:v>1</c:v>
                      </c:pt>
                      <c:pt idx="3562">
                        <c:v>1</c:v>
                      </c:pt>
                      <c:pt idx="3563">
                        <c:v>1</c:v>
                      </c:pt>
                      <c:pt idx="3564">
                        <c:v>1</c:v>
                      </c:pt>
                      <c:pt idx="3565">
                        <c:v>1</c:v>
                      </c:pt>
                      <c:pt idx="3566">
                        <c:v>1</c:v>
                      </c:pt>
                      <c:pt idx="3567">
                        <c:v>1</c:v>
                      </c:pt>
                      <c:pt idx="3568">
                        <c:v>1</c:v>
                      </c:pt>
                      <c:pt idx="3569">
                        <c:v>1</c:v>
                      </c:pt>
                      <c:pt idx="3570">
                        <c:v>1</c:v>
                      </c:pt>
                      <c:pt idx="3571">
                        <c:v>1</c:v>
                      </c:pt>
                      <c:pt idx="3572">
                        <c:v>1</c:v>
                      </c:pt>
                      <c:pt idx="3573">
                        <c:v>1</c:v>
                      </c:pt>
                      <c:pt idx="3574">
                        <c:v>1</c:v>
                      </c:pt>
                      <c:pt idx="3575">
                        <c:v>1</c:v>
                      </c:pt>
                      <c:pt idx="3576">
                        <c:v>1</c:v>
                      </c:pt>
                      <c:pt idx="3577">
                        <c:v>1</c:v>
                      </c:pt>
                      <c:pt idx="3578">
                        <c:v>1</c:v>
                      </c:pt>
                      <c:pt idx="3579">
                        <c:v>1</c:v>
                      </c:pt>
                      <c:pt idx="3580">
                        <c:v>1</c:v>
                      </c:pt>
                      <c:pt idx="3581">
                        <c:v>1</c:v>
                      </c:pt>
                      <c:pt idx="3582">
                        <c:v>1</c:v>
                      </c:pt>
                      <c:pt idx="3583">
                        <c:v>1</c:v>
                      </c:pt>
                      <c:pt idx="3584">
                        <c:v>1</c:v>
                      </c:pt>
                      <c:pt idx="3585">
                        <c:v>1</c:v>
                      </c:pt>
                      <c:pt idx="3586">
                        <c:v>1</c:v>
                      </c:pt>
                      <c:pt idx="3587">
                        <c:v>1</c:v>
                      </c:pt>
                      <c:pt idx="3588">
                        <c:v>1</c:v>
                      </c:pt>
                      <c:pt idx="3589">
                        <c:v>1</c:v>
                      </c:pt>
                      <c:pt idx="3590">
                        <c:v>1</c:v>
                      </c:pt>
                      <c:pt idx="3591">
                        <c:v>1</c:v>
                      </c:pt>
                      <c:pt idx="3592">
                        <c:v>1</c:v>
                      </c:pt>
                      <c:pt idx="3593">
                        <c:v>1</c:v>
                      </c:pt>
                      <c:pt idx="3594">
                        <c:v>1</c:v>
                      </c:pt>
                      <c:pt idx="3595">
                        <c:v>1</c:v>
                      </c:pt>
                      <c:pt idx="3596">
                        <c:v>1</c:v>
                      </c:pt>
                      <c:pt idx="3597">
                        <c:v>1</c:v>
                      </c:pt>
                      <c:pt idx="3598">
                        <c:v>1</c:v>
                      </c:pt>
                      <c:pt idx="3599">
                        <c:v>1</c:v>
                      </c:pt>
                      <c:pt idx="3600">
                        <c:v>1</c:v>
                      </c:pt>
                      <c:pt idx="3601">
                        <c:v>1</c:v>
                      </c:pt>
                      <c:pt idx="3602">
                        <c:v>1</c:v>
                      </c:pt>
                      <c:pt idx="3603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777C-49D5-AEA0-3878CE16E1A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transpose!$U$1</c15:sqref>
                        </c15:formulaRef>
                      </c:ext>
                    </c:extLst>
                    <c:strCache>
                      <c:ptCount val="1"/>
                      <c:pt idx="0">
                        <c:v>B_Eszik4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transpose!$U$2:$U$7653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5285">
                        <c:v>1</c:v>
                      </c:pt>
                      <c:pt idx="5286">
                        <c:v>1</c:v>
                      </c:pt>
                      <c:pt idx="5287">
                        <c:v>1</c:v>
                      </c:pt>
                      <c:pt idx="5288">
                        <c:v>1</c:v>
                      </c:pt>
                      <c:pt idx="5289">
                        <c:v>1</c:v>
                      </c:pt>
                      <c:pt idx="5290">
                        <c:v>1</c:v>
                      </c:pt>
                      <c:pt idx="5291">
                        <c:v>1</c:v>
                      </c:pt>
                      <c:pt idx="5292">
                        <c:v>1</c:v>
                      </c:pt>
                      <c:pt idx="5293">
                        <c:v>1</c:v>
                      </c:pt>
                      <c:pt idx="5294">
                        <c:v>1</c:v>
                      </c:pt>
                      <c:pt idx="5295">
                        <c:v>1</c:v>
                      </c:pt>
                      <c:pt idx="5296">
                        <c:v>1</c:v>
                      </c:pt>
                      <c:pt idx="5297">
                        <c:v>1</c:v>
                      </c:pt>
                      <c:pt idx="5298">
                        <c:v>1</c:v>
                      </c:pt>
                      <c:pt idx="5299">
                        <c:v>1</c:v>
                      </c:pt>
                      <c:pt idx="5300">
                        <c:v>1</c:v>
                      </c:pt>
                      <c:pt idx="5301">
                        <c:v>1</c:v>
                      </c:pt>
                      <c:pt idx="5302">
                        <c:v>1</c:v>
                      </c:pt>
                      <c:pt idx="5303">
                        <c:v>1</c:v>
                      </c:pt>
                      <c:pt idx="5304">
                        <c:v>1</c:v>
                      </c:pt>
                      <c:pt idx="5305">
                        <c:v>1</c:v>
                      </c:pt>
                      <c:pt idx="5306">
                        <c:v>1</c:v>
                      </c:pt>
                      <c:pt idx="5307">
                        <c:v>1</c:v>
                      </c:pt>
                      <c:pt idx="5308">
                        <c:v>1</c:v>
                      </c:pt>
                      <c:pt idx="5309">
                        <c:v>1</c:v>
                      </c:pt>
                      <c:pt idx="5310">
                        <c:v>1</c:v>
                      </c:pt>
                      <c:pt idx="5311">
                        <c:v>1</c:v>
                      </c:pt>
                      <c:pt idx="5312">
                        <c:v>1</c:v>
                      </c:pt>
                      <c:pt idx="5313">
                        <c:v>1</c:v>
                      </c:pt>
                      <c:pt idx="5314">
                        <c:v>1</c:v>
                      </c:pt>
                      <c:pt idx="5315">
                        <c:v>1</c:v>
                      </c:pt>
                      <c:pt idx="5316">
                        <c:v>1</c:v>
                      </c:pt>
                      <c:pt idx="5317">
                        <c:v>1</c:v>
                      </c:pt>
                      <c:pt idx="5318">
                        <c:v>1</c:v>
                      </c:pt>
                      <c:pt idx="5319">
                        <c:v>1</c:v>
                      </c:pt>
                      <c:pt idx="5320">
                        <c:v>1</c:v>
                      </c:pt>
                      <c:pt idx="5321">
                        <c:v>1</c:v>
                      </c:pt>
                      <c:pt idx="5322">
                        <c:v>1</c:v>
                      </c:pt>
                      <c:pt idx="5323">
                        <c:v>1</c:v>
                      </c:pt>
                      <c:pt idx="5324">
                        <c:v>1</c:v>
                      </c:pt>
                      <c:pt idx="5325">
                        <c:v>1</c:v>
                      </c:pt>
                      <c:pt idx="5326">
                        <c:v>1</c:v>
                      </c:pt>
                      <c:pt idx="5327">
                        <c:v>1</c:v>
                      </c:pt>
                      <c:pt idx="5328">
                        <c:v>1</c:v>
                      </c:pt>
                      <c:pt idx="5329">
                        <c:v>1</c:v>
                      </c:pt>
                      <c:pt idx="5330">
                        <c:v>1</c:v>
                      </c:pt>
                      <c:pt idx="5331">
                        <c:v>1</c:v>
                      </c:pt>
                      <c:pt idx="5332">
                        <c:v>1</c:v>
                      </c:pt>
                      <c:pt idx="5333">
                        <c:v>1</c:v>
                      </c:pt>
                      <c:pt idx="5334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77C-49D5-AEA0-3878CE16E1A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transpose!$Y$1</c15:sqref>
                        </c15:formulaRef>
                      </c:ext>
                    </c:extLst>
                    <c:strCache>
                      <c:ptCount val="1"/>
                      <c:pt idx="0">
                        <c:v>B_Eszik6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transpose!$Y$2:$Y$7653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1901">
                        <c:v>1</c:v>
                      </c:pt>
                      <c:pt idx="1902">
                        <c:v>1</c:v>
                      </c:pt>
                      <c:pt idx="1903">
                        <c:v>1</c:v>
                      </c:pt>
                      <c:pt idx="1904">
                        <c:v>1</c:v>
                      </c:pt>
                      <c:pt idx="1905">
                        <c:v>1</c:v>
                      </c:pt>
                      <c:pt idx="1906">
                        <c:v>1</c:v>
                      </c:pt>
                      <c:pt idx="1907">
                        <c:v>1</c:v>
                      </c:pt>
                      <c:pt idx="1908">
                        <c:v>1</c:v>
                      </c:pt>
                      <c:pt idx="1909">
                        <c:v>1</c:v>
                      </c:pt>
                      <c:pt idx="1910">
                        <c:v>1</c:v>
                      </c:pt>
                      <c:pt idx="1911">
                        <c:v>1</c:v>
                      </c:pt>
                      <c:pt idx="1912">
                        <c:v>1</c:v>
                      </c:pt>
                      <c:pt idx="1913">
                        <c:v>1</c:v>
                      </c:pt>
                      <c:pt idx="1914">
                        <c:v>1</c:v>
                      </c:pt>
                      <c:pt idx="1915">
                        <c:v>1</c:v>
                      </c:pt>
                      <c:pt idx="1916">
                        <c:v>1</c:v>
                      </c:pt>
                      <c:pt idx="1917">
                        <c:v>1</c:v>
                      </c:pt>
                      <c:pt idx="1918">
                        <c:v>1</c:v>
                      </c:pt>
                      <c:pt idx="1919">
                        <c:v>1</c:v>
                      </c:pt>
                      <c:pt idx="1920">
                        <c:v>1</c:v>
                      </c:pt>
                      <c:pt idx="1921">
                        <c:v>1</c:v>
                      </c:pt>
                      <c:pt idx="1922">
                        <c:v>1</c:v>
                      </c:pt>
                      <c:pt idx="1923">
                        <c:v>1</c:v>
                      </c:pt>
                      <c:pt idx="1924">
                        <c:v>1</c:v>
                      </c:pt>
                      <c:pt idx="1925">
                        <c:v>1</c:v>
                      </c:pt>
                      <c:pt idx="1926">
                        <c:v>1</c:v>
                      </c:pt>
                      <c:pt idx="1927">
                        <c:v>1</c:v>
                      </c:pt>
                      <c:pt idx="1928">
                        <c:v>1</c:v>
                      </c:pt>
                      <c:pt idx="1929">
                        <c:v>1</c:v>
                      </c:pt>
                      <c:pt idx="193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77C-49D5-AEA0-3878CE16E1A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transpose!$AC$1</c15:sqref>
                        </c15:formulaRef>
                      </c:ext>
                    </c:extLst>
                    <c:strCache>
                      <c:ptCount val="1"/>
                      <c:pt idx="0">
                        <c:v>B_Eszik8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transpose!$AC$2:$AC$7653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5605">
                        <c:v>1</c:v>
                      </c:pt>
                      <c:pt idx="5606">
                        <c:v>1</c:v>
                      </c:pt>
                      <c:pt idx="5607">
                        <c:v>1</c:v>
                      </c:pt>
                      <c:pt idx="5608">
                        <c:v>1</c:v>
                      </c:pt>
                      <c:pt idx="5609">
                        <c:v>1</c:v>
                      </c:pt>
                      <c:pt idx="5610">
                        <c:v>1</c:v>
                      </c:pt>
                      <c:pt idx="5611">
                        <c:v>1</c:v>
                      </c:pt>
                      <c:pt idx="5612">
                        <c:v>1</c:v>
                      </c:pt>
                      <c:pt idx="5613">
                        <c:v>1</c:v>
                      </c:pt>
                      <c:pt idx="5614">
                        <c:v>1</c:v>
                      </c:pt>
                      <c:pt idx="5615">
                        <c:v>1</c:v>
                      </c:pt>
                      <c:pt idx="5616">
                        <c:v>1</c:v>
                      </c:pt>
                      <c:pt idx="5617">
                        <c:v>1</c:v>
                      </c:pt>
                      <c:pt idx="5618">
                        <c:v>1</c:v>
                      </c:pt>
                      <c:pt idx="5619">
                        <c:v>1</c:v>
                      </c:pt>
                      <c:pt idx="5620">
                        <c:v>1</c:v>
                      </c:pt>
                      <c:pt idx="5621">
                        <c:v>1</c:v>
                      </c:pt>
                      <c:pt idx="5622">
                        <c:v>1</c:v>
                      </c:pt>
                      <c:pt idx="5623">
                        <c:v>1</c:v>
                      </c:pt>
                      <c:pt idx="5624">
                        <c:v>1</c:v>
                      </c:pt>
                      <c:pt idx="5625">
                        <c:v>1</c:v>
                      </c:pt>
                      <c:pt idx="5626">
                        <c:v>1</c:v>
                      </c:pt>
                      <c:pt idx="5627">
                        <c:v>1</c:v>
                      </c:pt>
                      <c:pt idx="5628">
                        <c:v>1</c:v>
                      </c:pt>
                      <c:pt idx="5629">
                        <c:v>1</c:v>
                      </c:pt>
                      <c:pt idx="5630">
                        <c:v>1</c:v>
                      </c:pt>
                      <c:pt idx="5631">
                        <c:v>1</c:v>
                      </c:pt>
                      <c:pt idx="5632">
                        <c:v>1</c:v>
                      </c:pt>
                      <c:pt idx="5633">
                        <c:v>1</c:v>
                      </c:pt>
                      <c:pt idx="5634">
                        <c:v>1</c:v>
                      </c:pt>
                      <c:pt idx="5635">
                        <c:v>1</c:v>
                      </c:pt>
                      <c:pt idx="5636">
                        <c:v>1</c:v>
                      </c:pt>
                      <c:pt idx="5637">
                        <c:v>1</c:v>
                      </c:pt>
                      <c:pt idx="5638">
                        <c:v>1</c:v>
                      </c:pt>
                      <c:pt idx="5639">
                        <c:v>1</c:v>
                      </c:pt>
                      <c:pt idx="5640">
                        <c:v>1</c:v>
                      </c:pt>
                      <c:pt idx="5641">
                        <c:v>1</c:v>
                      </c:pt>
                      <c:pt idx="5642">
                        <c:v>1</c:v>
                      </c:pt>
                      <c:pt idx="5643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77C-49D5-AEA0-3878CE16E1A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transpose!$AG$1</c15:sqref>
                        </c15:formulaRef>
                      </c:ext>
                    </c:extLst>
                    <c:strCache>
                      <c:ptCount val="1"/>
                      <c:pt idx="0">
                        <c:v>B_Eszik10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transpose!$AG$2:$AG$7653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5804">
                        <c:v>1</c:v>
                      </c:pt>
                      <c:pt idx="5805">
                        <c:v>1</c:v>
                      </c:pt>
                      <c:pt idx="5806">
                        <c:v>1</c:v>
                      </c:pt>
                      <c:pt idx="5807">
                        <c:v>1</c:v>
                      </c:pt>
                      <c:pt idx="5808">
                        <c:v>1</c:v>
                      </c:pt>
                      <c:pt idx="5809">
                        <c:v>1</c:v>
                      </c:pt>
                      <c:pt idx="5810">
                        <c:v>1</c:v>
                      </c:pt>
                      <c:pt idx="5811">
                        <c:v>1</c:v>
                      </c:pt>
                      <c:pt idx="5812">
                        <c:v>1</c:v>
                      </c:pt>
                      <c:pt idx="5813">
                        <c:v>1</c:v>
                      </c:pt>
                      <c:pt idx="5814">
                        <c:v>1</c:v>
                      </c:pt>
                      <c:pt idx="5815">
                        <c:v>1</c:v>
                      </c:pt>
                      <c:pt idx="5816">
                        <c:v>1</c:v>
                      </c:pt>
                      <c:pt idx="5817">
                        <c:v>1</c:v>
                      </c:pt>
                      <c:pt idx="5818">
                        <c:v>1</c:v>
                      </c:pt>
                      <c:pt idx="5819">
                        <c:v>1</c:v>
                      </c:pt>
                      <c:pt idx="5820">
                        <c:v>1</c:v>
                      </c:pt>
                      <c:pt idx="5821">
                        <c:v>1</c:v>
                      </c:pt>
                      <c:pt idx="5822">
                        <c:v>1</c:v>
                      </c:pt>
                      <c:pt idx="5823">
                        <c:v>1</c:v>
                      </c:pt>
                      <c:pt idx="5824">
                        <c:v>1</c:v>
                      </c:pt>
                      <c:pt idx="5825">
                        <c:v>1</c:v>
                      </c:pt>
                      <c:pt idx="5826">
                        <c:v>1</c:v>
                      </c:pt>
                      <c:pt idx="5827">
                        <c:v>1</c:v>
                      </c:pt>
                      <c:pt idx="5828">
                        <c:v>1</c:v>
                      </c:pt>
                      <c:pt idx="5829">
                        <c:v>1</c:v>
                      </c:pt>
                      <c:pt idx="5830">
                        <c:v>1</c:v>
                      </c:pt>
                      <c:pt idx="5831">
                        <c:v>1</c:v>
                      </c:pt>
                      <c:pt idx="5832">
                        <c:v>1</c:v>
                      </c:pt>
                      <c:pt idx="5833">
                        <c:v>1</c:v>
                      </c:pt>
                      <c:pt idx="5834">
                        <c:v>1</c:v>
                      </c:pt>
                      <c:pt idx="5835">
                        <c:v>1</c:v>
                      </c:pt>
                      <c:pt idx="5836">
                        <c:v>1</c:v>
                      </c:pt>
                      <c:pt idx="5837">
                        <c:v>1</c:v>
                      </c:pt>
                      <c:pt idx="5838">
                        <c:v>1</c:v>
                      </c:pt>
                      <c:pt idx="5839">
                        <c:v>1</c:v>
                      </c:pt>
                      <c:pt idx="5840">
                        <c:v>1</c:v>
                      </c:pt>
                      <c:pt idx="5841">
                        <c:v>1</c:v>
                      </c:pt>
                      <c:pt idx="5842">
                        <c:v>1</c:v>
                      </c:pt>
                      <c:pt idx="5843">
                        <c:v>1</c:v>
                      </c:pt>
                      <c:pt idx="5844">
                        <c:v>1</c:v>
                      </c:pt>
                      <c:pt idx="5845">
                        <c:v>1</c:v>
                      </c:pt>
                      <c:pt idx="5846">
                        <c:v>1</c:v>
                      </c:pt>
                      <c:pt idx="5847">
                        <c:v>1</c:v>
                      </c:pt>
                      <c:pt idx="5848">
                        <c:v>1</c:v>
                      </c:pt>
                      <c:pt idx="5849">
                        <c:v>1</c:v>
                      </c:pt>
                      <c:pt idx="5850">
                        <c:v>1</c:v>
                      </c:pt>
                      <c:pt idx="5851">
                        <c:v>1</c:v>
                      </c:pt>
                      <c:pt idx="5852">
                        <c:v>1</c:v>
                      </c:pt>
                      <c:pt idx="5853">
                        <c:v>1</c:v>
                      </c:pt>
                      <c:pt idx="5854">
                        <c:v>1</c:v>
                      </c:pt>
                      <c:pt idx="5855">
                        <c:v>1</c:v>
                      </c:pt>
                      <c:pt idx="5856">
                        <c:v>1</c:v>
                      </c:pt>
                      <c:pt idx="5857">
                        <c:v>1</c:v>
                      </c:pt>
                      <c:pt idx="5858">
                        <c:v>1</c:v>
                      </c:pt>
                      <c:pt idx="5859">
                        <c:v>1</c:v>
                      </c:pt>
                      <c:pt idx="5860">
                        <c:v>1</c:v>
                      </c:pt>
                      <c:pt idx="5861">
                        <c:v>1</c:v>
                      </c:pt>
                      <c:pt idx="5862">
                        <c:v>1</c:v>
                      </c:pt>
                      <c:pt idx="5863">
                        <c:v>1</c:v>
                      </c:pt>
                      <c:pt idx="5864">
                        <c:v>1</c:v>
                      </c:pt>
                      <c:pt idx="5865">
                        <c:v>1</c:v>
                      </c:pt>
                      <c:pt idx="5866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7C-49D5-AEA0-3878CE16E1AE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transpose!$AK$1</c15:sqref>
                        </c15:formulaRef>
                      </c:ext>
                    </c:extLst>
                    <c:strCache>
                      <c:ptCount val="1"/>
                      <c:pt idx="0">
                        <c:v>B_Eszik12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transpose!$AK$2:$AK$7653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6541">
                        <c:v>1</c:v>
                      </c:pt>
                      <c:pt idx="6542">
                        <c:v>1</c:v>
                      </c:pt>
                      <c:pt idx="6543">
                        <c:v>1</c:v>
                      </c:pt>
                      <c:pt idx="6544">
                        <c:v>1</c:v>
                      </c:pt>
                      <c:pt idx="6545">
                        <c:v>1</c:v>
                      </c:pt>
                      <c:pt idx="6546">
                        <c:v>1</c:v>
                      </c:pt>
                      <c:pt idx="6547">
                        <c:v>1</c:v>
                      </c:pt>
                      <c:pt idx="6548">
                        <c:v>1</c:v>
                      </c:pt>
                      <c:pt idx="6549">
                        <c:v>1</c:v>
                      </c:pt>
                      <c:pt idx="6550">
                        <c:v>1</c:v>
                      </c:pt>
                      <c:pt idx="6551">
                        <c:v>1</c:v>
                      </c:pt>
                      <c:pt idx="6552">
                        <c:v>1</c:v>
                      </c:pt>
                      <c:pt idx="6553">
                        <c:v>1</c:v>
                      </c:pt>
                      <c:pt idx="6554">
                        <c:v>1</c:v>
                      </c:pt>
                      <c:pt idx="6555">
                        <c:v>1</c:v>
                      </c:pt>
                      <c:pt idx="6556">
                        <c:v>1</c:v>
                      </c:pt>
                      <c:pt idx="6557">
                        <c:v>1</c:v>
                      </c:pt>
                      <c:pt idx="6558">
                        <c:v>1</c:v>
                      </c:pt>
                      <c:pt idx="6559">
                        <c:v>1</c:v>
                      </c:pt>
                      <c:pt idx="6560">
                        <c:v>1</c:v>
                      </c:pt>
                      <c:pt idx="6561">
                        <c:v>1</c:v>
                      </c:pt>
                      <c:pt idx="6562">
                        <c:v>1</c:v>
                      </c:pt>
                      <c:pt idx="6563">
                        <c:v>1</c:v>
                      </c:pt>
                      <c:pt idx="6564">
                        <c:v>1</c:v>
                      </c:pt>
                      <c:pt idx="6565">
                        <c:v>1</c:v>
                      </c:pt>
                      <c:pt idx="6566">
                        <c:v>1</c:v>
                      </c:pt>
                      <c:pt idx="6567">
                        <c:v>1</c:v>
                      </c:pt>
                      <c:pt idx="6568">
                        <c:v>1</c:v>
                      </c:pt>
                      <c:pt idx="6569">
                        <c:v>1</c:v>
                      </c:pt>
                      <c:pt idx="6570">
                        <c:v>1</c:v>
                      </c:pt>
                      <c:pt idx="6571">
                        <c:v>1</c:v>
                      </c:pt>
                      <c:pt idx="6572">
                        <c:v>1</c:v>
                      </c:pt>
                      <c:pt idx="6573">
                        <c:v>1</c:v>
                      </c:pt>
                      <c:pt idx="6574">
                        <c:v>1</c:v>
                      </c:pt>
                      <c:pt idx="6575">
                        <c:v>1</c:v>
                      </c:pt>
                      <c:pt idx="6576">
                        <c:v>1</c:v>
                      </c:pt>
                      <c:pt idx="6577">
                        <c:v>1</c:v>
                      </c:pt>
                      <c:pt idx="6578">
                        <c:v>1</c:v>
                      </c:pt>
                      <c:pt idx="6579">
                        <c:v>1</c:v>
                      </c:pt>
                      <c:pt idx="6580">
                        <c:v>1</c:v>
                      </c:pt>
                      <c:pt idx="6581">
                        <c:v>1</c:v>
                      </c:pt>
                      <c:pt idx="6582">
                        <c:v>1</c:v>
                      </c:pt>
                      <c:pt idx="6583">
                        <c:v>1</c:v>
                      </c:pt>
                      <c:pt idx="6584">
                        <c:v>1</c:v>
                      </c:pt>
                      <c:pt idx="6585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77C-49D5-AEA0-3878CE16E1AE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transpose!$AO$1</c15:sqref>
                        </c15:formulaRef>
                      </c:ext>
                    </c:extLst>
                    <c:strCache>
                      <c:ptCount val="1"/>
                      <c:pt idx="0">
                        <c:v>B_Eszik14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transpose!$AO$2:$AO$7653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6410">
                        <c:v>1</c:v>
                      </c:pt>
                      <c:pt idx="6411">
                        <c:v>1</c:v>
                      </c:pt>
                      <c:pt idx="6412">
                        <c:v>1</c:v>
                      </c:pt>
                      <c:pt idx="6413">
                        <c:v>1</c:v>
                      </c:pt>
                      <c:pt idx="6414">
                        <c:v>1</c:v>
                      </c:pt>
                      <c:pt idx="6415">
                        <c:v>1</c:v>
                      </c:pt>
                      <c:pt idx="6416">
                        <c:v>1</c:v>
                      </c:pt>
                      <c:pt idx="6417">
                        <c:v>1</c:v>
                      </c:pt>
                      <c:pt idx="6418">
                        <c:v>1</c:v>
                      </c:pt>
                      <c:pt idx="6419">
                        <c:v>1</c:v>
                      </c:pt>
                      <c:pt idx="6420">
                        <c:v>1</c:v>
                      </c:pt>
                      <c:pt idx="6421">
                        <c:v>1</c:v>
                      </c:pt>
                      <c:pt idx="6422">
                        <c:v>1</c:v>
                      </c:pt>
                      <c:pt idx="6423">
                        <c:v>1</c:v>
                      </c:pt>
                      <c:pt idx="6424">
                        <c:v>1</c:v>
                      </c:pt>
                      <c:pt idx="6425">
                        <c:v>1</c:v>
                      </c:pt>
                      <c:pt idx="6426">
                        <c:v>1</c:v>
                      </c:pt>
                      <c:pt idx="6427">
                        <c:v>1</c:v>
                      </c:pt>
                      <c:pt idx="6428">
                        <c:v>1</c:v>
                      </c:pt>
                      <c:pt idx="6429">
                        <c:v>1</c:v>
                      </c:pt>
                      <c:pt idx="6430">
                        <c:v>1</c:v>
                      </c:pt>
                      <c:pt idx="6431">
                        <c:v>1</c:v>
                      </c:pt>
                      <c:pt idx="6432">
                        <c:v>1</c:v>
                      </c:pt>
                      <c:pt idx="6433">
                        <c:v>1</c:v>
                      </c:pt>
                      <c:pt idx="6434">
                        <c:v>1</c:v>
                      </c:pt>
                      <c:pt idx="6435">
                        <c:v>1</c:v>
                      </c:pt>
                      <c:pt idx="6436">
                        <c:v>1</c:v>
                      </c:pt>
                      <c:pt idx="6437">
                        <c:v>1</c:v>
                      </c:pt>
                      <c:pt idx="6438">
                        <c:v>1</c:v>
                      </c:pt>
                      <c:pt idx="6439">
                        <c:v>1</c:v>
                      </c:pt>
                      <c:pt idx="6440">
                        <c:v>1</c:v>
                      </c:pt>
                      <c:pt idx="6441">
                        <c:v>1</c:v>
                      </c:pt>
                      <c:pt idx="6442">
                        <c:v>1</c:v>
                      </c:pt>
                      <c:pt idx="6443">
                        <c:v>1</c:v>
                      </c:pt>
                      <c:pt idx="6444">
                        <c:v>1</c:v>
                      </c:pt>
                      <c:pt idx="6445">
                        <c:v>1</c:v>
                      </c:pt>
                      <c:pt idx="6446">
                        <c:v>1</c:v>
                      </c:pt>
                      <c:pt idx="6447">
                        <c:v>1</c:v>
                      </c:pt>
                      <c:pt idx="6448">
                        <c:v>1</c:v>
                      </c:pt>
                      <c:pt idx="6449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77C-49D5-AEA0-3878CE16E1AE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transpose!$AS$1</c15:sqref>
                        </c15:formulaRef>
                      </c:ext>
                    </c:extLst>
                    <c:strCache>
                      <c:ptCount val="1"/>
                      <c:pt idx="0">
                        <c:v>B_Eszik16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transpose!$AS$2:$AS$7653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2359">
                        <c:v>1</c:v>
                      </c:pt>
                      <c:pt idx="2360">
                        <c:v>1</c:v>
                      </c:pt>
                      <c:pt idx="2361">
                        <c:v>1</c:v>
                      </c:pt>
                      <c:pt idx="2362">
                        <c:v>1</c:v>
                      </c:pt>
                      <c:pt idx="2363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77C-49D5-AEA0-3878CE16E1AE}"/>
                  </c:ext>
                </c:extLst>
              </c15:ser>
            </c15:filteredScatterSeries>
          </c:ext>
        </c:extLst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759"/>
        <c:crosses val="autoZero"/>
        <c:crossBetween val="midCat"/>
        <c:majorUnit val="1000"/>
      </c:valAx>
      <c:valAx>
        <c:axId val="813189759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34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0400741549635574E-2"/>
          <c:y val="0.68393717511486485"/>
          <c:w val="0.9329524003013604"/>
          <c:h val="0.316062824885135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1_76_LE_MALE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transpose!$Q$1</c:f>
              <c:strCache>
                <c:ptCount val="1"/>
                <c:pt idx="0">
                  <c:v>B_Eszik2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transpose!$Q$2:$Q$7653</c:f>
              <c:numCache>
                <c:formatCode>General</c:formatCode>
                <c:ptCount val="7652"/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6A-4FF3-AB4E-17FDF76A0ADB}"/>
            </c:ext>
          </c:extLst>
        </c:ser>
        <c:ser>
          <c:idx val="3"/>
          <c:order val="3"/>
          <c:tx>
            <c:strRef>
              <c:f>transpose!$U$1</c:f>
              <c:strCache>
                <c:ptCount val="1"/>
                <c:pt idx="0">
                  <c:v>B_Eszik4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transpose!$U$2:$U$7653</c:f>
              <c:numCache>
                <c:formatCode>General</c:formatCode>
                <c:ptCount val="7652"/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6A-4FF3-AB4E-17FDF76A0ADB}"/>
            </c:ext>
          </c:extLst>
        </c:ser>
        <c:ser>
          <c:idx val="5"/>
          <c:order val="5"/>
          <c:tx>
            <c:strRef>
              <c:f>transpose!$Y$1</c:f>
              <c:strCache>
                <c:ptCount val="1"/>
                <c:pt idx="0">
                  <c:v>B_Eszik6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transpose!$Y$2:$Y$7653</c:f>
              <c:numCache>
                <c:formatCode>General</c:formatCode>
                <c:ptCount val="7652"/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6A-4FF3-AB4E-17FDF76A0ADB}"/>
            </c:ext>
          </c:extLst>
        </c:ser>
        <c:ser>
          <c:idx val="7"/>
          <c:order val="7"/>
          <c:tx>
            <c:strRef>
              <c:f>transpose!$AC$1</c:f>
              <c:strCache>
                <c:ptCount val="1"/>
                <c:pt idx="0">
                  <c:v>B_Eszik8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transpose!$AC$2:$AC$7653</c:f>
              <c:numCache>
                <c:formatCode>General</c:formatCode>
                <c:ptCount val="7652"/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6A-4FF3-AB4E-17FDF76A0ADB}"/>
            </c:ext>
          </c:extLst>
        </c:ser>
        <c:ser>
          <c:idx val="9"/>
          <c:order val="9"/>
          <c:tx>
            <c:strRef>
              <c:f>transpose!$AG$1</c:f>
              <c:strCache>
                <c:ptCount val="1"/>
                <c:pt idx="0">
                  <c:v>B_Eszik10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transpose!$AG$2:$AG$7653</c:f>
              <c:numCache>
                <c:formatCode>General</c:formatCode>
                <c:ptCount val="7652"/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6A-4FF3-AB4E-17FDF76A0ADB}"/>
            </c:ext>
          </c:extLst>
        </c:ser>
        <c:ser>
          <c:idx val="11"/>
          <c:order val="11"/>
          <c:tx>
            <c:strRef>
              <c:f>transpose!$AK$1</c:f>
              <c:strCache>
                <c:ptCount val="1"/>
                <c:pt idx="0">
                  <c:v>B_Eszik12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transpose!$AK$2:$AK$7653</c:f>
              <c:numCache>
                <c:formatCode>General</c:formatCode>
                <c:ptCount val="7652"/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6A-4FF3-AB4E-17FDF76A0ADB}"/>
            </c:ext>
          </c:extLst>
        </c:ser>
        <c:ser>
          <c:idx val="13"/>
          <c:order val="13"/>
          <c:tx>
            <c:strRef>
              <c:f>transpose!$AO$1</c:f>
              <c:strCache>
                <c:ptCount val="1"/>
                <c:pt idx="0">
                  <c:v>B_Eszik14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transpose!$AO$2:$AO$7653</c:f>
              <c:numCache>
                <c:formatCode>General</c:formatCode>
                <c:ptCount val="7652"/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6A-4FF3-AB4E-17FDF76A0ADB}"/>
            </c:ext>
          </c:extLst>
        </c:ser>
        <c:ser>
          <c:idx val="15"/>
          <c:order val="15"/>
          <c:tx>
            <c:strRef>
              <c:f>transpose!$AS$1</c:f>
              <c:strCache>
                <c:ptCount val="1"/>
                <c:pt idx="0">
                  <c:v>B_Eszik16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transpose!$AS$2:$AS$7653</c:f>
              <c:numCache>
                <c:formatCode>General</c:formatCode>
                <c:ptCount val="7652"/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6A-4FF3-AB4E-17FDF76A0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transpose!$O$1</c15:sqref>
                        </c15:formulaRef>
                      </c:ext>
                    </c:extLst>
                    <c:strCache>
                      <c:ptCount val="1"/>
                      <c:pt idx="0">
                        <c:v>B_Eszik1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transpose!$O$2:$O$7653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7337">
                        <c:v>1</c:v>
                      </c:pt>
                      <c:pt idx="7338">
                        <c:v>1</c:v>
                      </c:pt>
                      <c:pt idx="7339">
                        <c:v>1</c:v>
                      </c:pt>
                      <c:pt idx="7340">
                        <c:v>1</c:v>
                      </c:pt>
                      <c:pt idx="7341">
                        <c:v>1</c:v>
                      </c:pt>
                      <c:pt idx="7342">
                        <c:v>1</c:v>
                      </c:pt>
                      <c:pt idx="7343">
                        <c:v>1</c:v>
                      </c:pt>
                      <c:pt idx="7344">
                        <c:v>1</c:v>
                      </c:pt>
                      <c:pt idx="7345">
                        <c:v>1</c:v>
                      </c:pt>
                      <c:pt idx="7346">
                        <c:v>1</c:v>
                      </c:pt>
                      <c:pt idx="7347">
                        <c:v>1</c:v>
                      </c:pt>
                      <c:pt idx="7348">
                        <c:v>1</c:v>
                      </c:pt>
                      <c:pt idx="7349">
                        <c:v>1</c:v>
                      </c:pt>
                      <c:pt idx="7350">
                        <c:v>1</c:v>
                      </c:pt>
                      <c:pt idx="7351">
                        <c:v>1</c:v>
                      </c:pt>
                      <c:pt idx="7352">
                        <c:v>1</c:v>
                      </c:pt>
                      <c:pt idx="7353">
                        <c:v>1</c:v>
                      </c:pt>
                      <c:pt idx="7354">
                        <c:v>1</c:v>
                      </c:pt>
                      <c:pt idx="7355">
                        <c:v>1</c:v>
                      </c:pt>
                      <c:pt idx="7356">
                        <c:v>1</c:v>
                      </c:pt>
                      <c:pt idx="7357">
                        <c:v>1</c:v>
                      </c:pt>
                      <c:pt idx="7358">
                        <c:v>1</c:v>
                      </c:pt>
                      <c:pt idx="7359">
                        <c:v>1</c:v>
                      </c:pt>
                      <c:pt idx="7360">
                        <c:v>1</c:v>
                      </c:pt>
                      <c:pt idx="7361">
                        <c:v>1</c:v>
                      </c:pt>
                      <c:pt idx="7362">
                        <c:v>1</c:v>
                      </c:pt>
                      <c:pt idx="7363">
                        <c:v>1</c:v>
                      </c:pt>
                      <c:pt idx="7364">
                        <c:v>1</c:v>
                      </c:pt>
                      <c:pt idx="7365">
                        <c:v>1</c:v>
                      </c:pt>
                      <c:pt idx="7366">
                        <c:v>1</c:v>
                      </c:pt>
                      <c:pt idx="7367">
                        <c:v>1</c:v>
                      </c:pt>
                      <c:pt idx="7368">
                        <c:v>1</c:v>
                      </c:pt>
                      <c:pt idx="7369">
                        <c:v>1</c:v>
                      </c:pt>
                      <c:pt idx="737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1B6A-4FF3-AB4E-17FDF76A0AD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transpose!$S$1</c15:sqref>
                        </c15:formulaRef>
                      </c:ext>
                    </c:extLst>
                    <c:strCache>
                      <c:ptCount val="1"/>
                      <c:pt idx="0">
                        <c:v>B_Eszik3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transpose!$S$2:$S$7653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B6A-4FF3-AB4E-17FDF76A0AD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transpose!$W$1</c15:sqref>
                        </c15:formulaRef>
                      </c:ext>
                    </c:extLst>
                    <c:strCache>
                      <c:ptCount val="1"/>
                      <c:pt idx="0">
                        <c:v>B_Eszik5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transpose!$W$2:$W$7653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3027">
                        <c:v>1</c:v>
                      </c:pt>
                      <c:pt idx="3028">
                        <c:v>1</c:v>
                      </c:pt>
                      <c:pt idx="3029">
                        <c:v>1</c:v>
                      </c:pt>
                      <c:pt idx="3030">
                        <c:v>1</c:v>
                      </c:pt>
                      <c:pt idx="3031">
                        <c:v>1</c:v>
                      </c:pt>
                      <c:pt idx="3032">
                        <c:v>1</c:v>
                      </c:pt>
                      <c:pt idx="3033">
                        <c:v>1</c:v>
                      </c:pt>
                      <c:pt idx="3034">
                        <c:v>1</c:v>
                      </c:pt>
                      <c:pt idx="3035">
                        <c:v>1</c:v>
                      </c:pt>
                      <c:pt idx="3036">
                        <c:v>1</c:v>
                      </c:pt>
                      <c:pt idx="3037">
                        <c:v>1</c:v>
                      </c:pt>
                      <c:pt idx="3038">
                        <c:v>1</c:v>
                      </c:pt>
                      <c:pt idx="3039">
                        <c:v>1</c:v>
                      </c:pt>
                      <c:pt idx="3040">
                        <c:v>1</c:v>
                      </c:pt>
                      <c:pt idx="3041">
                        <c:v>1</c:v>
                      </c:pt>
                      <c:pt idx="3042">
                        <c:v>1</c:v>
                      </c:pt>
                      <c:pt idx="3043">
                        <c:v>1</c:v>
                      </c:pt>
                      <c:pt idx="3044">
                        <c:v>1</c:v>
                      </c:pt>
                      <c:pt idx="3045">
                        <c:v>1</c:v>
                      </c:pt>
                      <c:pt idx="3046">
                        <c:v>1</c:v>
                      </c:pt>
                      <c:pt idx="3047">
                        <c:v>1</c:v>
                      </c:pt>
                      <c:pt idx="3048">
                        <c:v>1</c:v>
                      </c:pt>
                      <c:pt idx="3049">
                        <c:v>1</c:v>
                      </c:pt>
                      <c:pt idx="3050">
                        <c:v>1</c:v>
                      </c:pt>
                      <c:pt idx="3051">
                        <c:v>1</c:v>
                      </c:pt>
                      <c:pt idx="3052">
                        <c:v>1</c:v>
                      </c:pt>
                      <c:pt idx="3053">
                        <c:v>1</c:v>
                      </c:pt>
                      <c:pt idx="3054">
                        <c:v>1</c:v>
                      </c:pt>
                      <c:pt idx="3055">
                        <c:v>1</c:v>
                      </c:pt>
                      <c:pt idx="3056">
                        <c:v>1</c:v>
                      </c:pt>
                      <c:pt idx="3057">
                        <c:v>1</c:v>
                      </c:pt>
                      <c:pt idx="3058">
                        <c:v>1</c:v>
                      </c:pt>
                      <c:pt idx="3059">
                        <c:v>1</c:v>
                      </c:pt>
                      <c:pt idx="3060">
                        <c:v>1</c:v>
                      </c:pt>
                      <c:pt idx="3061">
                        <c:v>1</c:v>
                      </c:pt>
                      <c:pt idx="3062">
                        <c:v>1</c:v>
                      </c:pt>
                      <c:pt idx="3063">
                        <c:v>1</c:v>
                      </c:pt>
                      <c:pt idx="3064">
                        <c:v>1</c:v>
                      </c:pt>
                      <c:pt idx="3065">
                        <c:v>1</c:v>
                      </c:pt>
                      <c:pt idx="3066">
                        <c:v>1</c:v>
                      </c:pt>
                      <c:pt idx="3067">
                        <c:v>1</c:v>
                      </c:pt>
                      <c:pt idx="3068">
                        <c:v>1</c:v>
                      </c:pt>
                      <c:pt idx="3069">
                        <c:v>1</c:v>
                      </c:pt>
                      <c:pt idx="3070">
                        <c:v>1</c:v>
                      </c:pt>
                      <c:pt idx="3071">
                        <c:v>1</c:v>
                      </c:pt>
                      <c:pt idx="3072">
                        <c:v>1</c:v>
                      </c:pt>
                      <c:pt idx="3073">
                        <c:v>1</c:v>
                      </c:pt>
                      <c:pt idx="3074">
                        <c:v>1</c:v>
                      </c:pt>
                      <c:pt idx="3075">
                        <c:v>1</c:v>
                      </c:pt>
                      <c:pt idx="3076">
                        <c:v>1</c:v>
                      </c:pt>
                      <c:pt idx="3077">
                        <c:v>1</c:v>
                      </c:pt>
                      <c:pt idx="3078">
                        <c:v>1</c:v>
                      </c:pt>
                      <c:pt idx="3079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B6A-4FF3-AB4E-17FDF76A0AD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transpose!$AA$1</c15:sqref>
                        </c15:formulaRef>
                      </c:ext>
                    </c:extLst>
                    <c:strCache>
                      <c:ptCount val="1"/>
                      <c:pt idx="0">
                        <c:v>B_Eszik7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transpose!$AA$2:$AA$7653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B6A-4FF3-AB4E-17FDF76A0AD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transpose!$AE$1</c15:sqref>
                        </c15:formulaRef>
                      </c:ext>
                    </c:extLst>
                    <c:strCache>
                      <c:ptCount val="1"/>
                      <c:pt idx="0">
                        <c:v>B_Eszik9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transpose!$AE$2:$AE$7653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  <c:pt idx="4771">
                        <c:v>1</c:v>
                      </c:pt>
                      <c:pt idx="4772">
                        <c:v>1</c:v>
                      </c:pt>
                      <c:pt idx="4773">
                        <c:v>1</c:v>
                      </c:pt>
                      <c:pt idx="4774">
                        <c:v>1</c:v>
                      </c:pt>
                      <c:pt idx="4775">
                        <c:v>1</c:v>
                      </c:pt>
                      <c:pt idx="4776">
                        <c:v>1</c:v>
                      </c:pt>
                      <c:pt idx="4777">
                        <c:v>1</c:v>
                      </c:pt>
                      <c:pt idx="4778">
                        <c:v>1</c:v>
                      </c:pt>
                      <c:pt idx="4779">
                        <c:v>1</c:v>
                      </c:pt>
                      <c:pt idx="4780">
                        <c:v>1</c:v>
                      </c:pt>
                      <c:pt idx="4781">
                        <c:v>1</c:v>
                      </c:pt>
                      <c:pt idx="4782">
                        <c:v>1</c:v>
                      </c:pt>
                      <c:pt idx="4783">
                        <c:v>1</c:v>
                      </c:pt>
                      <c:pt idx="4784">
                        <c:v>1</c:v>
                      </c:pt>
                      <c:pt idx="4785">
                        <c:v>1</c:v>
                      </c:pt>
                      <c:pt idx="4786">
                        <c:v>1</c:v>
                      </c:pt>
                      <c:pt idx="4787">
                        <c:v>1</c:v>
                      </c:pt>
                      <c:pt idx="4788">
                        <c:v>1</c:v>
                      </c:pt>
                      <c:pt idx="4789">
                        <c:v>1</c:v>
                      </c:pt>
                      <c:pt idx="4790">
                        <c:v>1</c:v>
                      </c:pt>
                      <c:pt idx="4791">
                        <c:v>1</c:v>
                      </c:pt>
                      <c:pt idx="4792">
                        <c:v>1</c:v>
                      </c:pt>
                      <c:pt idx="4793">
                        <c:v>1</c:v>
                      </c:pt>
                      <c:pt idx="4794">
                        <c:v>1</c:v>
                      </c:pt>
                      <c:pt idx="4795">
                        <c:v>1</c:v>
                      </c:pt>
                      <c:pt idx="4796">
                        <c:v>1</c:v>
                      </c:pt>
                      <c:pt idx="4797">
                        <c:v>1</c:v>
                      </c:pt>
                      <c:pt idx="4798">
                        <c:v>1</c:v>
                      </c:pt>
                      <c:pt idx="4799">
                        <c:v>1</c:v>
                      </c:pt>
                      <c:pt idx="4800">
                        <c:v>1</c:v>
                      </c:pt>
                      <c:pt idx="4801">
                        <c:v>1</c:v>
                      </c:pt>
                      <c:pt idx="4802">
                        <c:v>1</c:v>
                      </c:pt>
                      <c:pt idx="4803">
                        <c:v>1</c:v>
                      </c:pt>
                      <c:pt idx="4804">
                        <c:v>1</c:v>
                      </c:pt>
                      <c:pt idx="4805">
                        <c:v>1</c:v>
                      </c:pt>
                      <c:pt idx="4806">
                        <c:v>1</c:v>
                      </c:pt>
                      <c:pt idx="4807">
                        <c:v>1</c:v>
                      </c:pt>
                      <c:pt idx="4808">
                        <c:v>1</c:v>
                      </c:pt>
                      <c:pt idx="4809">
                        <c:v>1</c:v>
                      </c:pt>
                      <c:pt idx="4810">
                        <c:v>1</c:v>
                      </c:pt>
                      <c:pt idx="4811">
                        <c:v>1</c:v>
                      </c:pt>
                      <c:pt idx="4812">
                        <c:v>1</c:v>
                      </c:pt>
                      <c:pt idx="4813">
                        <c:v>1</c:v>
                      </c:pt>
                      <c:pt idx="4814">
                        <c:v>1</c:v>
                      </c:pt>
                      <c:pt idx="4815">
                        <c:v>1</c:v>
                      </c:pt>
                      <c:pt idx="4816">
                        <c:v>1</c:v>
                      </c:pt>
                      <c:pt idx="4817">
                        <c:v>1</c:v>
                      </c:pt>
                      <c:pt idx="4818">
                        <c:v>1</c:v>
                      </c:pt>
                      <c:pt idx="4819">
                        <c:v>1</c:v>
                      </c:pt>
                      <c:pt idx="4820">
                        <c:v>1</c:v>
                      </c:pt>
                      <c:pt idx="4821">
                        <c:v>1</c:v>
                      </c:pt>
                      <c:pt idx="4822">
                        <c:v>1</c:v>
                      </c:pt>
                      <c:pt idx="4823">
                        <c:v>1</c:v>
                      </c:pt>
                      <c:pt idx="4824">
                        <c:v>1</c:v>
                      </c:pt>
                      <c:pt idx="4825">
                        <c:v>1</c:v>
                      </c:pt>
                      <c:pt idx="4826">
                        <c:v>1</c:v>
                      </c:pt>
                      <c:pt idx="4827">
                        <c:v>1</c:v>
                      </c:pt>
                      <c:pt idx="4828">
                        <c:v>1</c:v>
                      </c:pt>
                      <c:pt idx="4829">
                        <c:v>1</c:v>
                      </c:pt>
                      <c:pt idx="4830">
                        <c:v>1</c:v>
                      </c:pt>
                      <c:pt idx="4831">
                        <c:v>1</c:v>
                      </c:pt>
                      <c:pt idx="4832">
                        <c:v>1</c:v>
                      </c:pt>
                      <c:pt idx="4833">
                        <c:v>1</c:v>
                      </c:pt>
                      <c:pt idx="4834">
                        <c:v>1</c:v>
                      </c:pt>
                      <c:pt idx="4835">
                        <c:v>1</c:v>
                      </c:pt>
                      <c:pt idx="4836">
                        <c:v>1</c:v>
                      </c:pt>
                      <c:pt idx="4837">
                        <c:v>1</c:v>
                      </c:pt>
                      <c:pt idx="4838">
                        <c:v>1</c:v>
                      </c:pt>
                      <c:pt idx="4839">
                        <c:v>1</c:v>
                      </c:pt>
                      <c:pt idx="4840">
                        <c:v>1</c:v>
                      </c:pt>
                      <c:pt idx="4841">
                        <c:v>1</c:v>
                      </c:pt>
                      <c:pt idx="4842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B6A-4FF3-AB4E-17FDF76A0ADB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transpose!$AI$1</c15:sqref>
                        </c15:formulaRef>
                      </c:ext>
                    </c:extLst>
                    <c:strCache>
                      <c:ptCount val="1"/>
                      <c:pt idx="0">
                        <c:v>B_Eszik11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transpose!$AI$2:$AI$7653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B6A-4FF3-AB4E-17FDF76A0ADB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transpose!$AM$1</c15:sqref>
                        </c15:formulaRef>
                      </c:ext>
                    </c:extLst>
                    <c:strCache>
                      <c:ptCount val="1"/>
                      <c:pt idx="0">
                        <c:v>B_Eszik13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transpose!$AM$2:$AM$7653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B6A-4FF3-AB4E-17FDF76A0ADB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transpose!$AQ$1</c15:sqref>
                        </c15:formulaRef>
                      </c:ext>
                    </c:extLst>
                    <c:strCache>
                      <c:ptCount val="1"/>
                      <c:pt idx="0">
                        <c:v>B_Eszik15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transpose!$AQ$2:$AQ$7653</c15:sqref>
                        </c15:formulaRef>
                      </c:ext>
                    </c:extLst>
                    <c:numCache>
                      <c:formatCode>General</c:formatCode>
                      <c:ptCount val="7652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B6A-4FF3-AB4E-17FDF76A0ADB}"/>
                  </c:ext>
                </c:extLst>
              </c15:ser>
            </c15:filteredScatterSeries>
          </c:ext>
        </c:extLst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759"/>
        <c:crosses val="autoZero"/>
        <c:crossBetween val="midCat"/>
        <c:majorUnit val="1000"/>
      </c:valAx>
      <c:valAx>
        <c:axId val="813189759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34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5339771079143969E-3"/>
          <c:y val="0.77997835841009622"/>
          <c:w val="0.90991610344776586"/>
          <c:h val="0.209534983273349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1_76_LE_MALE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transpose!$N$1</c:f>
              <c:strCache>
                <c:ptCount val="1"/>
                <c:pt idx="0">
                  <c:v>B1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transpose!$N$2:$N$7653</c:f>
              <c:numCache>
                <c:formatCode>General</c:formatCode>
                <c:ptCount val="7652"/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71">
                  <c:v>2</c:v>
                </c:pt>
                <c:pt idx="7372">
                  <c:v>2</c:v>
                </c:pt>
                <c:pt idx="7373">
                  <c:v>2</c:v>
                </c:pt>
                <c:pt idx="7374">
                  <c:v>2</c:v>
                </c:pt>
                <c:pt idx="7375">
                  <c:v>2</c:v>
                </c:pt>
                <c:pt idx="7376">
                  <c:v>2</c:v>
                </c:pt>
                <c:pt idx="7377">
                  <c:v>2</c:v>
                </c:pt>
                <c:pt idx="7378">
                  <c:v>2</c:v>
                </c:pt>
                <c:pt idx="7379">
                  <c:v>2</c:v>
                </c:pt>
                <c:pt idx="7380">
                  <c:v>2</c:v>
                </c:pt>
                <c:pt idx="7381">
                  <c:v>2</c:v>
                </c:pt>
                <c:pt idx="7382">
                  <c:v>2</c:v>
                </c:pt>
                <c:pt idx="7383">
                  <c:v>2</c:v>
                </c:pt>
                <c:pt idx="7384">
                  <c:v>2</c:v>
                </c:pt>
                <c:pt idx="7385">
                  <c:v>2</c:v>
                </c:pt>
                <c:pt idx="7386">
                  <c:v>2</c:v>
                </c:pt>
                <c:pt idx="7387">
                  <c:v>2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2</c:v>
                </c:pt>
                <c:pt idx="7392">
                  <c:v>2</c:v>
                </c:pt>
                <c:pt idx="7393">
                  <c:v>2</c:v>
                </c:pt>
                <c:pt idx="7394">
                  <c:v>2</c:v>
                </c:pt>
                <c:pt idx="7395">
                  <c:v>2</c:v>
                </c:pt>
                <c:pt idx="7396">
                  <c:v>2</c:v>
                </c:pt>
                <c:pt idx="7397">
                  <c:v>2</c:v>
                </c:pt>
                <c:pt idx="7398">
                  <c:v>2</c:v>
                </c:pt>
                <c:pt idx="7399">
                  <c:v>2</c:v>
                </c:pt>
                <c:pt idx="7400">
                  <c:v>2</c:v>
                </c:pt>
                <c:pt idx="7401">
                  <c:v>2</c:v>
                </c:pt>
                <c:pt idx="7402">
                  <c:v>2</c:v>
                </c:pt>
                <c:pt idx="7403">
                  <c:v>2</c:v>
                </c:pt>
                <c:pt idx="7404">
                  <c:v>2</c:v>
                </c:pt>
                <c:pt idx="7405">
                  <c:v>2</c:v>
                </c:pt>
                <c:pt idx="7406">
                  <c:v>2</c:v>
                </c:pt>
                <c:pt idx="7407">
                  <c:v>2</c:v>
                </c:pt>
                <c:pt idx="7408">
                  <c:v>2</c:v>
                </c:pt>
                <c:pt idx="7409">
                  <c:v>2</c:v>
                </c:pt>
                <c:pt idx="7410">
                  <c:v>2</c:v>
                </c:pt>
                <c:pt idx="7411">
                  <c:v>2</c:v>
                </c:pt>
                <c:pt idx="7412">
                  <c:v>2</c:v>
                </c:pt>
                <c:pt idx="7413">
                  <c:v>2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CE-4DAD-B7A4-910ED02AB0B7}"/>
            </c:ext>
          </c:extLst>
        </c:ser>
        <c:ser>
          <c:idx val="1"/>
          <c:order val="1"/>
          <c:tx>
            <c:strRef>
              <c:f>transpose!$P$1</c:f>
              <c:strCache>
                <c:ptCount val="1"/>
                <c:pt idx="0">
                  <c:v>K2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transpose!$P$2:$P$7653</c:f>
              <c:numCache>
                <c:formatCode>General</c:formatCode>
                <c:ptCount val="7652"/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868">
                  <c:v>4</c:v>
                </c:pt>
                <c:pt idx="6869">
                  <c:v>4</c:v>
                </c:pt>
                <c:pt idx="6870">
                  <c:v>4</c:v>
                </c:pt>
                <c:pt idx="6871">
                  <c:v>4</c:v>
                </c:pt>
                <c:pt idx="6872">
                  <c:v>4</c:v>
                </c:pt>
                <c:pt idx="6873">
                  <c:v>4</c:v>
                </c:pt>
                <c:pt idx="6874">
                  <c:v>4</c:v>
                </c:pt>
                <c:pt idx="6875">
                  <c:v>4</c:v>
                </c:pt>
                <c:pt idx="6876">
                  <c:v>4</c:v>
                </c:pt>
                <c:pt idx="7295">
                  <c:v>5</c:v>
                </c:pt>
                <c:pt idx="7296">
                  <c:v>5</c:v>
                </c:pt>
                <c:pt idx="7297">
                  <c:v>5</c:v>
                </c:pt>
                <c:pt idx="7298">
                  <c:v>5</c:v>
                </c:pt>
                <c:pt idx="7299">
                  <c:v>5</c:v>
                </c:pt>
                <c:pt idx="7300">
                  <c:v>5</c:v>
                </c:pt>
                <c:pt idx="7301">
                  <c:v>5</c:v>
                </c:pt>
                <c:pt idx="730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CE-4DAD-B7A4-910ED02AB0B7}"/>
            </c:ext>
          </c:extLst>
        </c:ser>
        <c:ser>
          <c:idx val="2"/>
          <c:order val="2"/>
          <c:tx>
            <c:strRef>
              <c:f>transpose!$R$1</c:f>
              <c:strCache>
                <c:ptCount val="1"/>
                <c:pt idx="0">
                  <c:v>B3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transpose!$R$2:$R$7653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CE-4DAD-B7A4-910ED02AB0B7}"/>
            </c:ext>
          </c:extLst>
        </c:ser>
        <c:ser>
          <c:idx val="3"/>
          <c:order val="3"/>
          <c:tx>
            <c:strRef>
              <c:f>transpose!$T$1</c:f>
              <c:strCache>
                <c:ptCount val="1"/>
                <c:pt idx="0">
                  <c:v>B4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transpose!$T$2:$T$7653</c:f>
              <c:numCache>
                <c:formatCode>General</c:formatCode>
                <c:ptCount val="7652"/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74">
                  <c:v>4</c:v>
                </c:pt>
                <c:pt idx="5375">
                  <c:v>4</c:v>
                </c:pt>
                <c:pt idx="5376">
                  <c:v>4</c:v>
                </c:pt>
                <c:pt idx="5377">
                  <c:v>4</c:v>
                </c:pt>
                <c:pt idx="5378">
                  <c:v>4</c:v>
                </c:pt>
                <c:pt idx="5379">
                  <c:v>4</c:v>
                </c:pt>
                <c:pt idx="5380">
                  <c:v>4</c:v>
                </c:pt>
                <c:pt idx="7159">
                  <c:v>5</c:v>
                </c:pt>
                <c:pt idx="7160">
                  <c:v>5</c:v>
                </c:pt>
                <c:pt idx="7161">
                  <c:v>5</c:v>
                </c:pt>
                <c:pt idx="7162">
                  <c:v>5</c:v>
                </c:pt>
                <c:pt idx="7163">
                  <c:v>5</c:v>
                </c:pt>
                <c:pt idx="7164">
                  <c:v>5</c:v>
                </c:pt>
                <c:pt idx="7165">
                  <c:v>5</c:v>
                </c:pt>
                <c:pt idx="7166">
                  <c:v>5</c:v>
                </c:pt>
                <c:pt idx="7167">
                  <c:v>5</c:v>
                </c:pt>
                <c:pt idx="7168">
                  <c:v>5</c:v>
                </c:pt>
                <c:pt idx="7169">
                  <c:v>5</c:v>
                </c:pt>
                <c:pt idx="7170">
                  <c:v>5</c:v>
                </c:pt>
                <c:pt idx="7171">
                  <c:v>5</c:v>
                </c:pt>
                <c:pt idx="7172">
                  <c:v>5</c:v>
                </c:pt>
                <c:pt idx="7173">
                  <c:v>5</c:v>
                </c:pt>
                <c:pt idx="7174">
                  <c:v>5</c:v>
                </c:pt>
                <c:pt idx="7175">
                  <c:v>5</c:v>
                </c:pt>
                <c:pt idx="7176">
                  <c:v>5</c:v>
                </c:pt>
                <c:pt idx="7177">
                  <c:v>5</c:v>
                </c:pt>
                <c:pt idx="7178">
                  <c:v>5</c:v>
                </c:pt>
                <c:pt idx="7179">
                  <c:v>5</c:v>
                </c:pt>
                <c:pt idx="7180">
                  <c:v>5</c:v>
                </c:pt>
                <c:pt idx="7181">
                  <c:v>5</c:v>
                </c:pt>
                <c:pt idx="718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CE-4DAD-B7A4-910ED02AB0B7}"/>
            </c:ext>
          </c:extLst>
        </c:ser>
        <c:ser>
          <c:idx val="4"/>
          <c:order val="4"/>
          <c:tx>
            <c:strRef>
              <c:f>transpose!$V$1</c:f>
              <c:strCache>
                <c:ptCount val="1"/>
                <c:pt idx="0">
                  <c:v>B5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transpose!$V$2:$V$7653</c:f>
              <c:numCache>
                <c:formatCode>General</c:formatCode>
                <c:ptCount val="7652"/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CE-4DAD-B7A4-910ED02AB0B7}"/>
            </c:ext>
          </c:extLst>
        </c:ser>
        <c:ser>
          <c:idx val="5"/>
          <c:order val="5"/>
          <c:tx>
            <c:strRef>
              <c:f>transpose!$X$1</c:f>
              <c:strCache>
                <c:ptCount val="1"/>
                <c:pt idx="0">
                  <c:v>B6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transpose!$X$2:$X$7653</c:f>
              <c:numCache>
                <c:formatCode>General</c:formatCode>
                <c:ptCount val="7652"/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2</c:v>
                </c:pt>
                <c:pt idx="6113">
                  <c:v>2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CE-4DAD-B7A4-910ED02AB0B7}"/>
            </c:ext>
          </c:extLst>
        </c:ser>
        <c:ser>
          <c:idx val="6"/>
          <c:order val="6"/>
          <c:tx>
            <c:strRef>
              <c:f>transpose!$Z$1</c:f>
              <c:strCache>
                <c:ptCount val="1"/>
                <c:pt idx="0">
                  <c:v>B7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transpose!$Z$2:$Z$7653</c:f>
              <c:numCache>
                <c:formatCode>General</c:formatCode>
                <c:ptCount val="7652"/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CE-4DAD-B7A4-910ED02AB0B7}"/>
            </c:ext>
          </c:extLst>
        </c:ser>
        <c:ser>
          <c:idx val="7"/>
          <c:order val="7"/>
          <c:tx>
            <c:strRef>
              <c:f>transpose!$AB$1</c:f>
              <c:strCache>
                <c:ptCount val="1"/>
                <c:pt idx="0">
                  <c:v>B8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transpose!$AB$2:$AB$7653</c:f>
              <c:numCache>
                <c:formatCode>General</c:formatCode>
                <c:ptCount val="7652"/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6706">
                  <c:v>4</c:v>
                </c:pt>
                <c:pt idx="6707">
                  <c:v>4</c:v>
                </c:pt>
                <c:pt idx="6708">
                  <c:v>4</c:v>
                </c:pt>
                <c:pt idx="6709">
                  <c:v>4</c:v>
                </c:pt>
                <c:pt idx="6710">
                  <c:v>4</c:v>
                </c:pt>
                <c:pt idx="6711">
                  <c:v>4</c:v>
                </c:pt>
                <c:pt idx="6712">
                  <c:v>4</c:v>
                </c:pt>
                <c:pt idx="6713">
                  <c:v>4</c:v>
                </c:pt>
                <c:pt idx="6714">
                  <c:v>4</c:v>
                </c:pt>
                <c:pt idx="6715">
                  <c:v>4</c:v>
                </c:pt>
                <c:pt idx="6716">
                  <c:v>4</c:v>
                </c:pt>
                <c:pt idx="6717">
                  <c:v>4</c:v>
                </c:pt>
                <c:pt idx="7087">
                  <c:v>5</c:v>
                </c:pt>
                <c:pt idx="7088">
                  <c:v>5</c:v>
                </c:pt>
                <c:pt idx="7089">
                  <c:v>5</c:v>
                </c:pt>
                <c:pt idx="7090">
                  <c:v>5</c:v>
                </c:pt>
                <c:pt idx="7091">
                  <c:v>5</c:v>
                </c:pt>
                <c:pt idx="7092">
                  <c:v>5</c:v>
                </c:pt>
                <c:pt idx="7093">
                  <c:v>5</c:v>
                </c:pt>
                <c:pt idx="709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ACE-4DAD-B7A4-910ED02AB0B7}"/>
            </c:ext>
          </c:extLst>
        </c:ser>
        <c:ser>
          <c:idx val="8"/>
          <c:order val="8"/>
          <c:tx>
            <c:strRef>
              <c:f>transpose!$AD$1</c:f>
              <c:strCache>
                <c:ptCount val="1"/>
                <c:pt idx="0">
                  <c:v>B9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transpose!$AD$2:$AD$7653</c:f>
              <c:numCache>
                <c:formatCode>General</c:formatCode>
                <c:ptCount val="7652"/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ACE-4DAD-B7A4-910ED02AB0B7}"/>
            </c:ext>
          </c:extLst>
        </c:ser>
        <c:ser>
          <c:idx val="9"/>
          <c:order val="9"/>
          <c:tx>
            <c:strRef>
              <c:f>transpose!$AF$1</c:f>
              <c:strCache>
                <c:ptCount val="1"/>
                <c:pt idx="0">
                  <c:v>B10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transpose!$AF$2:$AF$7653</c:f>
              <c:numCache>
                <c:formatCode>General</c:formatCode>
                <c:ptCount val="7652"/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6652">
                  <c:v>4</c:v>
                </c:pt>
                <c:pt idx="6653">
                  <c:v>4</c:v>
                </c:pt>
                <c:pt idx="6654">
                  <c:v>4</c:v>
                </c:pt>
                <c:pt idx="6655">
                  <c:v>4</c:v>
                </c:pt>
                <c:pt idx="6656">
                  <c:v>4</c:v>
                </c:pt>
                <c:pt idx="6657">
                  <c:v>4</c:v>
                </c:pt>
                <c:pt idx="6658">
                  <c:v>4</c:v>
                </c:pt>
                <c:pt idx="6659">
                  <c:v>4</c:v>
                </c:pt>
                <c:pt idx="6660">
                  <c:v>4</c:v>
                </c:pt>
                <c:pt idx="6661">
                  <c:v>4</c:v>
                </c:pt>
                <c:pt idx="6662">
                  <c:v>4</c:v>
                </c:pt>
                <c:pt idx="6663">
                  <c:v>4</c:v>
                </c:pt>
                <c:pt idx="6664">
                  <c:v>4</c:v>
                </c:pt>
                <c:pt idx="6665">
                  <c:v>4</c:v>
                </c:pt>
                <c:pt idx="6666">
                  <c:v>4</c:v>
                </c:pt>
                <c:pt idx="6667">
                  <c:v>4</c:v>
                </c:pt>
                <c:pt idx="6668">
                  <c:v>4</c:v>
                </c:pt>
                <c:pt idx="6669">
                  <c:v>4</c:v>
                </c:pt>
                <c:pt idx="6670">
                  <c:v>4</c:v>
                </c:pt>
                <c:pt idx="6671">
                  <c:v>4</c:v>
                </c:pt>
                <c:pt idx="6672">
                  <c:v>4</c:v>
                </c:pt>
                <c:pt idx="6673">
                  <c:v>4</c:v>
                </c:pt>
                <c:pt idx="6674">
                  <c:v>4</c:v>
                </c:pt>
                <c:pt idx="6675">
                  <c:v>4</c:v>
                </c:pt>
                <c:pt idx="6676">
                  <c:v>4</c:v>
                </c:pt>
                <c:pt idx="6677">
                  <c:v>4</c:v>
                </c:pt>
                <c:pt idx="6678">
                  <c:v>4</c:v>
                </c:pt>
                <c:pt idx="6679">
                  <c:v>4</c:v>
                </c:pt>
                <c:pt idx="668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ACE-4DAD-B7A4-910ED02AB0B7}"/>
            </c:ext>
          </c:extLst>
        </c:ser>
        <c:ser>
          <c:idx val="10"/>
          <c:order val="10"/>
          <c:tx>
            <c:strRef>
              <c:f>transpose!$AH$1</c:f>
              <c:strCache>
                <c:ptCount val="1"/>
                <c:pt idx="0">
                  <c:v>B11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transpose!$AH$2:$AH$7653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ACE-4DAD-B7A4-910ED02AB0B7}"/>
            </c:ext>
          </c:extLst>
        </c:ser>
        <c:ser>
          <c:idx val="11"/>
          <c:order val="11"/>
          <c:tx>
            <c:strRef>
              <c:f>transpose!$AJ$1</c:f>
              <c:strCache>
                <c:ptCount val="1"/>
                <c:pt idx="0">
                  <c:v>B12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transpose!$AJ$2:$AJ$7653</c:f>
              <c:numCache>
                <c:formatCode>General</c:formatCode>
                <c:ptCount val="7652"/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86">
                  <c:v>4</c:v>
                </c:pt>
                <c:pt idx="6587">
                  <c:v>4</c:v>
                </c:pt>
                <c:pt idx="6588">
                  <c:v>4</c:v>
                </c:pt>
                <c:pt idx="6589">
                  <c:v>4</c:v>
                </c:pt>
                <c:pt idx="6590">
                  <c:v>4</c:v>
                </c:pt>
                <c:pt idx="6591">
                  <c:v>4</c:v>
                </c:pt>
                <c:pt idx="6592">
                  <c:v>4</c:v>
                </c:pt>
                <c:pt idx="6593">
                  <c:v>4</c:v>
                </c:pt>
                <c:pt idx="6594">
                  <c:v>4</c:v>
                </c:pt>
                <c:pt idx="6595">
                  <c:v>4</c:v>
                </c:pt>
                <c:pt idx="6596">
                  <c:v>4</c:v>
                </c:pt>
                <c:pt idx="6597">
                  <c:v>4</c:v>
                </c:pt>
                <c:pt idx="6598">
                  <c:v>4</c:v>
                </c:pt>
                <c:pt idx="6599">
                  <c:v>4</c:v>
                </c:pt>
                <c:pt idx="6600">
                  <c:v>4</c:v>
                </c:pt>
                <c:pt idx="6601">
                  <c:v>4</c:v>
                </c:pt>
                <c:pt idx="6602">
                  <c:v>4</c:v>
                </c:pt>
                <c:pt idx="6603">
                  <c:v>4</c:v>
                </c:pt>
                <c:pt idx="6604">
                  <c:v>4</c:v>
                </c:pt>
                <c:pt idx="6605">
                  <c:v>4</c:v>
                </c:pt>
                <c:pt idx="6606">
                  <c:v>4</c:v>
                </c:pt>
                <c:pt idx="6607">
                  <c:v>4</c:v>
                </c:pt>
                <c:pt idx="6608">
                  <c:v>4</c:v>
                </c:pt>
                <c:pt idx="6609">
                  <c:v>4</c:v>
                </c:pt>
                <c:pt idx="7023">
                  <c:v>5</c:v>
                </c:pt>
                <c:pt idx="7024">
                  <c:v>5</c:v>
                </c:pt>
                <c:pt idx="7025">
                  <c:v>5</c:v>
                </c:pt>
                <c:pt idx="7026">
                  <c:v>5</c:v>
                </c:pt>
                <c:pt idx="7027">
                  <c:v>5</c:v>
                </c:pt>
                <c:pt idx="7028">
                  <c:v>5</c:v>
                </c:pt>
                <c:pt idx="7029">
                  <c:v>5</c:v>
                </c:pt>
                <c:pt idx="7030">
                  <c:v>5</c:v>
                </c:pt>
                <c:pt idx="7031">
                  <c:v>5</c:v>
                </c:pt>
                <c:pt idx="7032">
                  <c:v>5</c:v>
                </c:pt>
                <c:pt idx="7033">
                  <c:v>5</c:v>
                </c:pt>
                <c:pt idx="7034">
                  <c:v>5</c:v>
                </c:pt>
                <c:pt idx="703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ACE-4DAD-B7A4-910ED02AB0B7}"/>
            </c:ext>
          </c:extLst>
        </c:ser>
        <c:ser>
          <c:idx val="12"/>
          <c:order val="12"/>
          <c:tx>
            <c:strRef>
              <c:f>transpose!$AL$1</c:f>
              <c:strCache>
                <c:ptCount val="1"/>
                <c:pt idx="0">
                  <c:v>B13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transpose!$AL$2:$AL$7653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ACE-4DAD-B7A4-910ED02AB0B7}"/>
            </c:ext>
          </c:extLst>
        </c:ser>
        <c:ser>
          <c:idx val="13"/>
          <c:order val="13"/>
          <c:tx>
            <c:strRef>
              <c:f>transpose!$AN$1</c:f>
              <c:strCache>
                <c:ptCount val="1"/>
                <c:pt idx="0">
                  <c:v>B14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transpose!$AN$2:$AN$7653</c:f>
              <c:numCache>
                <c:formatCode>General</c:formatCode>
                <c:ptCount val="7652"/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6394">
                  <c:v>4</c:v>
                </c:pt>
                <c:pt idx="6395">
                  <c:v>4</c:v>
                </c:pt>
                <c:pt idx="6396">
                  <c:v>4</c:v>
                </c:pt>
                <c:pt idx="6397">
                  <c:v>4</c:v>
                </c:pt>
                <c:pt idx="6398">
                  <c:v>4</c:v>
                </c:pt>
                <c:pt idx="6399">
                  <c:v>4</c:v>
                </c:pt>
                <c:pt idx="6400">
                  <c:v>4</c:v>
                </c:pt>
                <c:pt idx="6401">
                  <c:v>4</c:v>
                </c:pt>
                <c:pt idx="6402">
                  <c:v>4</c:v>
                </c:pt>
                <c:pt idx="6403">
                  <c:v>4</c:v>
                </c:pt>
                <c:pt idx="6404">
                  <c:v>4</c:v>
                </c:pt>
                <c:pt idx="6405">
                  <c:v>4</c:v>
                </c:pt>
                <c:pt idx="6406">
                  <c:v>4</c:v>
                </c:pt>
                <c:pt idx="6407">
                  <c:v>4</c:v>
                </c:pt>
                <c:pt idx="6408">
                  <c:v>4</c:v>
                </c:pt>
                <c:pt idx="6454">
                  <c:v>5</c:v>
                </c:pt>
                <c:pt idx="6455">
                  <c:v>5</c:v>
                </c:pt>
                <c:pt idx="6456">
                  <c:v>5</c:v>
                </c:pt>
                <c:pt idx="6457">
                  <c:v>5</c:v>
                </c:pt>
                <c:pt idx="6458">
                  <c:v>5</c:v>
                </c:pt>
                <c:pt idx="6459">
                  <c:v>5</c:v>
                </c:pt>
                <c:pt idx="6460">
                  <c:v>5</c:v>
                </c:pt>
                <c:pt idx="6461">
                  <c:v>5</c:v>
                </c:pt>
                <c:pt idx="6462">
                  <c:v>5</c:v>
                </c:pt>
                <c:pt idx="6463">
                  <c:v>5</c:v>
                </c:pt>
                <c:pt idx="6464">
                  <c:v>5</c:v>
                </c:pt>
                <c:pt idx="6465">
                  <c:v>5</c:v>
                </c:pt>
                <c:pt idx="6466">
                  <c:v>5</c:v>
                </c:pt>
                <c:pt idx="6467">
                  <c:v>5</c:v>
                </c:pt>
                <c:pt idx="6468">
                  <c:v>5</c:v>
                </c:pt>
                <c:pt idx="6469">
                  <c:v>5</c:v>
                </c:pt>
                <c:pt idx="6470">
                  <c:v>5</c:v>
                </c:pt>
                <c:pt idx="6471">
                  <c:v>5</c:v>
                </c:pt>
                <c:pt idx="6472">
                  <c:v>5</c:v>
                </c:pt>
                <c:pt idx="6473">
                  <c:v>5</c:v>
                </c:pt>
                <c:pt idx="6474">
                  <c:v>5</c:v>
                </c:pt>
                <c:pt idx="6475">
                  <c:v>5</c:v>
                </c:pt>
                <c:pt idx="6476">
                  <c:v>5</c:v>
                </c:pt>
                <c:pt idx="6477">
                  <c:v>5</c:v>
                </c:pt>
                <c:pt idx="6478">
                  <c:v>5</c:v>
                </c:pt>
                <c:pt idx="6479">
                  <c:v>5</c:v>
                </c:pt>
                <c:pt idx="6480">
                  <c:v>5</c:v>
                </c:pt>
                <c:pt idx="6481">
                  <c:v>5</c:v>
                </c:pt>
                <c:pt idx="6482">
                  <c:v>5</c:v>
                </c:pt>
                <c:pt idx="6483">
                  <c:v>5</c:v>
                </c:pt>
                <c:pt idx="6484">
                  <c:v>5</c:v>
                </c:pt>
                <c:pt idx="6485">
                  <c:v>5</c:v>
                </c:pt>
                <c:pt idx="6486">
                  <c:v>5</c:v>
                </c:pt>
                <c:pt idx="6487">
                  <c:v>5</c:v>
                </c:pt>
                <c:pt idx="6488">
                  <c:v>5</c:v>
                </c:pt>
                <c:pt idx="6489">
                  <c:v>5</c:v>
                </c:pt>
                <c:pt idx="6490">
                  <c:v>5</c:v>
                </c:pt>
                <c:pt idx="6491">
                  <c:v>5</c:v>
                </c:pt>
                <c:pt idx="6492">
                  <c:v>5</c:v>
                </c:pt>
                <c:pt idx="6944">
                  <c:v>6</c:v>
                </c:pt>
                <c:pt idx="6945">
                  <c:v>6</c:v>
                </c:pt>
                <c:pt idx="6946">
                  <c:v>6</c:v>
                </c:pt>
                <c:pt idx="6947">
                  <c:v>6</c:v>
                </c:pt>
                <c:pt idx="6948">
                  <c:v>6</c:v>
                </c:pt>
                <c:pt idx="6949">
                  <c:v>6</c:v>
                </c:pt>
                <c:pt idx="6950">
                  <c:v>6</c:v>
                </c:pt>
                <c:pt idx="6951">
                  <c:v>6</c:v>
                </c:pt>
                <c:pt idx="6952">
                  <c:v>6</c:v>
                </c:pt>
                <c:pt idx="6953">
                  <c:v>6</c:v>
                </c:pt>
                <c:pt idx="6954">
                  <c:v>6</c:v>
                </c:pt>
                <c:pt idx="6955">
                  <c:v>6</c:v>
                </c:pt>
                <c:pt idx="6956">
                  <c:v>6</c:v>
                </c:pt>
                <c:pt idx="6957">
                  <c:v>6</c:v>
                </c:pt>
                <c:pt idx="6958">
                  <c:v>6</c:v>
                </c:pt>
                <c:pt idx="6959">
                  <c:v>6</c:v>
                </c:pt>
                <c:pt idx="6960">
                  <c:v>6</c:v>
                </c:pt>
                <c:pt idx="6961">
                  <c:v>6</c:v>
                </c:pt>
                <c:pt idx="6962">
                  <c:v>6</c:v>
                </c:pt>
                <c:pt idx="6963">
                  <c:v>6</c:v>
                </c:pt>
                <c:pt idx="6964">
                  <c:v>6</c:v>
                </c:pt>
                <c:pt idx="6965">
                  <c:v>6</c:v>
                </c:pt>
                <c:pt idx="6966">
                  <c:v>6</c:v>
                </c:pt>
                <c:pt idx="6967">
                  <c:v>6</c:v>
                </c:pt>
                <c:pt idx="6968">
                  <c:v>6</c:v>
                </c:pt>
                <c:pt idx="6969">
                  <c:v>6</c:v>
                </c:pt>
                <c:pt idx="6970">
                  <c:v>6</c:v>
                </c:pt>
                <c:pt idx="6971">
                  <c:v>6</c:v>
                </c:pt>
                <c:pt idx="6972">
                  <c:v>6</c:v>
                </c:pt>
                <c:pt idx="6973">
                  <c:v>6</c:v>
                </c:pt>
                <c:pt idx="6974">
                  <c:v>6</c:v>
                </c:pt>
                <c:pt idx="6975">
                  <c:v>6</c:v>
                </c:pt>
                <c:pt idx="6976">
                  <c:v>6</c:v>
                </c:pt>
                <c:pt idx="697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ACE-4DAD-B7A4-910ED02AB0B7}"/>
            </c:ext>
          </c:extLst>
        </c:ser>
        <c:ser>
          <c:idx val="14"/>
          <c:order val="14"/>
          <c:tx>
            <c:strRef>
              <c:f>transpose!$AP$1</c:f>
              <c:strCache>
                <c:ptCount val="1"/>
                <c:pt idx="0">
                  <c:v>B15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transpose!$AP$2:$AP$7653</c:f>
              <c:numCache>
                <c:formatCode>General</c:formatCode>
                <c:ptCount val="7652"/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ACE-4DAD-B7A4-910ED02AB0B7}"/>
            </c:ext>
          </c:extLst>
        </c:ser>
        <c:ser>
          <c:idx val="15"/>
          <c:order val="15"/>
          <c:tx>
            <c:strRef>
              <c:f>transpose!$AR$1</c:f>
              <c:strCache>
                <c:ptCount val="1"/>
                <c:pt idx="0">
                  <c:v>B16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transpose!$AR$2:$AR$7653</c:f>
              <c:numCache>
                <c:formatCode>General</c:formatCode>
                <c:ptCount val="7652"/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5102">
                  <c:v>4</c:v>
                </c:pt>
                <c:pt idx="5103">
                  <c:v>4</c:v>
                </c:pt>
                <c:pt idx="5104">
                  <c:v>4</c:v>
                </c:pt>
                <c:pt idx="5105">
                  <c:v>4</c:v>
                </c:pt>
                <c:pt idx="5106">
                  <c:v>4</c:v>
                </c:pt>
                <c:pt idx="5107">
                  <c:v>4</c:v>
                </c:pt>
                <c:pt idx="5108">
                  <c:v>4</c:v>
                </c:pt>
                <c:pt idx="5109">
                  <c:v>4</c:v>
                </c:pt>
                <c:pt idx="5110">
                  <c:v>4</c:v>
                </c:pt>
                <c:pt idx="5111">
                  <c:v>4</c:v>
                </c:pt>
                <c:pt idx="5112">
                  <c:v>4</c:v>
                </c:pt>
                <c:pt idx="5113">
                  <c:v>4</c:v>
                </c:pt>
                <c:pt idx="5114">
                  <c:v>4</c:v>
                </c:pt>
                <c:pt idx="5115">
                  <c:v>4</c:v>
                </c:pt>
                <c:pt idx="5116">
                  <c:v>4</c:v>
                </c:pt>
                <c:pt idx="5117">
                  <c:v>4</c:v>
                </c:pt>
                <c:pt idx="5118">
                  <c:v>4</c:v>
                </c:pt>
                <c:pt idx="5119">
                  <c:v>4</c:v>
                </c:pt>
                <c:pt idx="5120">
                  <c:v>4</c:v>
                </c:pt>
                <c:pt idx="5121">
                  <c:v>4</c:v>
                </c:pt>
                <c:pt idx="5122">
                  <c:v>4</c:v>
                </c:pt>
                <c:pt idx="5123">
                  <c:v>4</c:v>
                </c:pt>
                <c:pt idx="5124">
                  <c:v>4</c:v>
                </c:pt>
                <c:pt idx="5125">
                  <c:v>4</c:v>
                </c:pt>
                <c:pt idx="5126">
                  <c:v>4</c:v>
                </c:pt>
                <c:pt idx="5127">
                  <c:v>4</c:v>
                </c:pt>
                <c:pt idx="5128">
                  <c:v>4</c:v>
                </c:pt>
                <c:pt idx="5129">
                  <c:v>4</c:v>
                </c:pt>
                <c:pt idx="5130">
                  <c:v>4</c:v>
                </c:pt>
                <c:pt idx="5131">
                  <c:v>4</c:v>
                </c:pt>
                <c:pt idx="5132">
                  <c:v>4</c:v>
                </c:pt>
                <c:pt idx="5133">
                  <c:v>4</c:v>
                </c:pt>
                <c:pt idx="5134">
                  <c:v>4</c:v>
                </c:pt>
                <c:pt idx="5135">
                  <c:v>4</c:v>
                </c:pt>
                <c:pt idx="5136">
                  <c:v>4</c:v>
                </c:pt>
                <c:pt idx="5137">
                  <c:v>4</c:v>
                </c:pt>
                <c:pt idx="5138">
                  <c:v>4</c:v>
                </c:pt>
                <c:pt idx="5139">
                  <c:v>4</c:v>
                </c:pt>
                <c:pt idx="5140">
                  <c:v>4</c:v>
                </c:pt>
                <c:pt idx="6901">
                  <c:v>5</c:v>
                </c:pt>
                <c:pt idx="6902">
                  <c:v>5</c:v>
                </c:pt>
                <c:pt idx="6903">
                  <c:v>5</c:v>
                </c:pt>
                <c:pt idx="6904">
                  <c:v>5</c:v>
                </c:pt>
                <c:pt idx="6905">
                  <c:v>5</c:v>
                </c:pt>
                <c:pt idx="6906">
                  <c:v>5</c:v>
                </c:pt>
                <c:pt idx="6907">
                  <c:v>5</c:v>
                </c:pt>
                <c:pt idx="6908">
                  <c:v>5</c:v>
                </c:pt>
                <c:pt idx="690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ACE-4DAD-B7A4-910ED02AB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89343"/>
        <c:axId val="813189759"/>
      </c:scatterChart>
      <c:valAx>
        <c:axId val="813189343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759"/>
        <c:crosses val="autoZero"/>
        <c:crossBetween val="midCat"/>
      </c:valAx>
      <c:valAx>
        <c:axId val="813189759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3189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624752488317445E-2"/>
          <c:y val="0.77673520098009563"/>
          <c:w val="0.79779450590067846"/>
          <c:h val="0.223264799019904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hu-HU"/>
              <a:t>1_76_LE_MALE</a:t>
            </a:r>
            <a:endParaRPr lang="en-GB"/>
          </a:p>
        </c:rich>
      </c:tx>
      <c:layout>
        <c:manualLayout>
          <c:xMode val="edge"/>
          <c:yMode val="edge"/>
          <c:x val="0.26195641597049518"/>
          <c:y val="6.7389312932911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transpose!$F$1</c:f>
              <c:strCache>
                <c:ptCount val="1"/>
                <c:pt idx="0">
                  <c:v>F_fordul1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transpose!$F$2:$F$7653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7-4244-8F41-40AC0B9FE676}"/>
            </c:ext>
          </c:extLst>
        </c:ser>
        <c:ser>
          <c:idx val="1"/>
          <c:order val="1"/>
          <c:tx>
            <c:strRef>
              <c:f>transpose!$G$1</c:f>
              <c:strCache>
                <c:ptCount val="1"/>
                <c:pt idx="0">
                  <c:v>F_fordul2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transpose!$G$2:$G$7653</c:f>
              <c:numCache>
                <c:formatCode>General</c:formatCode>
                <c:ptCount val="7652"/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17-4244-8F41-40AC0B9FE676}"/>
            </c:ext>
          </c:extLst>
        </c:ser>
        <c:ser>
          <c:idx val="2"/>
          <c:order val="2"/>
          <c:tx>
            <c:strRef>
              <c:f>transpose!$H$1</c:f>
              <c:strCache>
                <c:ptCount val="1"/>
                <c:pt idx="0">
                  <c:v>F_fordul3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transpose!$H$2:$H$7653</c:f>
              <c:numCache>
                <c:formatCode>General</c:formatCode>
                <c:ptCount val="7652"/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17-4244-8F41-40AC0B9FE676}"/>
            </c:ext>
          </c:extLst>
        </c:ser>
        <c:ser>
          <c:idx val="3"/>
          <c:order val="3"/>
          <c:tx>
            <c:strRef>
              <c:f>transpose!$I$1</c:f>
              <c:strCache>
                <c:ptCount val="1"/>
                <c:pt idx="0">
                  <c:v>F_fordul4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transpose!$I$2:$I$7653</c:f>
              <c:numCache>
                <c:formatCode>General</c:formatCode>
                <c:ptCount val="76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17-4244-8F41-40AC0B9FE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456927"/>
        <c:axId val="770458591"/>
      </c:scatterChart>
      <c:valAx>
        <c:axId val="770456927"/>
        <c:scaling>
          <c:orientation val="minMax"/>
          <c:max val="7600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458591"/>
        <c:crosses val="autoZero"/>
        <c:crossBetween val="midCat"/>
        <c:majorUnit val="1000"/>
      </c:valAx>
      <c:valAx>
        <c:axId val="770458591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456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21167</xdr:colOff>
      <xdr:row>15</xdr:row>
      <xdr:rowOff>50927</xdr:rowOff>
    </xdr:from>
    <xdr:to>
      <xdr:col>8</xdr:col>
      <xdr:colOff>20340</xdr:colOff>
      <xdr:row>26</xdr:row>
      <xdr:rowOff>115401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9E52688-140D-16BE-6A4B-CDEB2BC06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7477</xdr:colOff>
      <xdr:row>15</xdr:row>
      <xdr:rowOff>15426</xdr:rowOff>
    </xdr:from>
    <xdr:to>
      <xdr:col>12</xdr:col>
      <xdr:colOff>10438</xdr:colOff>
      <xdr:row>26</xdr:row>
      <xdr:rowOff>62631</xdr:rowOff>
    </xdr:to>
    <xdr:graphicFrame macro="">
      <xdr:nvGraphicFramePr>
        <xdr:cNvPr id="3" name="Diagra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78967</xdr:colOff>
      <xdr:row>0</xdr:row>
      <xdr:rowOff>31176</xdr:rowOff>
    </xdr:from>
    <xdr:to>
      <xdr:col>3</xdr:col>
      <xdr:colOff>285895</xdr:colOff>
      <xdr:row>13</xdr:row>
      <xdr:rowOff>140259</xdr:rowOff>
    </xdr:to>
    <xdr:graphicFrame macro="">
      <xdr:nvGraphicFramePr>
        <xdr:cNvPr id="4" name="Diagram 3"/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600495</xdr:colOff>
      <xdr:row>26</xdr:row>
      <xdr:rowOff>69737</xdr:rowOff>
    </xdr:from>
    <xdr:to>
      <xdr:col>11</xdr:col>
      <xdr:colOff>582084</xdr:colOff>
      <xdr:row>40</xdr:row>
      <xdr:rowOff>52338</xdr:rowOff>
    </xdr:to>
    <xdr:graphicFrame macro="">
      <xdr:nvGraphicFramePr>
        <xdr:cNvPr id="5" name="Diagra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29750</xdr:colOff>
      <xdr:row>0</xdr:row>
      <xdr:rowOff>0</xdr:rowOff>
    </xdr:from>
    <xdr:to>
      <xdr:col>8</xdr:col>
      <xdr:colOff>20877</xdr:colOff>
      <xdr:row>14</xdr:row>
      <xdr:rowOff>164282</xdr:rowOff>
    </xdr:to>
    <xdr:graphicFrame macro="">
      <xdr:nvGraphicFramePr>
        <xdr:cNvPr id="6" name="Diagra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600560</xdr:colOff>
      <xdr:row>26</xdr:row>
      <xdr:rowOff>137914</xdr:rowOff>
    </xdr:from>
    <xdr:to>
      <xdr:col>7</xdr:col>
      <xdr:colOff>602962</xdr:colOff>
      <xdr:row>40</xdr:row>
      <xdr:rowOff>84233</xdr:rowOff>
    </xdr:to>
    <xdr:graphicFrame macro="">
      <xdr:nvGraphicFramePr>
        <xdr:cNvPr id="7" name="Diagra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7491</xdr:colOff>
      <xdr:row>0</xdr:row>
      <xdr:rowOff>10438</xdr:rowOff>
    </xdr:from>
    <xdr:to>
      <xdr:col>15</xdr:col>
      <xdr:colOff>563671</xdr:colOff>
      <xdr:row>15</xdr:row>
      <xdr:rowOff>10438</xdr:rowOff>
    </xdr:to>
    <xdr:graphicFrame macro="">
      <xdr:nvGraphicFramePr>
        <xdr:cNvPr id="8" name="Diagra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6888</xdr:colOff>
      <xdr:row>15</xdr:row>
      <xdr:rowOff>9856</xdr:rowOff>
    </xdr:from>
    <xdr:to>
      <xdr:col>15</xdr:col>
      <xdr:colOff>553234</xdr:colOff>
      <xdr:row>26</xdr:row>
      <xdr:rowOff>62631</xdr:rowOff>
    </xdr:to>
    <xdr:graphicFrame macro="">
      <xdr:nvGraphicFramePr>
        <xdr:cNvPr id="9" name="Diagra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34652</xdr:colOff>
      <xdr:row>26</xdr:row>
      <xdr:rowOff>37668</xdr:rowOff>
    </xdr:from>
    <xdr:to>
      <xdr:col>15</xdr:col>
      <xdr:colOff>584983</xdr:colOff>
      <xdr:row>40</xdr:row>
      <xdr:rowOff>41754</xdr:rowOff>
    </xdr:to>
    <xdr:graphicFrame macro="">
      <xdr:nvGraphicFramePr>
        <xdr:cNvPr id="10" name="Diagra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8009</xdr:colOff>
      <xdr:row>0</xdr:row>
      <xdr:rowOff>10438</xdr:rowOff>
    </xdr:from>
    <xdr:to>
      <xdr:col>12</xdr:col>
      <xdr:colOff>10438</xdr:colOff>
      <xdr:row>15</xdr:row>
      <xdr:rowOff>10438</xdr:rowOff>
    </xdr:to>
    <xdr:graphicFrame macro="">
      <xdr:nvGraphicFramePr>
        <xdr:cNvPr id="11" name="Diagram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4</xdr:col>
      <xdr:colOff>52191</xdr:colOff>
      <xdr:row>26</xdr:row>
      <xdr:rowOff>93946</xdr:rowOff>
    </xdr:to>
    <xdr:graphicFrame macro="">
      <xdr:nvGraphicFramePr>
        <xdr:cNvPr id="12" name="Diagram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7653"/>
  <sheetViews>
    <sheetView zoomScale="59" zoomScaleNormal="59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AJ6" sqref="AJ6"/>
    </sheetView>
  </sheetViews>
  <sheetFormatPr defaultColWidth="4.296875" defaultRowHeight="13.8"/>
  <cols>
    <col min="1" max="49" width="4.09765625"/>
  </cols>
  <sheetData>
    <row r="1" spans="1:105" ht="27.6">
      <c r="A1" s="2" t="s">
        <v>7555</v>
      </c>
      <c r="B1" t="s">
        <v>0</v>
      </c>
      <c r="C1" t="s">
        <v>1</v>
      </c>
      <c r="D1" t="s">
        <v>2</v>
      </c>
      <c r="E1" t="s">
        <v>3</v>
      </c>
      <c r="F1" t="s">
        <v>43</v>
      </c>
      <c r="G1" t="s">
        <v>42</v>
      </c>
      <c r="H1" t="s">
        <v>41</v>
      </c>
      <c r="I1" t="s">
        <v>40</v>
      </c>
      <c r="J1" s="1" t="s">
        <v>4</v>
      </c>
      <c r="K1" t="s">
        <v>5</v>
      </c>
      <c r="L1" t="s">
        <v>6</v>
      </c>
      <c r="M1" t="s">
        <v>44</v>
      </c>
      <c r="N1" t="s">
        <v>7</v>
      </c>
      <c r="O1" t="s">
        <v>22</v>
      </c>
      <c r="P1" t="s">
        <v>49</v>
      </c>
      <c r="Q1" t="s">
        <v>23</v>
      </c>
      <c r="R1" t="s">
        <v>8</v>
      </c>
      <c r="S1" t="s">
        <v>24</v>
      </c>
      <c r="T1" t="s">
        <v>9</v>
      </c>
      <c r="U1" t="s">
        <v>25</v>
      </c>
      <c r="V1" t="s">
        <v>10</v>
      </c>
      <c r="W1" t="s">
        <v>26</v>
      </c>
      <c r="X1" t="s">
        <v>11</v>
      </c>
      <c r="Y1" t="s">
        <v>27</v>
      </c>
      <c r="Z1" t="s">
        <v>12</v>
      </c>
      <c r="AA1" t="s">
        <v>28</v>
      </c>
      <c r="AB1" t="s">
        <v>13</v>
      </c>
      <c r="AC1" t="s">
        <v>29</v>
      </c>
      <c r="AD1" t="s">
        <v>14</v>
      </c>
      <c r="AE1" t="s">
        <v>30</v>
      </c>
      <c r="AF1" t="s">
        <v>15</v>
      </c>
      <c r="AG1" t="s">
        <v>31</v>
      </c>
      <c r="AH1" t="s">
        <v>16</v>
      </c>
      <c r="AI1" t="s">
        <v>32</v>
      </c>
      <c r="AJ1" t="s">
        <v>17</v>
      </c>
      <c r="AK1" t="s">
        <v>33</v>
      </c>
      <c r="AL1" t="s">
        <v>18</v>
      </c>
      <c r="AM1" t="s">
        <v>34</v>
      </c>
      <c r="AN1" t="s">
        <v>19</v>
      </c>
      <c r="AO1" t="s">
        <v>35</v>
      </c>
      <c r="AP1" t="s">
        <v>20</v>
      </c>
      <c r="AQ1" t="s">
        <v>36</v>
      </c>
      <c r="AR1" t="s">
        <v>21</v>
      </c>
      <c r="AS1" t="s">
        <v>37</v>
      </c>
      <c r="AT1" t="s">
        <v>38</v>
      </c>
      <c r="AU1" t="s">
        <v>39</v>
      </c>
      <c r="AV1" t="s">
        <v>45</v>
      </c>
      <c r="AW1" t="s">
        <v>7556</v>
      </c>
      <c r="AY1" t="s">
        <v>7525</v>
      </c>
      <c r="AZ1" t="s">
        <v>7525</v>
      </c>
      <c r="BB1" s="2"/>
      <c r="BC1" t="s">
        <v>0</v>
      </c>
      <c r="BD1" t="s">
        <v>1</v>
      </c>
      <c r="BE1" t="s">
        <v>2</v>
      </c>
      <c r="BF1" t="s">
        <v>3</v>
      </c>
      <c r="BG1" t="s">
        <v>43</v>
      </c>
      <c r="BH1" t="s">
        <v>42</v>
      </c>
      <c r="BI1" t="s">
        <v>41</v>
      </c>
      <c r="BJ1" t="s">
        <v>40</v>
      </c>
      <c r="BK1" s="1" t="s">
        <v>4</v>
      </c>
      <c r="BL1" t="s">
        <v>5</v>
      </c>
      <c r="BM1" t="s">
        <v>6</v>
      </c>
      <c r="BN1" t="s">
        <v>44</v>
      </c>
      <c r="BO1" t="s">
        <v>7</v>
      </c>
      <c r="BP1" t="s">
        <v>22</v>
      </c>
      <c r="BQ1" t="s">
        <v>49</v>
      </c>
      <c r="BR1" t="s">
        <v>23</v>
      </c>
      <c r="BS1" t="s">
        <v>8</v>
      </c>
      <c r="BT1" t="s">
        <v>24</v>
      </c>
      <c r="BU1" t="s">
        <v>9</v>
      </c>
      <c r="BV1" t="s">
        <v>25</v>
      </c>
      <c r="BW1" t="s">
        <v>10</v>
      </c>
      <c r="BX1" t="s">
        <v>26</v>
      </c>
      <c r="BY1" t="s">
        <v>11</v>
      </c>
      <c r="BZ1" t="s">
        <v>27</v>
      </c>
      <c r="CA1" t="s">
        <v>12</v>
      </c>
      <c r="CB1" t="s">
        <v>28</v>
      </c>
      <c r="CC1" t="s">
        <v>13</v>
      </c>
      <c r="CD1" t="s">
        <v>29</v>
      </c>
      <c r="CE1" t="s">
        <v>14</v>
      </c>
      <c r="CF1" t="s">
        <v>30</v>
      </c>
      <c r="CG1" t="s">
        <v>15</v>
      </c>
      <c r="CH1" t="s">
        <v>31</v>
      </c>
      <c r="CI1" t="s">
        <v>16</v>
      </c>
      <c r="CJ1" t="s">
        <v>32</v>
      </c>
      <c r="CK1" t="s">
        <v>17</v>
      </c>
      <c r="CL1" t="s">
        <v>33</v>
      </c>
      <c r="CM1" t="s">
        <v>18</v>
      </c>
      <c r="CN1" t="s">
        <v>34</v>
      </c>
      <c r="CO1" t="s">
        <v>19</v>
      </c>
      <c r="CP1" t="s">
        <v>35</v>
      </c>
      <c r="CQ1" t="s">
        <v>20</v>
      </c>
      <c r="CR1" t="s">
        <v>36</v>
      </c>
      <c r="CS1" t="s">
        <v>21</v>
      </c>
      <c r="CT1" t="s">
        <v>37</v>
      </c>
      <c r="CU1" t="s">
        <v>38</v>
      </c>
      <c r="CV1" t="s">
        <v>39</v>
      </c>
      <c r="CW1" t="s">
        <v>45</v>
      </c>
      <c r="CX1" t="s">
        <v>7552</v>
      </c>
    </row>
    <row r="2" spans="1:105" ht="55.2">
      <c r="A2" s="3" t="s">
        <v>50</v>
      </c>
      <c r="BB2" s="3"/>
      <c r="BC2">
        <v>9</v>
      </c>
      <c r="BD2">
        <v>7</v>
      </c>
      <c r="BE2">
        <v>7</v>
      </c>
      <c r="BF2">
        <v>8</v>
      </c>
      <c r="BH2">
        <v>2</v>
      </c>
      <c r="BI2">
        <v>7</v>
      </c>
      <c r="BJ2">
        <v>1</v>
      </c>
      <c r="BK2">
        <v>93</v>
      </c>
      <c r="BL2">
        <v>20</v>
      </c>
      <c r="BM2">
        <v>19</v>
      </c>
      <c r="BN2">
        <v>15</v>
      </c>
      <c r="BO2">
        <v>5</v>
      </c>
      <c r="BP2">
        <v>1</v>
      </c>
      <c r="BQ2">
        <v>4</v>
      </c>
      <c r="BS2">
        <v>2</v>
      </c>
      <c r="BT2">
        <v>1</v>
      </c>
      <c r="BU2">
        <v>4</v>
      </c>
      <c r="BW2">
        <v>4</v>
      </c>
      <c r="BX2">
        <v>1</v>
      </c>
      <c r="BY2">
        <v>4</v>
      </c>
      <c r="CA2">
        <v>5</v>
      </c>
      <c r="CB2">
        <v>1</v>
      </c>
      <c r="CC2">
        <v>6</v>
      </c>
      <c r="CE2">
        <v>3</v>
      </c>
      <c r="CF2">
        <v>1</v>
      </c>
      <c r="CG2">
        <v>3</v>
      </c>
      <c r="CI2">
        <v>4</v>
      </c>
      <c r="CJ2">
        <v>1</v>
      </c>
      <c r="CK2">
        <v>3</v>
      </c>
      <c r="CM2">
        <v>4</v>
      </c>
      <c r="CN2">
        <v>1</v>
      </c>
      <c r="CO2">
        <v>2</v>
      </c>
      <c r="CQ2">
        <v>7</v>
      </c>
      <c r="CR2">
        <v>1</v>
      </c>
      <c r="CS2">
        <v>5</v>
      </c>
      <c r="CU2">
        <v>22</v>
      </c>
      <c r="CV2">
        <v>6</v>
      </c>
      <c r="CW2">
        <v>7</v>
      </c>
      <c r="CX2">
        <v>17</v>
      </c>
      <c r="CZ2" t="s">
        <v>7553</v>
      </c>
      <c r="DA2" t="s">
        <v>7554</v>
      </c>
    </row>
    <row r="3" spans="1:105" ht="55.2">
      <c r="A3" s="3" t="s">
        <v>50</v>
      </c>
      <c r="B3">
        <v>1</v>
      </c>
      <c r="J3">
        <v>1</v>
      </c>
      <c r="AY3">
        <f t="shared" ref="AY3:AY32" si="0">COUNTBLANK(F3:AW3)</f>
        <v>43</v>
      </c>
      <c r="AZ3">
        <f t="shared" ref="AZ3:AZ32" si="1">COUNTBLANK(B3:E3)</f>
        <v>3</v>
      </c>
    </row>
    <row r="4" spans="1:105" ht="55.2">
      <c r="A4" s="3" t="s">
        <v>51</v>
      </c>
      <c r="B4">
        <v>1</v>
      </c>
      <c r="J4">
        <v>1</v>
      </c>
      <c r="AY4">
        <f t="shared" si="0"/>
        <v>43</v>
      </c>
      <c r="AZ4">
        <f t="shared" si="1"/>
        <v>3</v>
      </c>
    </row>
    <row r="5" spans="1:105" ht="55.2">
      <c r="A5" s="3" t="s">
        <v>52</v>
      </c>
      <c r="B5">
        <v>1</v>
      </c>
      <c r="J5">
        <v>1</v>
      </c>
      <c r="AY5">
        <f t="shared" si="0"/>
        <v>43</v>
      </c>
      <c r="AZ5">
        <f t="shared" si="1"/>
        <v>3</v>
      </c>
    </row>
    <row r="6" spans="1:105" ht="55.2">
      <c r="A6" s="3" t="s">
        <v>53</v>
      </c>
      <c r="B6">
        <v>1</v>
      </c>
      <c r="J6">
        <v>1</v>
      </c>
      <c r="AY6">
        <f t="shared" si="0"/>
        <v>43</v>
      </c>
      <c r="AZ6">
        <f t="shared" si="1"/>
        <v>3</v>
      </c>
    </row>
    <row r="7" spans="1:105" ht="55.2">
      <c r="A7" s="3" t="s">
        <v>46</v>
      </c>
      <c r="B7">
        <v>1</v>
      </c>
      <c r="J7">
        <v>1</v>
      </c>
      <c r="AY7">
        <f t="shared" si="0"/>
        <v>43</v>
      </c>
      <c r="AZ7">
        <f t="shared" si="1"/>
        <v>3</v>
      </c>
    </row>
    <row r="8" spans="1:105" ht="55.2">
      <c r="A8" s="3" t="s">
        <v>54</v>
      </c>
      <c r="B8">
        <v>1</v>
      </c>
      <c r="J8">
        <v>1</v>
      </c>
      <c r="AY8">
        <f t="shared" si="0"/>
        <v>43</v>
      </c>
      <c r="AZ8">
        <f t="shared" si="1"/>
        <v>3</v>
      </c>
    </row>
    <row r="9" spans="1:105" ht="55.2">
      <c r="A9" s="3" t="s">
        <v>55</v>
      </c>
      <c r="B9">
        <v>1</v>
      </c>
      <c r="J9">
        <v>1</v>
      </c>
      <c r="AY9">
        <f t="shared" si="0"/>
        <v>43</v>
      </c>
      <c r="AZ9">
        <f t="shared" si="1"/>
        <v>3</v>
      </c>
    </row>
    <row r="10" spans="1:105" ht="55.2">
      <c r="A10" s="3" t="s">
        <v>56</v>
      </c>
      <c r="B10">
        <v>1</v>
      </c>
      <c r="J10">
        <v>1</v>
      </c>
      <c r="AY10">
        <f t="shared" si="0"/>
        <v>43</v>
      </c>
      <c r="AZ10">
        <f t="shared" si="1"/>
        <v>3</v>
      </c>
    </row>
    <row r="11" spans="1:105" ht="55.2">
      <c r="A11" s="3" t="s">
        <v>57</v>
      </c>
      <c r="B11">
        <v>1</v>
      </c>
      <c r="J11">
        <v>1</v>
      </c>
      <c r="AY11">
        <f t="shared" si="0"/>
        <v>43</v>
      </c>
      <c r="AZ11">
        <f t="shared" si="1"/>
        <v>3</v>
      </c>
    </row>
    <row r="12" spans="1:105" ht="55.2">
      <c r="A12" s="3" t="s">
        <v>47</v>
      </c>
      <c r="B12">
        <v>1</v>
      </c>
      <c r="J12">
        <v>1</v>
      </c>
      <c r="AY12">
        <f t="shared" si="0"/>
        <v>43</v>
      </c>
      <c r="AZ12">
        <f t="shared" si="1"/>
        <v>3</v>
      </c>
    </row>
    <row r="13" spans="1:105" ht="55.2">
      <c r="A13" s="3" t="s">
        <v>58</v>
      </c>
      <c r="B13">
        <v>1</v>
      </c>
      <c r="J13">
        <v>1</v>
      </c>
      <c r="AY13">
        <f t="shared" si="0"/>
        <v>43</v>
      </c>
      <c r="AZ13">
        <f t="shared" si="1"/>
        <v>3</v>
      </c>
    </row>
    <row r="14" spans="1:105" ht="55.2">
      <c r="A14" s="3" t="s">
        <v>59</v>
      </c>
      <c r="B14">
        <v>1</v>
      </c>
      <c r="J14">
        <v>1</v>
      </c>
      <c r="AY14">
        <f t="shared" si="0"/>
        <v>43</v>
      </c>
      <c r="AZ14">
        <f t="shared" si="1"/>
        <v>3</v>
      </c>
    </row>
    <row r="15" spans="1:105" ht="55.2">
      <c r="A15" s="3" t="s">
        <v>60</v>
      </c>
      <c r="B15">
        <v>1</v>
      </c>
      <c r="J15">
        <v>1</v>
      </c>
      <c r="AY15">
        <f t="shared" si="0"/>
        <v>43</v>
      </c>
      <c r="AZ15">
        <f t="shared" si="1"/>
        <v>3</v>
      </c>
    </row>
    <row r="16" spans="1:105" ht="55.2">
      <c r="A16" s="3" t="s">
        <v>61</v>
      </c>
      <c r="B16">
        <v>1</v>
      </c>
      <c r="J16">
        <v>1</v>
      </c>
      <c r="AY16">
        <f t="shared" si="0"/>
        <v>43</v>
      </c>
      <c r="AZ16">
        <f t="shared" si="1"/>
        <v>3</v>
      </c>
    </row>
    <row r="17" spans="1:52" ht="55.2">
      <c r="A17" s="3" t="s">
        <v>62</v>
      </c>
      <c r="B17">
        <v>1</v>
      </c>
      <c r="J17">
        <v>1</v>
      </c>
      <c r="AY17">
        <f t="shared" si="0"/>
        <v>43</v>
      </c>
      <c r="AZ17">
        <f t="shared" si="1"/>
        <v>3</v>
      </c>
    </row>
    <row r="18" spans="1:52" ht="55.2">
      <c r="A18" s="3" t="s">
        <v>63</v>
      </c>
      <c r="B18">
        <v>1</v>
      </c>
      <c r="J18">
        <v>1</v>
      </c>
      <c r="AY18">
        <f t="shared" si="0"/>
        <v>43</v>
      </c>
      <c r="AZ18">
        <f t="shared" si="1"/>
        <v>3</v>
      </c>
    </row>
    <row r="19" spans="1:52" ht="55.2">
      <c r="A19" s="3" t="s">
        <v>64</v>
      </c>
      <c r="B19">
        <v>1</v>
      </c>
      <c r="J19">
        <v>1</v>
      </c>
      <c r="AY19">
        <f t="shared" si="0"/>
        <v>43</v>
      </c>
      <c r="AZ19">
        <f t="shared" si="1"/>
        <v>3</v>
      </c>
    </row>
    <row r="20" spans="1:52" ht="55.2">
      <c r="A20" s="3" t="s">
        <v>65</v>
      </c>
      <c r="B20">
        <v>1</v>
      </c>
      <c r="J20">
        <v>1</v>
      </c>
      <c r="AY20">
        <f t="shared" si="0"/>
        <v>43</v>
      </c>
      <c r="AZ20">
        <f t="shared" si="1"/>
        <v>3</v>
      </c>
    </row>
    <row r="21" spans="1:52" ht="55.2">
      <c r="A21" s="3" t="s">
        <v>66</v>
      </c>
      <c r="B21">
        <v>1</v>
      </c>
      <c r="J21">
        <v>1</v>
      </c>
      <c r="AY21">
        <f t="shared" si="0"/>
        <v>43</v>
      </c>
      <c r="AZ21">
        <f t="shared" si="1"/>
        <v>3</v>
      </c>
    </row>
    <row r="22" spans="1:52" ht="55.2">
      <c r="A22" s="3" t="s">
        <v>67</v>
      </c>
      <c r="B22">
        <v>1</v>
      </c>
      <c r="J22">
        <v>1</v>
      </c>
      <c r="AY22">
        <f t="shared" si="0"/>
        <v>43</v>
      </c>
      <c r="AZ22">
        <f t="shared" si="1"/>
        <v>3</v>
      </c>
    </row>
    <row r="23" spans="1:52" ht="55.2">
      <c r="A23" s="3" t="s">
        <v>68</v>
      </c>
      <c r="B23">
        <v>1</v>
      </c>
      <c r="J23">
        <v>1</v>
      </c>
      <c r="AY23">
        <f t="shared" si="0"/>
        <v>43</v>
      </c>
      <c r="AZ23">
        <f t="shared" si="1"/>
        <v>3</v>
      </c>
    </row>
    <row r="24" spans="1:52" ht="55.2">
      <c r="A24" s="3" t="s">
        <v>69</v>
      </c>
      <c r="B24">
        <v>1</v>
      </c>
      <c r="J24">
        <v>1</v>
      </c>
      <c r="AY24">
        <f t="shared" si="0"/>
        <v>43</v>
      </c>
      <c r="AZ24">
        <f t="shared" si="1"/>
        <v>3</v>
      </c>
    </row>
    <row r="25" spans="1:52" ht="55.2">
      <c r="A25" s="3" t="s">
        <v>70</v>
      </c>
      <c r="B25">
        <v>1</v>
      </c>
      <c r="J25">
        <v>1</v>
      </c>
      <c r="AY25">
        <f t="shared" si="0"/>
        <v>43</v>
      </c>
      <c r="AZ25">
        <f t="shared" si="1"/>
        <v>3</v>
      </c>
    </row>
    <row r="26" spans="1:52" ht="55.2">
      <c r="A26" s="3" t="s">
        <v>71</v>
      </c>
      <c r="B26">
        <v>1</v>
      </c>
      <c r="J26">
        <v>1</v>
      </c>
      <c r="AY26">
        <f t="shared" si="0"/>
        <v>43</v>
      </c>
      <c r="AZ26">
        <f t="shared" si="1"/>
        <v>3</v>
      </c>
    </row>
    <row r="27" spans="1:52" ht="55.2">
      <c r="A27" s="3" t="s">
        <v>72</v>
      </c>
      <c r="B27">
        <v>1</v>
      </c>
      <c r="J27">
        <v>1</v>
      </c>
      <c r="AY27">
        <f t="shared" si="0"/>
        <v>43</v>
      </c>
      <c r="AZ27">
        <f t="shared" si="1"/>
        <v>3</v>
      </c>
    </row>
    <row r="28" spans="1:52" ht="55.2">
      <c r="A28" s="3" t="s">
        <v>73</v>
      </c>
      <c r="B28">
        <v>1</v>
      </c>
      <c r="J28">
        <v>1</v>
      </c>
      <c r="AY28">
        <f t="shared" si="0"/>
        <v>43</v>
      </c>
      <c r="AZ28">
        <f t="shared" si="1"/>
        <v>3</v>
      </c>
    </row>
    <row r="29" spans="1:52" ht="55.2">
      <c r="A29" s="3" t="s">
        <v>74</v>
      </c>
      <c r="B29">
        <v>1</v>
      </c>
      <c r="J29">
        <v>1</v>
      </c>
      <c r="AY29">
        <f t="shared" si="0"/>
        <v>43</v>
      </c>
      <c r="AZ29">
        <f t="shared" si="1"/>
        <v>3</v>
      </c>
    </row>
    <row r="30" spans="1:52" ht="55.2">
      <c r="A30" s="3" t="s">
        <v>75</v>
      </c>
      <c r="B30">
        <v>1</v>
      </c>
      <c r="J30">
        <v>1</v>
      </c>
      <c r="AY30">
        <f t="shared" si="0"/>
        <v>43</v>
      </c>
      <c r="AZ30">
        <f t="shared" si="1"/>
        <v>3</v>
      </c>
    </row>
    <row r="31" spans="1:52" ht="55.2">
      <c r="A31" s="3" t="s">
        <v>76</v>
      </c>
      <c r="B31">
        <v>1</v>
      </c>
      <c r="J31">
        <v>1</v>
      </c>
      <c r="AY31">
        <f t="shared" si="0"/>
        <v>43</v>
      </c>
      <c r="AZ31">
        <f t="shared" si="1"/>
        <v>3</v>
      </c>
    </row>
    <row r="32" spans="1:52" ht="55.2">
      <c r="A32" s="3" t="s">
        <v>77</v>
      </c>
      <c r="B32">
        <v>1</v>
      </c>
      <c r="J32">
        <v>1</v>
      </c>
      <c r="AY32">
        <f t="shared" si="0"/>
        <v>43</v>
      </c>
      <c r="AZ32">
        <f t="shared" si="1"/>
        <v>3</v>
      </c>
    </row>
    <row r="33" spans="1:52" ht="55.2">
      <c r="A33" s="3" t="s">
        <v>78</v>
      </c>
      <c r="B33">
        <v>1</v>
      </c>
      <c r="J33">
        <v>1</v>
      </c>
      <c r="AY33">
        <f t="shared" ref="AY33:AY96" si="2">COUNTBLANK(F33:AW33)</f>
        <v>43</v>
      </c>
      <c r="AZ33">
        <f t="shared" ref="AZ33:AZ96" si="3">COUNTBLANK(B33:E33)</f>
        <v>3</v>
      </c>
    </row>
    <row r="34" spans="1:52" ht="55.2">
      <c r="A34" s="3" t="s">
        <v>79</v>
      </c>
      <c r="B34">
        <v>1</v>
      </c>
      <c r="J34">
        <v>1</v>
      </c>
      <c r="AY34">
        <f t="shared" si="2"/>
        <v>43</v>
      </c>
      <c r="AZ34">
        <f t="shared" si="3"/>
        <v>3</v>
      </c>
    </row>
    <row r="35" spans="1:52" ht="55.2">
      <c r="A35" s="3" t="s">
        <v>80</v>
      </c>
      <c r="B35">
        <v>1</v>
      </c>
      <c r="J35">
        <v>1</v>
      </c>
      <c r="AY35">
        <f t="shared" si="2"/>
        <v>43</v>
      </c>
      <c r="AZ35">
        <f t="shared" si="3"/>
        <v>3</v>
      </c>
    </row>
    <row r="36" spans="1:52" ht="55.2">
      <c r="A36" s="3" t="s">
        <v>81</v>
      </c>
      <c r="B36">
        <v>1</v>
      </c>
      <c r="J36">
        <v>1</v>
      </c>
      <c r="AY36">
        <f t="shared" si="2"/>
        <v>43</v>
      </c>
      <c r="AZ36">
        <f t="shared" si="3"/>
        <v>3</v>
      </c>
    </row>
    <row r="37" spans="1:52" ht="55.2">
      <c r="A37" s="3" t="s">
        <v>82</v>
      </c>
      <c r="B37">
        <v>1</v>
      </c>
      <c r="J37">
        <v>1</v>
      </c>
      <c r="AY37">
        <f t="shared" si="2"/>
        <v>43</v>
      </c>
      <c r="AZ37">
        <f t="shared" si="3"/>
        <v>3</v>
      </c>
    </row>
    <row r="38" spans="1:52" ht="55.2">
      <c r="A38" s="3" t="s">
        <v>83</v>
      </c>
      <c r="B38">
        <v>1</v>
      </c>
      <c r="J38">
        <v>1</v>
      </c>
      <c r="AY38">
        <f t="shared" si="2"/>
        <v>43</v>
      </c>
      <c r="AZ38">
        <f t="shared" si="3"/>
        <v>3</v>
      </c>
    </row>
    <row r="39" spans="1:52" ht="55.2">
      <c r="A39" s="3" t="s">
        <v>84</v>
      </c>
      <c r="B39">
        <v>1</v>
      </c>
      <c r="J39">
        <v>1</v>
      </c>
      <c r="AY39">
        <f t="shared" si="2"/>
        <v>43</v>
      </c>
      <c r="AZ39">
        <f t="shared" si="3"/>
        <v>3</v>
      </c>
    </row>
    <row r="40" spans="1:52" ht="55.2">
      <c r="A40" s="3" t="s">
        <v>85</v>
      </c>
      <c r="B40">
        <v>1</v>
      </c>
      <c r="J40">
        <v>1</v>
      </c>
      <c r="AY40">
        <f t="shared" si="2"/>
        <v>43</v>
      </c>
      <c r="AZ40">
        <f t="shared" si="3"/>
        <v>3</v>
      </c>
    </row>
    <row r="41" spans="1:52" ht="55.2">
      <c r="A41" s="3" t="s">
        <v>86</v>
      </c>
      <c r="B41">
        <v>1</v>
      </c>
      <c r="J41">
        <v>1</v>
      </c>
      <c r="AY41">
        <f t="shared" si="2"/>
        <v>43</v>
      </c>
      <c r="AZ41">
        <f t="shared" si="3"/>
        <v>3</v>
      </c>
    </row>
    <row r="42" spans="1:52" ht="55.2">
      <c r="A42" s="3" t="s">
        <v>87</v>
      </c>
      <c r="B42">
        <v>1</v>
      </c>
      <c r="J42">
        <v>1</v>
      </c>
      <c r="AY42">
        <f t="shared" si="2"/>
        <v>43</v>
      </c>
      <c r="AZ42">
        <f t="shared" si="3"/>
        <v>3</v>
      </c>
    </row>
    <row r="43" spans="1:52" ht="55.2">
      <c r="A43" s="3" t="s">
        <v>88</v>
      </c>
      <c r="B43">
        <v>1</v>
      </c>
      <c r="J43">
        <v>1</v>
      </c>
      <c r="AY43">
        <f t="shared" si="2"/>
        <v>43</v>
      </c>
      <c r="AZ43">
        <f t="shared" si="3"/>
        <v>3</v>
      </c>
    </row>
    <row r="44" spans="1:52" ht="55.2">
      <c r="A44" s="3" t="s">
        <v>89</v>
      </c>
      <c r="B44">
        <v>1</v>
      </c>
      <c r="J44">
        <v>1</v>
      </c>
      <c r="AY44">
        <f t="shared" si="2"/>
        <v>43</v>
      </c>
      <c r="AZ44">
        <f t="shared" si="3"/>
        <v>3</v>
      </c>
    </row>
    <row r="45" spans="1:52" ht="55.2">
      <c r="A45" s="3" t="s">
        <v>90</v>
      </c>
      <c r="B45">
        <v>1</v>
      </c>
      <c r="J45">
        <v>1</v>
      </c>
      <c r="AY45">
        <f t="shared" si="2"/>
        <v>43</v>
      </c>
      <c r="AZ45">
        <f t="shared" si="3"/>
        <v>3</v>
      </c>
    </row>
    <row r="46" spans="1:52" ht="55.2">
      <c r="A46" s="3" t="s">
        <v>91</v>
      </c>
      <c r="B46">
        <v>1</v>
      </c>
      <c r="J46">
        <v>1</v>
      </c>
      <c r="AY46">
        <f t="shared" si="2"/>
        <v>43</v>
      </c>
      <c r="AZ46">
        <f t="shared" si="3"/>
        <v>3</v>
      </c>
    </row>
    <row r="47" spans="1:52" ht="55.2">
      <c r="A47" s="3" t="s">
        <v>92</v>
      </c>
      <c r="B47">
        <v>1</v>
      </c>
      <c r="J47">
        <v>1</v>
      </c>
      <c r="AY47">
        <f t="shared" si="2"/>
        <v>43</v>
      </c>
      <c r="AZ47">
        <f t="shared" si="3"/>
        <v>3</v>
      </c>
    </row>
    <row r="48" spans="1:52" ht="55.2">
      <c r="A48" s="3" t="s">
        <v>93</v>
      </c>
      <c r="B48">
        <v>1</v>
      </c>
      <c r="J48">
        <v>1</v>
      </c>
      <c r="AY48">
        <f t="shared" si="2"/>
        <v>43</v>
      </c>
      <c r="AZ48">
        <f t="shared" si="3"/>
        <v>3</v>
      </c>
    </row>
    <row r="49" spans="1:52" ht="55.2">
      <c r="A49" s="3" t="s">
        <v>94</v>
      </c>
      <c r="B49">
        <v>1</v>
      </c>
      <c r="J49">
        <v>1</v>
      </c>
      <c r="AY49">
        <f t="shared" si="2"/>
        <v>43</v>
      </c>
      <c r="AZ49">
        <f t="shared" si="3"/>
        <v>3</v>
      </c>
    </row>
    <row r="50" spans="1:52" ht="55.2">
      <c r="A50" s="3" t="s">
        <v>95</v>
      </c>
      <c r="B50">
        <v>1</v>
      </c>
      <c r="J50">
        <v>1</v>
      </c>
      <c r="AY50">
        <f t="shared" si="2"/>
        <v>43</v>
      </c>
      <c r="AZ50">
        <f t="shared" si="3"/>
        <v>3</v>
      </c>
    </row>
    <row r="51" spans="1:52" ht="55.2">
      <c r="A51" s="3" t="s">
        <v>96</v>
      </c>
      <c r="B51">
        <v>1</v>
      </c>
      <c r="J51">
        <v>1</v>
      </c>
      <c r="AY51">
        <f t="shared" si="2"/>
        <v>43</v>
      </c>
      <c r="AZ51">
        <f t="shared" si="3"/>
        <v>3</v>
      </c>
    </row>
    <row r="52" spans="1:52" ht="55.2">
      <c r="A52" s="3" t="s">
        <v>97</v>
      </c>
      <c r="B52">
        <v>1</v>
      </c>
      <c r="J52">
        <v>1</v>
      </c>
      <c r="AY52">
        <f t="shared" si="2"/>
        <v>43</v>
      </c>
      <c r="AZ52">
        <f t="shared" si="3"/>
        <v>3</v>
      </c>
    </row>
    <row r="53" spans="1:52" ht="55.2">
      <c r="A53" s="3" t="s">
        <v>98</v>
      </c>
      <c r="B53">
        <v>1</v>
      </c>
      <c r="J53">
        <v>1</v>
      </c>
      <c r="AY53">
        <f t="shared" si="2"/>
        <v>43</v>
      </c>
      <c r="AZ53">
        <f t="shared" si="3"/>
        <v>3</v>
      </c>
    </row>
    <row r="54" spans="1:52" ht="55.2">
      <c r="A54" s="3" t="s">
        <v>99</v>
      </c>
      <c r="B54">
        <v>1</v>
      </c>
      <c r="J54">
        <v>1</v>
      </c>
      <c r="AY54">
        <f t="shared" si="2"/>
        <v>43</v>
      </c>
      <c r="AZ54">
        <f t="shared" si="3"/>
        <v>3</v>
      </c>
    </row>
    <row r="55" spans="1:52" ht="55.2">
      <c r="A55" s="3" t="s">
        <v>100</v>
      </c>
      <c r="B55">
        <v>1</v>
      </c>
      <c r="J55">
        <v>1</v>
      </c>
      <c r="AY55">
        <f t="shared" si="2"/>
        <v>43</v>
      </c>
      <c r="AZ55">
        <f t="shared" si="3"/>
        <v>3</v>
      </c>
    </row>
    <row r="56" spans="1:52" ht="55.2">
      <c r="A56" s="3" t="s">
        <v>101</v>
      </c>
      <c r="B56">
        <v>1</v>
      </c>
      <c r="L56">
        <v>1</v>
      </c>
      <c r="AY56">
        <f t="shared" si="2"/>
        <v>43</v>
      </c>
      <c r="AZ56">
        <f t="shared" si="3"/>
        <v>3</v>
      </c>
    </row>
    <row r="57" spans="1:52" ht="55.2">
      <c r="A57" s="3" t="s">
        <v>102</v>
      </c>
      <c r="B57">
        <v>1</v>
      </c>
      <c r="L57">
        <v>1</v>
      </c>
      <c r="AY57">
        <f t="shared" si="2"/>
        <v>43</v>
      </c>
      <c r="AZ57">
        <f t="shared" si="3"/>
        <v>3</v>
      </c>
    </row>
    <row r="58" spans="1:52" ht="55.2">
      <c r="A58" s="3" t="s">
        <v>103</v>
      </c>
      <c r="B58">
        <v>1</v>
      </c>
      <c r="L58">
        <v>1</v>
      </c>
      <c r="AY58">
        <f t="shared" si="2"/>
        <v>43</v>
      </c>
      <c r="AZ58">
        <f t="shared" si="3"/>
        <v>3</v>
      </c>
    </row>
    <row r="59" spans="1:52" ht="55.2">
      <c r="A59" s="3" t="s">
        <v>104</v>
      </c>
      <c r="B59">
        <v>1</v>
      </c>
      <c r="L59">
        <v>1</v>
      </c>
      <c r="AY59">
        <f t="shared" si="2"/>
        <v>43</v>
      </c>
      <c r="AZ59">
        <f t="shared" si="3"/>
        <v>3</v>
      </c>
    </row>
    <row r="60" spans="1:52" ht="55.2">
      <c r="A60" s="3" t="s">
        <v>105</v>
      </c>
      <c r="B60">
        <v>1</v>
      </c>
      <c r="L60">
        <v>1</v>
      </c>
      <c r="AY60">
        <f t="shared" si="2"/>
        <v>43</v>
      </c>
      <c r="AZ60">
        <f t="shared" si="3"/>
        <v>3</v>
      </c>
    </row>
    <row r="61" spans="1:52" ht="55.2">
      <c r="A61" s="3" t="s">
        <v>106</v>
      </c>
      <c r="B61">
        <v>1</v>
      </c>
      <c r="L61">
        <v>1</v>
      </c>
      <c r="AY61">
        <f t="shared" si="2"/>
        <v>43</v>
      </c>
      <c r="AZ61">
        <f t="shared" si="3"/>
        <v>3</v>
      </c>
    </row>
    <row r="62" spans="1:52" ht="55.2">
      <c r="A62" s="3" t="s">
        <v>107</v>
      </c>
      <c r="B62">
        <v>1</v>
      </c>
      <c r="L62">
        <v>1</v>
      </c>
      <c r="AY62">
        <f t="shared" si="2"/>
        <v>43</v>
      </c>
      <c r="AZ62">
        <f t="shared" si="3"/>
        <v>3</v>
      </c>
    </row>
    <row r="63" spans="1:52" ht="55.2">
      <c r="A63" s="3" t="s">
        <v>108</v>
      </c>
      <c r="B63">
        <v>1</v>
      </c>
      <c r="L63">
        <v>1</v>
      </c>
      <c r="AY63">
        <f t="shared" si="2"/>
        <v>43</v>
      </c>
      <c r="AZ63">
        <f t="shared" si="3"/>
        <v>3</v>
      </c>
    </row>
    <row r="64" spans="1:52" ht="55.2">
      <c r="A64" s="3" t="s">
        <v>109</v>
      </c>
      <c r="B64">
        <v>1</v>
      </c>
      <c r="L64">
        <v>1</v>
      </c>
      <c r="AY64">
        <f t="shared" si="2"/>
        <v>43</v>
      </c>
      <c r="AZ64">
        <f t="shared" si="3"/>
        <v>3</v>
      </c>
    </row>
    <row r="65" spans="1:52" ht="55.2">
      <c r="A65" s="3" t="s">
        <v>110</v>
      </c>
      <c r="B65">
        <v>1</v>
      </c>
      <c r="L65">
        <v>1</v>
      </c>
      <c r="AY65">
        <f t="shared" si="2"/>
        <v>43</v>
      </c>
      <c r="AZ65">
        <f t="shared" si="3"/>
        <v>3</v>
      </c>
    </row>
    <row r="66" spans="1:52" ht="55.2">
      <c r="A66" s="3" t="s">
        <v>111</v>
      </c>
      <c r="B66">
        <v>1</v>
      </c>
      <c r="L66">
        <v>1</v>
      </c>
      <c r="AY66">
        <f t="shared" si="2"/>
        <v>43</v>
      </c>
      <c r="AZ66">
        <f t="shared" si="3"/>
        <v>3</v>
      </c>
    </row>
    <row r="67" spans="1:52" ht="55.2">
      <c r="A67" s="3" t="s">
        <v>48</v>
      </c>
      <c r="B67">
        <v>1</v>
      </c>
      <c r="L67">
        <v>1</v>
      </c>
      <c r="AY67">
        <f t="shared" si="2"/>
        <v>43</v>
      </c>
      <c r="AZ67">
        <f t="shared" si="3"/>
        <v>3</v>
      </c>
    </row>
    <row r="68" spans="1:52" ht="55.2">
      <c r="A68" s="3" t="s">
        <v>112</v>
      </c>
      <c r="B68">
        <v>1</v>
      </c>
      <c r="L68">
        <v>1</v>
      </c>
      <c r="AY68">
        <f t="shared" si="2"/>
        <v>43</v>
      </c>
      <c r="AZ68">
        <f t="shared" si="3"/>
        <v>3</v>
      </c>
    </row>
    <row r="69" spans="1:52" ht="55.2">
      <c r="A69" s="3" t="s">
        <v>113</v>
      </c>
      <c r="B69">
        <v>1</v>
      </c>
      <c r="L69">
        <v>1</v>
      </c>
      <c r="AY69">
        <f t="shared" si="2"/>
        <v>43</v>
      </c>
      <c r="AZ69">
        <f t="shared" si="3"/>
        <v>3</v>
      </c>
    </row>
    <row r="70" spans="1:52" ht="55.2">
      <c r="A70" s="3" t="s">
        <v>114</v>
      </c>
      <c r="B70">
        <v>1</v>
      </c>
      <c r="L70">
        <v>1</v>
      </c>
      <c r="AY70">
        <f t="shared" si="2"/>
        <v>43</v>
      </c>
      <c r="AZ70">
        <f t="shared" si="3"/>
        <v>3</v>
      </c>
    </row>
    <row r="71" spans="1:52" ht="55.2">
      <c r="A71" s="3" t="s">
        <v>115</v>
      </c>
      <c r="B71">
        <v>1</v>
      </c>
      <c r="L71">
        <v>1</v>
      </c>
      <c r="AY71">
        <f t="shared" si="2"/>
        <v>43</v>
      </c>
      <c r="AZ71">
        <f t="shared" si="3"/>
        <v>3</v>
      </c>
    </row>
    <row r="72" spans="1:52" ht="55.2">
      <c r="A72" s="3" t="s">
        <v>116</v>
      </c>
      <c r="B72">
        <v>1</v>
      </c>
      <c r="L72">
        <v>1</v>
      </c>
      <c r="AY72">
        <f t="shared" si="2"/>
        <v>43</v>
      </c>
      <c r="AZ72">
        <f t="shared" si="3"/>
        <v>3</v>
      </c>
    </row>
    <row r="73" spans="1:52" ht="55.2">
      <c r="A73" s="3" t="s">
        <v>117</v>
      </c>
      <c r="B73">
        <v>1</v>
      </c>
      <c r="L73">
        <v>1</v>
      </c>
      <c r="AY73">
        <f t="shared" si="2"/>
        <v>43</v>
      </c>
      <c r="AZ73">
        <f t="shared" si="3"/>
        <v>3</v>
      </c>
    </row>
    <row r="74" spans="1:52" ht="55.2">
      <c r="A74" s="3" t="s">
        <v>118</v>
      </c>
      <c r="B74">
        <v>1</v>
      </c>
      <c r="L74">
        <v>1</v>
      </c>
      <c r="AY74">
        <f t="shared" si="2"/>
        <v>43</v>
      </c>
      <c r="AZ74">
        <f t="shared" si="3"/>
        <v>3</v>
      </c>
    </row>
    <row r="75" spans="1:52" ht="55.2">
      <c r="A75" s="3" t="s">
        <v>119</v>
      </c>
      <c r="B75">
        <v>1</v>
      </c>
      <c r="L75">
        <v>1</v>
      </c>
      <c r="AY75">
        <f t="shared" si="2"/>
        <v>43</v>
      </c>
      <c r="AZ75">
        <f t="shared" si="3"/>
        <v>3</v>
      </c>
    </row>
    <row r="76" spans="1:52" ht="55.2">
      <c r="A76" s="3" t="s">
        <v>120</v>
      </c>
      <c r="B76">
        <v>1</v>
      </c>
      <c r="L76">
        <v>1</v>
      </c>
      <c r="AY76">
        <f t="shared" si="2"/>
        <v>43</v>
      </c>
      <c r="AZ76">
        <f t="shared" si="3"/>
        <v>3</v>
      </c>
    </row>
    <row r="77" spans="1:52" ht="55.2">
      <c r="A77" s="3" t="s">
        <v>121</v>
      </c>
      <c r="B77">
        <v>1</v>
      </c>
      <c r="L77">
        <v>1</v>
      </c>
      <c r="AY77">
        <f t="shared" si="2"/>
        <v>43</v>
      </c>
      <c r="AZ77">
        <f t="shared" si="3"/>
        <v>3</v>
      </c>
    </row>
    <row r="78" spans="1:52" ht="55.2">
      <c r="A78" s="3" t="s">
        <v>122</v>
      </c>
      <c r="B78">
        <v>1</v>
      </c>
      <c r="L78">
        <v>1</v>
      </c>
      <c r="AY78">
        <f t="shared" si="2"/>
        <v>43</v>
      </c>
      <c r="AZ78">
        <f t="shared" si="3"/>
        <v>3</v>
      </c>
    </row>
    <row r="79" spans="1:52" ht="55.2">
      <c r="A79" s="3" t="s">
        <v>123</v>
      </c>
      <c r="B79">
        <v>1</v>
      </c>
      <c r="L79">
        <v>1</v>
      </c>
      <c r="AY79">
        <f t="shared" si="2"/>
        <v>43</v>
      </c>
      <c r="AZ79">
        <f t="shared" si="3"/>
        <v>3</v>
      </c>
    </row>
    <row r="80" spans="1:52" ht="55.2">
      <c r="A80" s="3" t="s">
        <v>124</v>
      </c>
      <c r="B80">
        <v>1</v>
      </c>
      <c r="L80">
        <v>1</v>
      </c>
      <c r="AY80">
        <f t="shared" si="2"/>
        <v>43</v>
      </c>
      <c r="AZ80">
        <f t="shared" si="3"/>
        <v>3</v>
      </c>
    </row>
    <row r="81" spans="1:52" ht="55.2">
      <c r="A81" s="3" t="s">
        <v>125</v>
      </c>
      <c r="B81">
        <v>1</v>
      </c>
      <c r="L81">
        <v>1</v>
      </c>
      <c r="AY81">
        <f t="shared" si="2"/>
        <v>43</v>
      </c>
      <c r="AZ81">
        <f t="shared" si="3"/>
        <v>3</v>
      </c>
    </row>
    <row r="82" spans="1:52" ht="55.2">
      <c r="A82" s="3" t="s">
        <v>126</v>
      </c>
      <c r="B82">
        <v>1</v>
      </c>
      <c r="L82">
        <v>1</v>
      </c>
      <c r="AY82">
        <f t="shared" si="2"/>
        <v>43</v>
      </c>
      <c r="AZ82">
        <f t="shared" si="3"/>
        <v>3</v>
      </c>
    </row>
    <row r="83" spans="1:52" ht="55.2">
      <c r="A83" s="3" t="s">
        <v>127</v>
      </c>
      <c r="B83">
        <v>1</v>
      </c>
      <c r="L83">
        <v>1</v>
      </c>
      <c r="AY83">
        <f t="shared" si="2"/>
        <v>43</v>
      </c>
      <c r="AZ83">
        <f t="shared" si="3"/>
        <v>3</v>
      </c>
    </row>
    <row r="84" spans="1:52" ht="55.2">
      <c r="A84" s="3" t="s">
        <v>128</v>
      </c>
      <c r="B84">
        <v>1</v>
      </c>
      <c r="L84">
        <v>1</v>
      </c>
      <c r="AY84">
        <f t="shared" si="2"/>
        <v>43</v>
      </c>
      <c r="AZ84">
        <f t="shared" si="3"/>
        <v>3</v>
      </c>
    </row>
    <row r="85" spans="1:52" ht="55.2">
      <c r="A85" s="3" t="s">
        <v>129</v>
      </c>
      <c r="B85">
        <v>1</v>
      </c>
      <c r="L85">
        <v>1</v>
      </c>
      <c r="AY85">
        <f t="shared" si="2"/>
        <v>43</v>
      </c>
      <c r="AZ85">
        <f t="shared" si="3"/>
        <v>3</v>
      </c>
    </row>
    <row r="86" spans="1:52" ht="55.2">
      <c r="A86" s="3" t="s">
        <v>130</v>
      </c>
      <c r="B86">
        <v>1</v>
      </c>
      <c r="L86">
        <v>1</v>
      </c>
      <c r="AY86">
        <f t="shared" si="2"/>
        <v>43</v>
      </c>
      <c r="AZ86">
        <f t="shared" si="3"/>
        <v>3</v>
      </c>
    </row>
    <row r="87" spans="1:52" ht="55.2">
      <c r="A87" s="3" t="s">
        <v>131</v>
      </c>
      <c r="B87">
        <v>1</v>
      </c>
      <c r="L87">
        <v>1</v>
      </c>
      <c r="AY87">
        <f t="shared" si="2"/>
        <v>43</v>
      </c>
      <c r="AZ87">
        <f t="shared" si="3"/>
        <v>3</v>
      </c>
    </row>
    <row r="88" spans="1:52" ht="55.2">
      <c r="A88" s="3" t="s">
        <v>132</v>
      </c>
      <c r="B88">
        <v>1</v>
      </c>
      <c r="L88">
        <v>1</v>
      </c>
      <c r="AY88">
        <f t="shared" si="2"/>
        <v>43</v>
      </c>
      <c r="AZ88">
        <f t="shared" si="3"/>
        <v>3</v>
      </c>
    </row>
    <row r="89" spans="1:52" ht="55.2">
      <c r="A89" s="3" t="s">
        <v>133</v>
      </c>
      <c r="B89">
        <v>1</v>
      </c>
      <c r="L89">
        <v>1</v>
      </c>
      <c r="AY89">
        <f t="shared" si="2"/>
        <v>43</v>
      </c>
      <c r="AZ89">
        <f t="shared" si="3"/>
        <v>3</v>
      </c>
    </row>
    <row r="90" spans="1:52" ht="55.2">
      <c r="A90" s="3" t="s">
        <v>134</v>
      </c>
      <c r="B90">
        <v>1</v>
      </c>
      <c r="L90">
        <v>1</v>
      </c>
      <c r="AY90">
        <f t="shared" si="2"/>
        <v>43</v>
      </c>
      <c r="AZ90">
        <f t="shared" si="3"/>
        <v>3</v>
      </c>
    </row>
    <row r="91" spans="1:52" ht="55.2">
      <c r="A91" s="3" t="s">
        <v>135</v>
      </c>
      <c r="B91">
        <v>1</v>
      </c>
      <c r="L91">
        <v>1</v>
      </c>
      <c r="AY91">
        <f t="shared" si="2"/>
        <v>43</v>
      </c>
      <c r="AZ91">
        <f t="shared" si="3"/>
        <v>3</v>
      </c>
    </row>
    <row r="92" spans="1:52" ht="55.2">
      <c r="A92" s="3" t="s">
        <v>136</v>
      </c>
      <c r="B92">
        <v>1</v>
      </c>
      <c r="L92">
        <v>1</v>
      </c>
      <c r="AY92">
        <f t="shared" si="2"/>
        <v>43</v>
      </c>
      <c r="AZ92">
        <f t="shared" si="3"/>
        <v>3</v>
      </c>
    </row>
    <row r="93" spans="1:52" ht="55.2">
      <c r="A93" s="3" t="s">
        <v>137</v>
      </c>
      <c r="B93">
        <v>1</v>
      </c>
      <c r="L93">
        <v>1</v>
      </c>
      <c r="AY93">
        <f t="shared" si="2"/>
        <v>43</v>
      </c>
      <c r="AZ93">
        <f t="shared" si="3"/>
        <v>3</v>
      </c>
    </row>
    <row r="94" spans="1:52" ht="55.2">
      <c r="A94" s="3" t="s">
        <v>138</v>
      </c>
      <c r="B94">
        <v>1</v>
      </c>
      <c r="L94">
        <v>1</v>
      </c>
      <c r="AY94">
        <f t="shared" si="2"/>
        <v>43</v>
      </c>
      <c r="AZ94">
        <f t="shared" si="3"/>
        <v>3</v>
      </c>
    </row>
    <row r="95" spans="1:52" ht="55.2">
      <c r="A95" s="3" t="s">
        <v>139</v>
      </c>
      <c r="B95">
        <v>1</v>
      </c>
      <c r="L95">
        <v>1</v>
      </c>
      <c r="AY95">
        <f t="shared" si="2"/>
        <v>43</v>
      </c>
      <c r="AZ95">
        <f t="shared" si="3"/>
        <v>3</v>
      </c>
    </row>
    <row r="96" spans="1:52" ht="55.2">
      <c r="A96" s="3" t="s">
        <v>140</v>
      </c>
      <c r="B96">
        <v>1</v>
      </c>
      <c r="L96">
        <v>1</v>
      </c>
      <c r="AY96">
        <f t="shared" si="2"/>
        <v>43</v>
      </c>
      <c r="AZ96">
        <f t="shared" si="3"/>
        <v>3</v>
      </c>
    </row>
    <row r="97" spans="1:52" ht="55.2">
      <c r="A97" s="3" t="s">
        <v>141</v>
      </c>
      <c r="B97">
        <v>1</v>
      </c>
      <c r="L97">
        <v>1</v>
      </c>
      <c r="AY97">
        <f t="shared" ref="AY97:AY160" si="4">COUNTBLANK(F97:AW97)</f>
        <v>43</v>
      </c>
      <c r="AZ97">
        <f t="shared" ref="AZ97:AZ160" si="5">COUNTBLANK(B97:E97)</f>
        <v>3</v>
      </c>
    </row>
    <row r="98" spans="1:52" ht="55.2">
      <c r="A98" s="3" t="s">
        <v>142</v>
      </c>
      <c r="B98">
        <v>1</v>
      </c>
      <c r="L98">
        <v>1</v>
      </c>
      <c r="AY98">
        <f t="shared" si="4"/>
        <v>43</v>
      </c>
      <c r="AZ98">
        <f t="shared" si="5"/>
        <v>3</v>
      </c>
    </row>
    <row r="99" spans="1:52" ht="55.2">
      <c r="A99" s="3" t="s">
        <v>143</v>
      </c>
      <c r="B99">
        <v>1</v>
      </c>
      <c r="L99">
        <v>1</v>
      </c>
      <c r="AY99">
        <f t="shared" si="4"/>
        <v>43</v>
      </c>
      <c r="AZ99">
        <f t="shared" si="5"/>
        <v>3</v>
      </c>
    </row>
    <row r="100" spans="1:52" ht="55.2">
      <c r="A100" s="3" t="s">
        <v>144</v>
      </c>
      <c r="B100">
        <v>1</v>
      </c>
      <c r="L100">
        <v>1</v>
      </c>
      <c r="AY100">
        <f t="shared" si="4"/>
        <v>43</v>
      </c>
      <c r="AZ100">
        <f t="shared" si="5"/>
        <v>3</v>
      </c>
    </row>
    <row r="101" spans="1:52" ht="55.2">
      <c r="A101" s="3" t="s">
        <v>145</v>
      </c>
      <c r="B101">
        <v>1</v>
      </c>
      <c r="L101">
        <v>1</v>
      </c>
      <c r="AY101">
        <f t="shared" si="4"/>
        <v>43</v>
      </c>
      <c r="AZ101">
        <f t="shared" si="5"/>
        <v>3</v>
      </c>
    </row>
    <row r="102" spans="1:52" ht="55.2">
      <c r="A102" s="3" t="s">
        <v>146</v>
      </c>
      <c r="B102">
        <v>1</v>
      </c>
      <c r="L102">
        <v>1</v>
      </c>
      <c r="AY102">
        <f t="shared" si="4"/>
        <v>43</v>
      </c>
      <c r="AZ102">
        <f t="shared" si="5"/>
        <v>3</v>
      </c>
    </row>
    <row r="103" spans="1:52" ht="55.2">
      <c r="A103" s="3" t="s">
        <v>147</v>
      </c>
      <c r="B103">
        <v>1</v>
      </c>
      <c r="L103">
        <v>1</v>
      </c>
      <c r="AY103">
        <f t="shared" si="4"/>
        <v>43</v>
      </c>
      <c r="AZ103">
        <f t="shared" si="5"/>
        <v>3</v>
      </c>
    </row>
    <row r="104" spans="1:52" ht="55.2">
      <c r="A104" s="3" t="s">
        <v>148</v>
      </c>
      <c r="B104">
        <v>1</v>
      </c>
      <c r="L104">
        <v>1</v>
      </c>
      <c r="AY104">
        <f t="shared" si="4"/>
        <v>43</v>
      </c>
      <c r="AZ104">
        <f t="shared" si="5"/>
        <v>3</v>
      </c>
    </row>
    <row r="105" spans="1:52" ht="55.2">
      <c r="A105" s="3" t="s">
        <v>149</v>
      </c>
      <c r="B105">
        <v>1</v>
      </c>
      <c r="L105">
        <v>1</v>
      </c>
      <c r="AY105">
        <f t="shared" si="4"/>
        <v>43</v>
      </c>
      <c r="AZ105">
        <f t="shared" si="5"/>
        <v>3</v>
      </c>
    </row>
    <row r="106" spans="1:52" ht="55.2">
      <c r="A106" s="3" t="s">
        <v>150</v>
      </c>
      <c r="B106">
        <v>1</v>
      </c>
      <c r="L106">
        <v>1</v>
      </c>
      <c r="AY106">
        <f t="shared" si="4"/>
        <v>43</v>
      </c>
      <c r="AZ106">
        <f t="shared" si="5"/>
        <v>3</v>
      </c>
    </row>
    <row r="107" spans="1:52" ht="55.2">
      <c r="A107" s="3" t="s">
        <v>151</v>
      </c>
      <c r="B107">
        <v>1</v>
      </c>
      <c r="L107">
        <v>1</v>
      </c>
      <c r="AY107">
        <f t="shared" si="4"/>
        <v>43</v>
      </c>
      <c r="AZ107">
        <f t="shared" si="5"/>
        <v>3</v>
      </c>
    </row>
    <row r="108" spans="1:52" ht="55.2">
      <c r="A108" s="3" t="s">
        <v>152</v>
      </c>
      <c r="B108">
        <v>1</v>
      </c>
      <c r="L108">
        <v>1</v>
      </c>
      <c r="AY108">
        <f t="shared" si="4"/>
        <v>43</v>
      </c>
      <c r="AZ108">
        <f t="shared" si="5"/>
        <v>3</v>
      </c>
    </row>
    <row r="109" spans="1:52" ht="55.2">
      <c r="A109" s="3" t="s">
        <v>153</v>
      </c>
      <c r="B109">
        <v>1</v>
      </c>
      <c r="L109">
        <v>1</v>
      </c>
      <c r="AY109">
        <f t="shared" si="4"/>
        <v>43</v>
      </c>
      <c r="AZ109">
        <f t="shared" si="5"/>
        <v>3</v>
      </c>
    </row>
    <row r="110" spans="1:52" ht="55.2">
      <c r="A110" s="3" t="s">
        <v>154</v>
      </c>
      <c r="B110">
        <v>1</v>
      </c>
      <c r="L110">
        <v>1</v>
      </c>
      <c r="AY110">
        <f t="shared" si="4"/>
        <v>43</v>
      </c>
      <c r="AZ110">
        <f t="shared" si="5"/>
        <v>3</v>
      </c>
    </row>
    <row r="111" spans="1:52" ht="55.2">
      <c r="A111" s="3" t="s">
        <v>155</v>
      </c>
      <c r="B111">
        <v>1</v>
      </c>
      <c r="L111">
        <v>1</v>
      </c>
      <c r="AY111">
        <f t="shared" si="4"/>
        <v>43</v>
      </c>
      <c r="AZ111">
        <f t="shared" si="5"/>
        <v>3</v>
      </c>
    </row>
    <row r="112" spans="1:52" ht="55.2">
      <c r="A112" s="3" t="s">
        <v>156</v>
      </c>
      <c r="B112">
        <v>1</v>
      </c>
      <c r="L112">
        <v>1</v>
      </c>
      <c r="AY112">
        <f t="shared" si="4"/>
        <v>43</v>
      </c>
      <c r="AZ112">
        <f t="shared" si="5"/>
        <v>3</v>
      </c>
    </row>
    <row r="113" spans="1:52" ht="55.2">
      <c r="A113" s="3" t="s">
        <v>157</v>
      </c>
      <c r="B113">
        <v>1</v>
      </c>
      <c r="L113">
        <v>1</v>
      </c>
      <c r="AY113">
        <f t="shared" si="4"/>
        <v>43</v>
      </c>
      <c r="AZ113">
        <f t="shared" si="5"/>
        <v>3</v>
      </c>
    </row>
    <row r="114" spans="1:52" ht="55.2">
      <c r="A114" s="3" t="s">
        <v>158</v>
      </c>
      <c r="B114">
        <v>1</v>
      </c>
      <c r="L114">
        <v>1</v>
      </c>
      <c r="AY114">
        <f t="shared" si="4"/>
        <v>43</v>
      </c>
      <c r="AZ114">
        <f t="shared" si="5"/>
        <v>3</v>
      </c>
    </row>
    <row r="115" spans="1:52" ht="55.2">
      <c r="A115" s="3" t="s">
        <v>159</v>
      </c>
      <c r="B115">
        <v>1</v>
      </c>
      <c r="J115">
        <v>2</v>
      </c>
      <c r="AY115">
        <f t="shared" si="4"/>
        <v>43</v>
      </c>
      <c r="AZ115">
        <f t="shared" si="5"/>
        <v>3</v>
      </c>
    </row>
    <row r="116" spans="1:52" ht="55.2">
      <c r="A116" s="3" t="s">
        <v>160</v>
      </c>
      <c r="B116">
        <v>1</v>
      </c>
      <c r="J116">
        <v>2</v>
      </c>
      <c r="AY116">
        <f t="shared" si="4"/>
        <v>43</v>
      </c>
      <c r="AZ116">
        <f t="shared" si="5"/>
        <v>3</v>
      </c>
    </row>
    <row r="117" spans="1:52" ht="55.2">
      <c r="A117" s="3" t="s">
        <v>161</v>
      </c>
      <c r="B117">
        <v>1</v>
      </c>
      <c r="J117">
        <v>2</v>
      </c>
      <c r="AY117">
        <f t="shared" si="4"/>
        <v>43</v>
      </c>
      <c r="AZ117">
        <f t="shared" si="5"/>
        <v>3</v>
      </c>
    </row>
    <row r="118" spans="1:52" ht="55.2">
      <c r="A118" s="3" t="s">
        <v>162</v>
      </c>
      <c r="B118">
        <v>1</v>
      </c>
      <c r="J118">
        <v>2</v>
      </c>
      <c r="AY118">
        <f t="shared" si="4"/>
        <v>43</v>
      </c>
      <c r="AZ118">
        <f t="shared" si="5"/>
        <v>3</v>
      </c>
    </row>
    <row r="119" spans="1:52" ht="55.2">
      <c r="A119" s="3" t="s">
        <v>163</v>
      </c>
      <c r="B119">
        <v>1</v>
      </c>
      <c r="J119">
        <v>2</v>
      </c>
      <c r="AY119">
        <f t="shared" si="4"/>
        <v>43</v>
      </c>
      <c r="AZ119">
        <f t="shared" si="5"/>
        <v>3</v>
      </c>
    </row>
    <row r="120" spans="1:52" ht="55.2">
      <c r="A120" s="3" t="s">
        <v>164</v>
      </c>
      <c r="B120">
        <v>1</v>
      </c>
      <c r="J120">
        <v>2</v>
      </c>
      <c r="AY120">
        <f t="shared" si="4"/>
        <v>43</v>
      </c>
      <c r="AZ120">
        <f t="shared" si="5"/>
        <v>3</v>
      </c>
    </row>
    <row r="121" spans="1:52" ht="55.2">
      <c r="A121" s="3" t="s">
        <v>165</v>
      </c>
      <c r="B121">
        <v>1</v>
      </c>
      <c r="J121">
        <v>2</v>
      </c>
      <c r="AY121">
        <f t="shared" si="4"/>
        <v>43</v>
      </c>
      <c r="AZ121">
        <f t="shared" si="5"/>
        <v>3</v>
      </c>
    </row>
    <row r="122" spans="1:52" ht="55.2">
      <c r="A122" s="3" t="s">
        <v>166</v>
      </c>
      <c r="B122">
        <v>1</v>
      </c>
      <c r="J122">
        <v>2</v>
      </c>
      <c r="AY122">
        <f t="shared" si="4"/>
        <v>43</v>
      </c>
      <c r="AZ122">
        <f t="shared" si="5"/>
        <v>3</v>
      </c>
    </row>
    <row r="123" spans="1:52" ht="55.2">
      <c r="A123" s="3" t="s">
        <v>167</v>
      </c>
      <c r="B123">
        <v>1</v>
      </c>
      <c r="J123">
        <v>2</v>
      </c>
      <c r="AY123">
        <f t="shared" si="4"/>
        <v>43</v>
      </c>
      <c r="AZ123">
        <f t="shared" si="5"/>
        <v>3</v>
      </c>
    </row>
    <row r="124" spans="1:52" ht="55.2">
      <c r="A124" s="3" t="s">
        <v>168</v>
      </c>
      <c r="B124">
        <v>1</v>
      </c>
      <c r="J124">
        <v>2</v>
      </c>
      <c r="AY124">
        <f t="shared" si="4"/>
        <v>43</v>
      </c>
      <c r="AZ124">
        <f t="shared" si="5"/>
        <v>3</v>
      </c>
    </row>
    <row r="125" spans="1:52" ht="55.2">
      <c r="A125" s="3" t="s">
        <v>169</v>
      </c>
      <c r="B125">
        <v>1</v>
      </c>
      <c r="J125">
        <v>2</v>
      </c>
      <c r="AY125">
        <f t="shared" si="4"/>
        <v>43</v>
      </c>
      <c r="AZ125">
        <f t="shared" si="5"/>
        <v>3</v>
      </c>
    </row>
    <row r="126" spans="1:52" ht="55.2">
      <c r="A126" s="3" t="s">
        <v>170</v>
      </c>
      <c r="B126">
        <v>1</v>
      </c>
      <c r="J126">
        <v>2</v>
      </c>
      <c r="AY126">
        <f t="shared" si="4"/>
        <v>43</v>
      </c>
      <c r="AZ126">
        <f t="shared" si="5"/>
        <v>3</v>
      </c>
    </row>
    <row r="127" spans="1:52" ht="55.2">
      <c r="A127" s="3" t="s">
        <v>171</v>
      </c>
      <c r="B127">
        <v>1</v>
      </c>
      <c r="J127">
        <v>2</v>
      </c>
      <c r="AY127">
        <f t="shared" si="4"/>
        <v>43</v>
      </c>
      <c r="AZ127">
        <f t="shared" si="5"/>
        <v>3</v>
      </c>
    </row>
    <row r="128" spans="1:52" ht="55.2">
      <c r="A128" s="3" t="s">
        <v>172</v>
      </c>
      <c r="B128">
        <v>1</v>
      </c>
      <c r="J128">
        <v>2</v>
      </c>
      <c r="AY128">
        <f t="shared" si="4"/>
        <v>43</v>
      </c>
      <c r="AZ128">
        <f t="shared" si="5"/>
        <v>3</v>
      </c>
    </row>
    <row r="129" spans="1:52" ht="55.2">
      <c r="A129" s="3" t="s">
        <v>173</v>
      </c>
      <c r="B129">
        <v>1</v>
      </c>
      <c r="J129">
        <v>2</v>
      </c>
      <c r="AY129">
        <f t="shared" si="4"/>
        <v>43</v>
      </c>
      <c r="AZ129">
        <f t="shared" si="5"/>
        <v>3</v>
      </c>
    </row>
    <row r="130" spans="1:52" ht="55.2">
      <c r="A130" s="3" t="s">
        <v>174</v>
      </c>
      <c r="B130">
        <v>1</v>
      </c>
      <c r="J130">
        <v>2</v>
      </c>
      <c r="AY130">
        <f t="shared" si="4"/>
        <v>43</v>
      </c>
      <c r="AZ130">
        <f t="shared" si="5"/>
        <v>3</v>
      </c>
    </row>
    <row r="131" spans="1:52" ht="55.2">
      <c r="A131" s="3" t="s">
        <v>175</v>
      </c>
      <c r="B131">
        <v>1</v>
      </c>
      <c r="J131">
        <v>2</v>
      </c>
      <c r="AY131">
        <f t="shared" si="4"/>
        <v>43</v>
      </c>
      <c r="AZ131">
        <f t="shared" si="5"/>
        <v>3</v>
      </c>
    </row>
    <row r="132" spans="1:52" ht="55.2">
      <c r="A132" s="3" t="s">
        <v>176</v>
      </c>
      <c r="B132">
        <v>1</v>
      </c>
      <c r="J132">
        <v>2</v>
      </c>
      <c r="AY132">
        <f t="shared" si="4"/>
        <v>43</v>
      </c>
      <c r="AZ132">
        <f t="shared" si="5"/>
        <v>3</v>
      </c>
    </row>
    <row r="133" spans="1:52" ht="55.2">
      <c r="A133" s="3" t="s">
        <v>177</v>
      </c>
      <c r="B133">
        <v>1</v>
      </c>
      <c r="J133">
        <v>2</v>
      </c>
      <c r="AY133">
        <f t="shared" si="4"/>
        <v>43</v>
      </c>
      <c r="AZ133">
        <f t="shared" si="5"/>
        <v>3</v>
      </c>
    </row>
    <row r="134" spans="1:52" ht="55.2">
      <c r="A134" s="3" t="s">
        <v>178</v>
      </c>
      <c r="B134">
        <v>1</v>
      </c>
      <c r="J134">
        <v>2</v>
      </c>
      <c r="AY134">
        <f t="shared" si="4"/>
        <v>43</v>
      </c>
      <c r="AZ134">
        <f t="shared" si="5"/>
        <v>3</v>
      </c>
    </row>
    <row r="135" spans="1:52" ht="55.2">
      <c r="A135" s="3" t="s">
        <v>179</v>
      </c>
      <c r="B135">
        <v>1</v>
      </c>
      <c r="J135">
        <v>2</v>
      </c>
      <c r="AY135">
        <f t="shared" si="4"/>
        <v>43</v>
      </c>
      <c r="AZ135">
        <f t="shared" si="5"/>
        <v>3</v>
      </c>
    </row>
    <row r="136" spans="1:52" ht="55.2">
      <c r="A136" s="3" t="s">
        <v>180</v>
      </c>
      <c r="B136">
        <v>1</v>
      </c>
      <c r="J136">
        <v>2</v>
      </c>
      <c r="AY136">
        <f t="shared" si="4"/>
        <v>43</v>
      </c>
      <c r="AZ136">
        <f t="shared" si="5"/>
        <v>3</v>
      </c>
    </row>
    <row r="137" spans="1:52" ht="55.2">
      <c r="A137" s="3" t="s">
        <v>181</v>
      </c>
      <c r="B137">
        <v>1</v>
      </c>
      <c r="J137">
        <v>2</v>
      </c>
      <c r="AY137">
        <f t="shared" si="4"/>
        <v>43</v>
      </c>
      <c r="AZ137">
        <f t="shared" si="5"/>
        <v>3</v>
      </c>
    </row>
    <row r="138" spans="1:52" ht="55.2">
      <c r="A138" s="3" t="s">
        <v>182</v>
      </c>
      <c r="B138">
        <v>1</v>
      </c>
      <c r="J138">
        <v>2</v>
      </c>
      <c r="AY138">
        <f t="shared" si="4"/>
        <v>43</v>
      </c>
      <c r="AZ138">
        <f t="shared" si="5"/>
        <v>3</v>
      </c>
    </row>
    <row r="139" spans="1:52" ht="55.2">
      <c r="A139" s="3" t="s">
        <v>183</v>
      </c>
      <c r="B139">
        <v>1</v>
      </c>
      <c r="J139">
        <v>2</v>
      </c>
      <c r="AY139">
        <f t="shared" si="4"/>
        <v>43</v>
      </c>
      <c r="AZ139">
        <f t="shared" si="5"/>
        <v>3</v>
      </c>
    </row>
    <row r="140" spans="1:52" ht="55.2">
      <c r="A140" s="3" t="s">
        <v>184</v>
      </c>
      <c r="B140">
        <v>1</v>
      </c>
      <c r="J140">
        <v>2</v>
      </c>
      <c r="AY140">
        <f t="shared" si="4"/>
        <v>43</v>
      </c>
      <c r="AZ140">
        <f t="shared" si="5"/>
        <v>3</v>
      </c>
    </row>
    <row r="141" spans="1:52" ht="55.2">
      <c r="A141" s="3" t="s">
        <v>185</v>
      </c>
      <c r="B141">
        <v>1</v>
      </c>
      <c r="J141">
        <v>2</v>
      </c>
      <c r="AY141">
        <f t="shared" si="4"/>
        <v>43</v>
      </c>
      <c r="AZ141">
        <f t="shared" si="5"/>
        <v>3</v>
      </c>
    </row>
    <row r="142" spans="1:52" ht="55.2">
      <c r="A142" s="3" t="s">
        <v>186</v>
      </c>
      <c r="B142">
        <v>1</v>
      </c>
      <c r="J142">
        <v>2</v>
      </c>
      <c r="AY142">
        <f t="shared" si="4"/>
        <v>43</v>
      </c>
      <c r="AZ142">
        <f t="shared" si="5"/>
        <v>3</v>
      </c>
    </row>
    <row r="143" spans="1:52" ht="55.2">
      <c r="A143" s="3" t="s">
        <v>187</v>
      </c>
      <c r="B143">
        <v>1</v>
      </c>
      <c r="J143">
        <v>2</v>
      </c>
      <c r="AY143">
        <f t="shared" si="4"/>
        <v>43</v>
      </c>
      <c r="AZ143">
        <f t="shared" si="5"/>
        <v>3</v>
      </c>
    </row>
    <row r="144" spans="1:52" ht="55.2">
      <c r="A144" s="3" t="s">
        <v>188</v>
      </c>
      <c r="B144">
        <v>1</v>
      </c>
      <c r="J144">
        <v>2</v>
      </c>
      <c r="AY144">
        <f t="shared" si="4"/>
        <v>43</v>
      </c>
      <c r="AZ144">
        <f t="shared" si="5"/>
        <v>3</v>
      </c>
    </row>
    <row r="145" spans="1:52" ht="55.2">
      <c r="A145" s="3" t="s">
        <v>189</v>
      </c>
      <c r="B145">
        <v>1</v>
      </c>
      <c r="J145">
        <v>2</v>
      </c>
      <c r="AY145">
        <f t="shared" si="4"/>
        <v>43</v>
      </c>
      <c r="AZ145">
        <f t="shared" si="5"/>
        <v>3</v>
      </c>
    </row>
    <row r="146" spans="1:52" ht="55.2">
      <c r="A146" s="3" t="s">
        <v>190</v>
      </c>
      <c r="B146">
        <v>1</v>
      </c>
      <c r="J146">
        <v>2</v>
      </c>
      <c r="AY146">
        <f t="shared" si="4"/>
        <v>43</v>
      </c>
      <c r="AZ146">
        <f t="shared" si="5"/>
        <v>3</v>
      </c>
    </row>
    <row r="147" spans="1:52" ht="55.2">
      <c r="A147" s="3" t="s">
        <v>191</v>
      </c>
      <c r="B147">
        <v>1</v>
      </c>
      <c r="J147">
        <v>2</v>
      </c>
      <c r="AY147">
        <f t="shared" si="4"/>
        <v>43</v>
      </c>
      <c r="AZ147">
        <f t="shared" si="5"/>
        <v>3</v>
      </c>
    </row>
    <row r="148" spans="1:52" ht="55.2">
      <c r="A148" s="3" t="s">
        <v>192</v>
      </c>
      <c r="B148">
        <v>1</v>
      </c>
      <c r="J148">
        <v>2</v>
      </c>
      <c r="AY148">
        <f t="shared" si="4"/>
        <v>43</v>
      </c>
      <c r="AZ148">
        <f t="shared" si="5"/>
        <v>3</v>
      </c>
    </row>
    <row r="149" spans="1:52" ht="55.2">
      <c r="A149" s="3" t="s">
        <v>193</v>
      </c>
      <c r="B149">
        <v>1</v>
      </c>
      <c r="J149">
        <v>2</v>
      </c>
      <c r="AY149">
        <f t="shared" si="4"/>
        <v>43</v>
      </c>
      <c r="AZ149">
        <f t="shared" si="5"/>
        <v>3</v>
      </c>
    </row>
    <row r="150" spans="1:52" ht="55.2">
      <c r="A150" s="3" t="s">
        <v>194</v>
      </c>
      <c r="B150">
        <v>1</v>
      </c>
      <c r="J150">
        <v>2</v>
      </c>
      <c r="AY150">
        <f t="shared" si="4"/>
        <v>43</v>
      </c>
      <c r="AZ150">
        <f t="shared" si="5"/>
        <v>3</v>
      </c>
    </row>
    <row r="151" spans="1:52" ht="55.2">
      <c r="A151" s="3" t="s">
        <v>195</v>
      </c>
      <c r="B151">
        <v>1</v>
      </c>
      <c r="J151">
        <v>2</v>
      </c>
      <c r="AY151">
        <f t="shared" si="4"/>
        <v>43</v>
      </c>
      <c r="AZ151">
        <f t="shared" si="5"/>
        <v>3</v>
      </c>
    </row>
    <row r="152" spans="1:52" ht="55.2">
      <c r="A152" s="3" t="s">
        <v>196</v>
      </c>
      <c r="B152">
        <v>1</v>
      </c>
      <c r="J152">
        <v>2</v>
      </c>
      <c r="AY152">
        <f t="shared" si="4"/>
        <v>43</v>
      </c>
      <c r="AZ152">
        <f t="shared" si="5"/>
        <v>3</v>
      </c>
    </row>
    <row r="153" spans="1:52" ht="55.2">
      <c r="A153" s="3" t="s">
        <v>197</v>
      </c>
      <c r="B153">
        <v>1</v>
      </c>
      <c r="J153">
        <v>2</v>
      </c>
      <c r="AY153">
        <f t="shared" si="4"/>
        <v>43</v>
      </c>
      <c r="AZ153">
        <f t="shared" si="5"/>
        <v>3</v>
      </c>
    </row>
    <row r="154" spans="1:52" ht="55.2">
      <c r="A154" s="3" t="s">
        <v>198</v>
      </c>
      <c r="B154">
        <v>1</v>
      </c>
      <c r="J154">
        <v>2</v>
      </c>
      <c r="AY154">
        <f t="shared" si="4"/>
        <v>43</v>
      </c>
      <c r="AZ154">
        <f t="shared" si="5"/>
        <v>3</v>
      </c>
    </row>
    <row r="155" spans="1:52" ht="55.2">
      <c r="A155" s="3" t="s">
        <v>199</v>
      </c>
      <c r="B155">
        <v>1</v>
      </c>
      <c r="J155">
        <v>2</v>
      </c>
      <c r="AY155">
        <f t="shared" si="4"/>
        <v>43</v>
      </c>
      <c r="AZ155">
        <f t="shared" si="5"/>
        <v>3</v>
      </c>
    </row>
    <row r="156" spans="1:52" ht="55.2">
      <c r="A156" s="3" t="s">
        <v>200</v>
      </c>
      <c r="B156">
        <v>1</v>
      </c>
      <c r="J156">
        <v>2</v>
      </c>
      <c r="AY156">
        <f t="shared" si="4"/>
        <v>43</v>
      </c>
      <c r="AZ156">
        <f t="shared" si="5"/>
        <v>3</v>
      </c>
    </row>
    <row r="157" spans="1:52" ht="55.2">
      <c r="A157" s="3" t="s">
        <v>201</v>
      </c>
      <c r="B157">
        <v>1</v>
      </c>
      <c r="J157">
        <v>2</v>
      </c>
      <c r="AY157">
        <f t="shared" si="4"/>
        <v>43</v>
      </c>
      <c r="AZ157">
        <f t="shared" si="5"/>
        <v>3</v>
      </c>
    </row>
    <row r="158" spans="1:52" ht="55.2">
      <c r="A158" s="3" t="s">
        <v>202</v>
      </c>
      <c r="B158">
        <v>1</v>
      </c>
      <c r="J158">
        <v>2</v>
      </c>
      <c r="AY158">
        <f t="shared" si="4"/>
        <v>43</v>
      </c>
      <c r="AZ158">
        <f t="shared" si="5"/>
        <v>3</v>
      </c>
    </row>
    <row r="159" spans="1:52" ht="55.2">
      <c r="A159" s="3" t="s">
        <v>203</v>
      </c>
      <c r="B159">
        <v>1</v>
      </c>
      <c r="J159">
        <v>2</v>
      </c>
      <c r="AY159">
        <f t="shared" si="4"/>
        <v>43</v>
      </c>
      <c r="AZ159">
        <f t="shared" si="5"/>
        <v>3</v>
      </c>
    </row>
    <row r="160" spans="1:52" ht="55.2">
      <c r="A160" s="3" t="s">
        <v>204</v>
      </c>
      <c r="B160">
        <v>1</v>
      </c>
      <c r="J160">
        <v>2</v>
      </c>
      <c r="AY160">
        <f t="shared" si="4"/>
        <v>43</v>
      </c>
      <c r="AZ160">
        <f t="shared" si="5"/>
        <v>3</v>
      </c>
    </row>
    <row r="161" spans="1:52" ht="55.2">
      <c r="A161" s="3" t="s">
        <v>205</v>
      </c>
      <c r="B161">
        <v>1</v>
      </c>
      <c r="J161">
        <v>2</v>
      </c>
      <c r="AY161">
        <f t="shared" ref="AY161:AY224" si="6">COUNTBLANK(F161:AW161)</f>
        <v>43</v>
      </c>
      <c r="AZ161">
        <f t="shared" ref="AZ161:AZ224" si="7">COUNTBLANK(B161:E161)</f>
        <v>3</v>
      </c>
    </row>
    <row r="162" spans="1:52" ht="55.2">
      <c r="A162" s="3" t="s">
        <v>206</v>
      </c>
      <c r="B162">
        <v>1</v>
      </c>
      <c r="J162">
        <v>2</v>
      </c>
      <c r="AY162">
        <f t="shared" si="6"/>
        <v>43</v>
      </c>
      <c r="AZ162">
        <f t="shared" si="7"/>
        <v>3</v>
      </c>
    </row>
    <row r="163" spans="1:52" ht="55.2">
      <c r="A163" s="3" t="s">
        <v>207</v>
      </c>
      <c r="B163">
        <v>1</v>
      </c>
      <c r="J163">
        <v>2</v>
      </c>
      <c r="AY163">
        <f t="shared" si="6"/>
        <v>43</v>
      </c>
      <c r="AZ163">
        <f t="shared" si="7"/>
        <v>3</v>
      </c>
    </row>
    <row r="164" spans="1:52" ht="55.2">
      <c r="A164" s="3" t="s">
        <v>208</v>
      </c>
      <c r="B164">
        <v>1</v>
      </c>
      <c r="J164">
        <v>2</v>
      </c>
      <c r="AY164">
        <f t="shared" si="6"/>
        <v>43</v>
      </c>
      <c r="AZ164">
        <f t="shared" si="7"/>
        <v>3</v>
      </c>
    </row>
    <row r="165" spans="1:52" ht="55.2">
      <c r="A165" s="3" t="s">
        <v>209</v>
      </c>
      <c r="B165">
        <v>1</v>
      </c>
      <c r="J165">
        <v>2</v>
      </c>
      <c r="AY165">
        <f t="shared" si="6"/>
        <v>43</v>
      </c>
      <c r="AZ165">
        <f t="shared" si="7"/>
        <v>3</v>
      </c>
    </row>
    <row r="166" spans="1:52" ht="55.2">
      <c r="A166" s="3" t="s">
        <v>210</v>
      </c>
      <c r="B166">
        <v>1</v>
      </c>
      <c r="J166">
        <v>2</v>
      </c>
      <c r="AY166">
        <f t="shared" si="6"/>
        <v>43</v>
      </c>
      <c r="AZ166">
        <f t="shared" si="7"/>
        <v>3</v>
      </c>
    </row>
    <row r="167" spans="1:52" ht="55.2">
      <c r="A167" s="3" t="s">
        <v>211</v>
      </c>
      <c r="B167">
        <v>1</v>
      </c>
      <c r="J167">
        <v>2</v>
      </c>
      <c r="AY167">
        <f t="shared" si="6"/>
        <v>43</v>
      </c>
      <c r="AZ167">
        <f t="shared" si="7"/>
        <v>3</v>
      </c>
    </row>
    <row r="168" spans="1:52" ht="55.2">
      <c r="A168" s="3" t="s">
        <v>212</v>
      </c>
      <c r="B168">
        <v>1</v>
      </c>
      <c r="J168">
        <v>2</v>
      </c>
      <c r="AY168">
        <f t="shared" si="6"/>
        <v>43</v>
      </c>
      <c r="AZ168">
        <f t="shared" si="7"/>
        <v>3</v>
      </c>
    </row>
    <row r="169" spans="1:52" ht="55.2">
      <c r="A169" s="3" t="s">
        <v>213</v>
      </c>
      <c r="B169">
        <v>1</v>
      </c>
      <c r="J169">
        <v>2</v>
      </c>
      <c r="AY169">
        <f t="shared" si="6"/>
        <v>43</v>
      </c>
      <c r="AZ169">
        <f t="shared" si="7"/>
        <v>3</v>
      </c>
    </row>
    <row r="170" spans="1:52" ht="55.2">
      <c r="A170" s="3" t="s">
        <v>214</v>
      </c>
      <c r="B170">
        <v>1</v>
      </c>
      <c r="J170">
        <v>2</v>
      </c>
      <c r="AY170">
        <f t="shared" si="6"/>
        <v>43</v>
      </c>
      <c r="AZ170">
        <f t="shared" si="7"/>
        <v>3</v>
      </c>
    </row>
    <row r="171" spans="1:52" ht="55.2">
      <c r="A171" s="3" t="s">
        <v>215</v>
      </c>
      <c r="B171">
        <v>1</v>
      </c>
      <c r="J171">
        <v>2</v>
      </c>
      <c r="AY171">
        <f t="shared" si="6"/>
        <v>43</v>
      </c>
      <c r="AZ171">
        <f t="shared" si="7"/>
        <v>3</v>
      </c>
    </row>
    <row r="172" spans="1:52" ht="55.2">
      <c r="A172" s="3" t="s">
        <v>216</v>
      </c>
      <c r="B172">
        <v>1</v>
      </c>
      <c r="J172">
        <v>2</v>
      </c>
      <c r="AY172">
        <f t="shared" si="6"/>
        <v>43</v>
      </c>
      <c r="AZ172">
        <f t="shared" si="7"/>
        <v>3</v>
      </c>
    </row>
    <row r="173" spans="1:52" ht="55.2">
      <c r="A173" s="3" t="s">
        <v>217</v>
      </c>
      <c r="B173">
        <v>1</v>
      </c>
      <c r="J173">
        <v>2</v>
      </c>
      <c r="AY173">
        <f t="shared" si="6"/>
        <v>43</v>
      </c>
      <c r="AZ173">
        <f t="shared" si="7"/>
        <v>3</v>
      </c>
    </row>
    <row r="174" spans="1:52" ht="55.2">
      <c r="A174" s="3" t="s">
        <v>218</v>
      </c>
      <c r="B174">
        <v>1</v>
      </c>
      <c r="J174">
        <v>2</v>
      </c>
      <c r="AY174">
        <f t="shared" si="6"/>
        <v>43</v>
      </c>
      <c r="AZ174">
        <f t="shared" si="7"/>
        <v>3</v>
      </c>
    </row>
    <row r="175" spans="1:52" ht="55.2">
      <c r="A175" s="3" t="s">
        <v>219</v>
      </c>
      <c r="B175">
        <v>1</v>
      </c>
      <c r="J175">
        <v>2</v>
      </c>
      <c r="AY175">
        <f t="shared" si="6"/>
        <v>43</v>
      </c>
      <c r="AZ175">
        <f t="shared" si="7"/>
        <v>3</v>
      </c>
    </row>
    <row r="176" spans="1:52" ht="55.2">
      <c r="A176" s="3" t="s">
        <v>220</v>
      </c>
      <c r="B176">
        <v>1</v>
      </c>
      <c r="J176">
        <v>2</v>
      </c>
      <c r="AY176">
        <f t="shared" si="6"/>
        <v>43</v>
      </c>
      <c r="AZ176">
        <f t="shared" si="7"/>
        <v>3</v>
      </c>
    </row>
    <row r="177" spans="1:52" ht="55.2">
      <c r="A177" s="3" t="s">
        <v>221</v>
      </c>
      <c r="B177">
        <v>1</v>
      </c>
      <c r="J177">
        <v>2</v>
      </c>
      <c r="AY177">
        <f t="shared" si="6"/>
        <v>43</v>
      </c>
      <c r="AZ177">
        <f t="shared" si="7"/>
        <v>3</v>
      </c>
    </row>
    <row r="178" spans="1:52" ht="55.2">
      <c r="A178" s="3" t="s">
        <v>222</v>
      </c>
      <c r="B178">
        <v>1</v>
      </c>
      <c r="J178">
        <v>2</v>
      </c>
      <c r="AY178">
        <f t="shared" si="6"/>
        <v>43</v>
      </c>
      <c r="AZ178">
        <f t="shared" si="7"/>
        <v>3</v>
      </c>
    </row>
    <row r="179" spans="1:52" ht="55.2">
      <c r="A179" s="3" t="s">
        <v>223</v>
      </c>
      <c r="B179">
        <v>1</v>
      </c>
      <c r="J179">
        <v>2</v>
      </c>
      <c r="AY179">
        <f t="shared" si="6"/>
        <v>43</v>
      </c>
      <c r="AZ179">
        <f t="shared" si="7"/>
        <v>3</v>
      </c>
    </row>
    <row r="180" spans="1:52" ht="55.2">
      <c r="A180" s="3" t="s">
        <v>224</v>
      </c>
      <c r="B180">
        <v>1</v>
      </c>
      <c r="J180">
        <v>2</v>
      </c>
      <c r="AY180">
        <f t="shared" si="6"/>
        <v>43</v>
      </c>
      <c r="AZ180">
        <f t="shared" si="7"/>
        <v>3</v>
      </c>
    </row>
    <row r="181" spans="1:52" ht="55.2">
      <c r="A181" s="3" t="s">
        <v>225</v>
      </c>
      <c r="B181">
        <v>1</v>
      </c>
      <c r="J181">
        <v>2</v>
      </c>
      <c r="AY181">
        <f t="shared" si="6"/>
        <v>43</v>
      </c>
      <c r="AZ181">
        <f t="shared" si="7"/>
        <v>3</v>
      </c>
    </row>
    <row r="182" spans="1:52" ht="55.2">
      <c r="A182" s="3" t="s">
        <v>226</v>
      </c>
      <c r="B182">
        <v>1</v>
      </c>
      <c r="J182">
        <v>2</v>
      </c>
      <c r="AY182">
        <f t="shared" si="6"/>
        <v>43</v>
      </c>
      <c r="AZ182">
        <f t="shared" si="7"/>
        <v>3</v>
      </c>
    </row>
    <row r="183" spans="1:52" ht="55.2">
      <c r="A183" s="3" t="s">
        <v>227</v>
      </c>
      <c r="B183">
        <v>1</v>
      </c>
      <c r="J183">
        <v>2</v>
      </c>
      <c r="AY183">
        <f t="shared" si="6"/>
        <v>43</v>
      </c>
      <c r="AZ183">
        <f t="shared" si="7"/>
        <v>3</v>
      </c>
    </row>
    <row r="184" spans="1:52" ht="55.2">
      <c r="A184" s="3" t="s">
        <v>228</v>
      </c>
      <c r="B184">
        <v>1</v>
      </c>
      <c r="J184">
        <v>2</v>
      </c>
      <c r="AY184">
        <f t="shared" si="6"/>
        <v>43</v>
      </c>
      <c r="AZ184">
        <f t="shared" si="7"/>
        <v>3</v>
      </c>
    </row>
    <row r="185" spans="1:52" ht="55.2">
      <c r="A185" s="3" t="s">
        <v>229</v>
      </c>
      <c r="B185">
        <v>1</v>
      </c>
      <c r="J185">
        <v>2</v>
      </c>
      <c r="AY185">
        <f t="shared" si="6"/>
        <v>43</v>
      </c>
      <c r="AZ185">
        <f t="shared" si="7"/>
        <v>3</v>
      </c>
    </row>
    <row r="186" spans="1:52" ht="55.2">
      <c r="A186" s="3" t="s">
        <v>230</v>
      </c>
      <c r="B186">
        <v>1</v>
      </c>
      <c r="J186">
        <v>2</v>
      </c>
      <c r="AY186">
        <f t="shared" si="6"/>
        <v>43</v>
      </c>
      <c r="AZ186">
        <f t="shared" si="7"/>
        <v>3</v>
      </c>
    </row>
    <row r="187" spans="1:52" ht="55.2">
      <c r="A187" s="3" t="s">
        <v>231</v>
      </c>
      <c r="B187">
        <v>1</v>
      </c>
      <c r="J187">
        <v>2</v>
      </c>
      <c r="AY187">
        <f t="shared" si="6"/>
        <v>43</v>
      </c>
      <c r="AZ187">
        <f t="shared" si="7"/>
        <v>3</v>
      </c>
    </row>
    <row r="188" spans="1:52" ht="55.2">
      <c r="A188" s="3" t="s">
        <v>232</v>
      </c>
      <c r="B188">
        <v>1</v>
      </c>
      <c r="J188">
        <v>2</v>
      </c>
      <c r="AY188">
        <f t="shared" si="6"/>
        <v>43</v>
      </c>
      <c r="AZ188">
        <f t="shared" si="7"/>
        <v>3</v>
      </c>
    </row>
    <row r="189" spans="1:52" ht="55.2">
      <c r="A189" s="3" t="s">
        <v>233</v>
      </c>
      <c r="B189">
        <v>1</v>
      </c>
      <c r="AT189">
        <v>1</v>
      </c>
      <c r="AY189">
        <f t="shared" si="6"/>
        <v>43</v>
      </c>
      <c r="AZ189">
        <f t="shared" si="7"/>
        <v>3</v>
      </c>
    </row>
    <row r="190" spans="1:52" ht="55.2">
      <c r="A190" s="3" t="s">
        <v>234</v>
      </c>
      <c r="B190">
        <v>1</v>
      </c>
      <c r="AT190">
        <v>1</v>
      </c>
      <c r="AY190">
        <f t="shared" si="6"/>
        <v>43</v>
      </c>
      <c r="AZ190">
        <f t="shared" si="7"/>
        <v>3</v>
      </c>
    </row>
    <row r="191" spans="1:52" ht="55.2">
      <c r="A191" s="3" t="s">
        <v>235</v>
      </c>
      <c r="B191">
        <v>1</v>
      </c>
      <c r="AT191">
        <v>1</v>
      </c>
      <c r="AY191">
        <f t="shared" si="6"/>
        <v>43</v>
      </c>
      <c r="AZ191">
        <f t="shared" si="7"/>
        <v>3</v>
      </c>
    </row>
    <row r="192" spans="1:52" ht="55.2">
      <c r="A192" s="3" t="s">
        <v>236</v>
      </c>
      <c r="B192">
        <v>1</v>
      </c>
      <c r="AT192">
        <v>1</v>
      </c>
      <c r="AY192">
        <f t="shared" si="6"/>
        <v>43</v>
      </c>
      <c r="AZ192">
        <f t="shared" si="7"/>
        <v>3</v>
      </c>
    </row>
    <row r="193" spans="1:52" ht="55.2">
      <c r="A193" s="3" t="s">
        <v>237</v>
      </c>
      <c r="B193">
        <v>1</v>
      </c>
      <c r="AT193">
        <v>1</v>
      </c>
      <c r="AY193">
        <f t="shared" si="6"/>
        <v>43</v>
      </c>
      <c r="AZ193">
        <f t="shared" si="7"/>
        <v>3</v>
      </c>
    </row>
    <row r="194" spans="1:52" ht="55.2">
      <c r="A194" s="3" t="s">
        <v>238</v>
      </c>
      <c r="B194">
        <v>1</v>
      </c>
      <c r="AT194">
        <v>1</v>
      </c>
      <c r="AY194">
        <f t="shared" si="6"/>
        <v>43</v>
      </c>
      <c r="AZ194">
        <f t="shared" si="7"/>
        <v>3</v>
      </c>
    </row>
    <row r="195" spans="1:52" ht="55.2">
      <c r="A195" s="3" t="s">
        <v>239</v>
      </c>
      <c r="B195">
        <v>1</v>
      </c>
      <c r="AT195">
        <v>1</v>
      </c>
      <c r="AY195">
        <f t="shared" si="6"/>
        <v>43</v>
      </c>
      <c r="AZ195">
        <f t="shared" si="7"/>
        <v>3</v>
      </c>
    </row>
    <row r="196" spans="1:52" ht="55.2">
      <c r="A196" s="3" t="s">
        <v>240</v>
      </c>
      <c r="B196">
        <v>1</v>
      </c>
      <c r="AT196">
        <v>1</v>
      </c>
      <c r="AY196">
        <f t="shared" si="6"/>
        <v>43</v>
      </c>
      <c r="AZ196">
        <f t="shared" si="7"/>
        <v>3</v>
      </c>
    </row>
    <row r="197" spans="1:52" ht="55.2">
      <c r="A197" s="3" t="s">
        <v>241</v>
      </c>
      <c r="B197">
        <v>1</v>
      </c>
      <c r="AT197">
        <v>1</v>
      </c>
      <c r="AY197">
        <f t="shared" si="6"/>
        <v>43</v>
      </c>
      <c r="AZ197">
        <f t="shared" si="7"/>
        <v>3</v>
      </c>
    </row>
    <row r="198" spans="1:52" ht="55.2">
      <c r="A198" s="3" t="s">
        <v>242</v>
      </c>
      <c r="B198">
        <v>1</v>
      </c>
      <c r="AT198">
        <v>1</v>
      </c>
      <c r="AY198">
        <f t="shared" si="6"/>
        <v>43</v>
      </c>
      <c r="AZ198">
        <f t="shared" si="7"/>
        <v>3</v>
      </c>
    </row>
    <row r="199" spans="1:52" ht="55.2">
      <c r="A199" s="3" t="s">
        <v>243</v>
      </c>
      <c r="B199">
        <v>1</v>
      </c>
      <c r="AT199">
        <v>1</v>
      </c>
      <c r="AY199">
        <f t="shared" si="6"/>
        <v>43</v>
      </c>
      <c r="AZ199">
        <f t="shared" si="7"/>
        <v>3</v>
      </c>
    </row>
    <row r="200" spans="1:52" ht="55.2">
      <c r="A200" s="3" t="s">
        <v>244</v>
      </c>
      <c r="B200">
        <v>1</v>
      </c>
      <c r="AT200">
        <v>1</v>
      </c>
      <c r="AY200">
        <f t="shared" si="6"/>
        <v>43</v>
      </c>
      <c r="AZ200">
        <f t="shared" si="7"/>
        <v>3</v>
      </c>
    </row>
    <row r="201" spans="1:52" ht="55.2">
      <c r="A201" s="3" t="s">
        <v>245</v>
      </c>
      <c r="B201">
        <v>1</v>
      </c>
      <c r="AT201">
        <v>1</v>
      </c>
      <c r="AY201">
        <f t="shared" si="6"/>
        <v>43</v>
      </c>
      <c r="AZ201">
        <f t="shared" si="7"/>
        <v>3</v>
      </c>
    </row>
    <row r="202" spans="1:52" ht="55.2">
      <c r="A202" s="3" t="s">
        <v>246</v>
      </c>
      <c r="B202">
        <v>1</v>
      </c>
      <c r="AT202">
        <v>1</v>
      </c>
      <c r="AY202">
        <f t="shared" si="6"/>
        <v>43</v>
      </c>
      <c r="AZ202">
        <f t="shared" si="7"/>
        <v>3</v>
      </c>
    </row>
    <row r="203" spans="1:52" ht="55.2">
      <c r="A203" s="3" t="s">
        <v>247</v>
      </c>
      <c r="B203">
        <v>1</v>
      </c>
      <c r="AT203">
        <v>1</v>
      </c>
      <c r="AY203">
        <f t="shared" si="6"/>
        <v>43</v>
      </c>
      <c r="AZ203">
        <f t="shared" si="7"/>
        <v>3</v>
      </c>
    </row>
    <row r="204" spans="1:52" ht="55.2">
      <c r="A204" s="3" t="s">
        <v>248</v>
      </c>
      <c r="B204">
        <v>1</v>
      </c>
      <c r="AT204">
        <v>1</v>
      </c>
      <c r="AY204">
        <f t="shared" si="6"/>
        <v>43</v>
      </c>
      <c r="AZ204">
        <f t="shared" si="7"/>
        <v>3</v>
      </c>
    </row>
    <row r="205" spans="1:52" ht="55.2">
      <c r="A205" s="3" t="s">
        <v>249</v>
      </c>
      <c r="B205">
        <v>1</v>
      </c>
      <c r="AT205">
        <v>1</v>
      </c>
      <c r="AY205">
        <f t="shared" si="6"/>
        <v>43</v>
      </c>
      <c r="AZ205">
        <f t="shared" si="7"/>
        <v>3</v>
      </c>
    </row>
    <row r="206" spans="1:52" ht="55.2">
      <c r="A206" s="3" t="s">
        <v>250</v>
      </c>
      <c r="B206">
        <v>1</v>
      </c>
      <c r="AT206">
        <v>1</v>
      </c>
      <c r="AY206">
        <f t="shared" si="6"/>
        <v>43</v>
      </c>
      <c r="AZ206">
        <f t="shared" si="7"/>
        <v>3</v>
      </c>
    </row>
    <row r="207" spans="1:52" ht="55.2">
      <c r="A207" s="3" t="s">
        <v>251</v>
      </c>
      <c r="B207">
        <v>1</v>
      </c>
      <c r="AT207">
        <v>1</v>
      </c>
      <c r="AY207">
        <f t="shared" si="6"/>
        <v>43</v>
      </c>
      <c r="AZ207">
        <f t="shared" si="7"/>
        <v>3</v>
      </c>
    </row>
    <row r="208" spans="1:52" ht="55.2">
      <c r="A208" s="3" t="s">
        <v>252</v>
      </c>
      <c r="B208">
        <v>1</v>
      </c>
      <c r="AT208">
        <v>1</v>
      </c>
      <c r="AY208">
        <f t="shared" si="6"/>
        <v>43</v>
      </c>
      <c r="AZ208">
        <f t="shared" si="7"/>
        <v>3</v>
      </c>
    </row>
    <row r="209" spans="1:52" ht="55.2">
      <c r="A209" s="3" t="s">
        <v>253</v>
      </c>
      <c r="B209">
        <v>1</v>
      </c>
      <c r="AT209">
        <v>1</v>
      </c>
      <c r="AY209">
        <f t="shared" si="6"/>
        <v>43</v>
      </c>
      <c r="AZ209">
        <f t="shared" si="7"/>
        <v>3</v>
      </c>
    </row>
    <row r="210" spans="1:52" ht="55.2">
      <c r="A210" s="3" t="s">
        <v>254</v>
      </c>
      <c r="B210">
        <v>1</v>
      </c>
      <c r="AT210">
        <v>1</v>
      </c>
      <c r="AY210">
        <f t="shared" si="6"/>
        <v>43</v>
      </c>
      <c r="AZ210">
        <f t="shared" si="7"/>
        <v>3</v>
      </c>
    </row>
    <row r="211" spans="1:52" ht="55.2">
      <c r="A211" s="3" t="s">
        <v>255</v>
      </c>
      <c r="B211">
        <v>1</v>
      </c>
      <c r="AT211">
        <v>1</v>
      </c>
      <c r="AY211">
        <f t="shared" si="6"/>
        <v>43</v>
      </c>
      <c r="AZ211">
        <f t="shared" si="7"/>
        <v>3</v>
      </c>
    </row>
    <row r="212" spans="1:52" ht="55.2">
      <c r="A212" s="3" t="s">
        <v>256</v>
      </c>
      <c r="B212">
        <v>1</v>
      </c>
      <c r="AT212">
        <v>1</v>
      </c>
      <c r="AY212">
        <f t="shared" si="6"/>
        <v>43</v>
      </c>
      <c r="AZ212">
        <f t="shared" si="7"/>
        <v>3</v>
      </c>
    </row>
    <row r="213" spans="1:52" ht="55.2">
      <c r="A213" s="3" t="s">
        <v>257</v>
      </c>
      <c r="B213">
        <v>1</v>
      </c>
      <c r="AT213">
        <v>1</v>
      </c>
      <c r="AY213">
        <f t="shared" si="6"/>
        <v>43</v>
      </c>
      <c r="AZ213">
        <f t="shared" si="7"/>
        <v>3</v>
      </c>
    </row>
    <row r="214" spans="1:52" ht="55.2">
      <c r="A214" s="3" t="s">
        <v>258</v>
      </c>
      <c r="B214">
        <v>1</v>
      </c>
      <c r="AT214">
        <v>1</v>
      </c>
      <c r="AY214">
        <f t="shared" si="6"/>
        <v>43</v>
      </c>
      <c r="AZ214">
        <f t="shared" si="7"/>
        <v>3</v>
      </c>
    </row>
    <row r="215" spans="1:52" ht="55.2">
      <c r="A215" s="3" t="s">
        <v>259</v>
      </c>
      <c r="B215">
        <v>1</v>
      </c>
      <c r="AT215">
        <v>1</v>
      </c>
      <c r="AY215">
        <f t="shared" si="6"/>
        <v>43</v>
      </c>
      <c r="AZ215">
        <f t="shared" si="7"/>
        <v>3</v>
      </c>
    </row>
    <row r="216" spans="1:52" ht="55.2">
      <c r="A216" s="3" t="s">
        <v>260</v>
      </c>
      <c r="B216">
        <v>1</v>
      </c>
      <c r="AT216">
        <v>1</v>
      </c>
      <c r="AY216">
        <f t="shared" si="6"/>
        <v>43</v>
      </c>
      <c r="AZ216">
        <f t="shared" si="7"/>
        <v>3</v>
      </c>
    </row>
    <row r="217" spans="1:52" ht="55.2">
      <c r="A217" s="3" t="s">
        <v>261</v>
      </c>
      <c r="B217">
        <v>1</v>
      </c>
      <c r="AT217">
        <v>1</v>
      </c>
      <c r="AY217">
        <f t="shared" si="6"/>
        <v>43</v>
      </c>
      <c r="AZ217">
        <f t="shared" si="7"/>
        <v>3</v>
      </c>
    </row>
    <row r="218" spans="1:52" ht="55.2">
      <c r="A218" s="3" t="s">
        <v>262</v>
      </c>
      <c r="B218">
        <v>1</v>
      </c>
      <c r="AT218">
        <v>1</v>
      </c>
      <c r="AY218">
        <f t="shared" si="6"/>
        <v>43</v>
      </c>
      <c r="AZ218">
        <f t="shared" si="7"/>
        <v>3</v>
      </c>
    </row>
    <row r="219" spans="1:52" ht="55.2">
      <c r="A219" s="3" t="s">
        <v>263</v>
      </c>
      <c r="B219">
        <v>1</v>
      </c>
      <c r="AT219">
        <v>1</v>
      </c>
      <c r="AY219">
        <f t="shared" si="6"/>
        <v>43</v>
      </c>
      <c r="AZ219">
        <f t="shared" si="7"/>
        <v>3</v>
      </c>
    </row>
    <row r="220" spans="1:52" ht="55.2">
      <c r="A220" s="3" t="s">
        <v>264</v>
      </c>
      <c r="B220">
        <v>1</v>
      </c>
      <c r="AT220">
        <v>1</v>
      </c>
      <c r="AY220">
        <f t="shared" si="6"/>
        <v>43</v>
      </c>
      <c r="AZ220">
        <f t="shared" si="7"/>
        <v>3</v>
      </c>
    </row>
    <row r="221" spans="1:52" ht="55.2">
      <c r="A221" s="3" t="s">
        <v>265</v>
      </c>
      <c r="B221">
        <v>1</v>
      </c>
      <c r="AT221">
        <v>1</v>
      </c>
      <c r="AY221">
        <f t="shared" si="6"/>
        <v>43</v>
      </c>
      <c r="AZ221">
        <f t="shared" si="7"/>
        <v>3</v>
      </c>
    </row>
    <row r="222" spans="1:52" ht="55.2">
      <c r="A222" s="3" t="s">
        <v>266</v>
      </c>
      <c r="B222">
        <v>1</v>
      </c>
      <c r="AT222">
        <v>1</v>
      </c>
      <c r="AY222">
        <f t="shared" si="6"/>
        <v>43</v>
      </c>
      <c r="AZ222">
        <f t="shared" si="7"/>
        <v>3</v>
      </c>
    </row>
    <row r="223" spans="1:52" ht="55.2">
      <c r="A223" s="3" t="s">
        <v>267</v>
      </c>
      <c r="B223">
        <v>1</v>
      </c>
      <c r="AT223">
        <v>1</v>
      </c>
      <c r="AY223">
        <f t="shared" si="6"/>
        <v>43</v>
      </c>
      <c r="AZ223">
        <f t="shared" si="7"/>
        <v>3</v>
      </c>
    </row>
    <row r="224" spans="1:52" ht="55.2">
      <c r="A224" s="3" t="s">
        <v>268</v>
      </c>
      <c r="B224">
        <v>1</v>
      </c>
      <c r="AT224">
        <v>1</v>
      </c>
      <c r="AY224">
        <f t="shared" si="6"/>
        <v>43</v>
      </c>
      <c r="AZ224">
        <f t="shared" si="7"/>
        <v>3</v>
      </c>
    </row>
    <row r="225" spans="1:52" ht="55.2">
      <c r="A225" s="3" t="s">
        <v>269</v>
      </c>
      <c r="B225">
        <v>1</v>
      </c>
      <c r="AT225">
        <v>1</v>
      </c>
      <c r="AY225">
        <f t="shared" ref="AY225:AY288" si="8">COUNTBLANK(F225:AW225)</f>
        <v>43</v>
      </c>
      <c r="AZ225">
        <f t="shared" ref="AZ225:AZ288" si="9">COUNTBLANK(B225:E225)</f>
        <v>3</v>
      </c>
    </row>
    <row r="226" spans="1:52" ht="55.2">
      <c r="A226" s="3" t="s">
        <v>270</v>
      </c>
      <c r="B226">
        <v>1</v>
      </c>
      <c r="AT226">
        <v>1</v>
      </c>
      <c r="AY226">
        <f t="shared" si="8"/>
        <v>43</v>
      </c>
      <c r="AZ226">
        <f t="shared" si="9"/>
        <v>3</v>
      </c>
    </row>
    <row r="227" spans="1:52" ht="55.2">
      <c r="A227" s="3" t="s">
        <v>271</v>
      </c>
      <c r="B227">
        <v>1</v>
      </c>
      <c r="AT227">
        <v>1</v>
      </c>
      <c r="AY227">
        <f t="shared" si="8"/>
        <v>43</v>
      </c>
      <c r="AZ227">
        <f t="shared" si="9"/>
        <v>3</v>
      </c>
    </row>
    <row r="228" spans="1:52" ht="55.2">
      <c r="A228" s="3" t="s">
        <v>272</v>
      </c>
      <c r="B228">
        <v>1</v>
      </c>
      <c r="AT228">
        <v>1</v>
      </c>
      <c r="AY228">
        <f t="shared" si="8"/>
        <v>43</v>
      </c>
      <c r="AZ228">
        <f t="shared" si="9"/>
        <v>3</v>
      </c>
    </row>
    <row r="229" spans="1:52" ht="55.2">
      <c r="A229" s="3" t="s">
        <v>273</v>
      </c>
      <c r="B229">
        <v>1</v>
      </c>
      <c r="AT229">
        <v>1</v>
      </c>
      <c r="AY229">
        <f t="shared" si="8"/>
        <v>43</v>
      </c>
      <c r="AZ229">
        <f t="shared" si="9"/>
        <v>3</v>
      </c>
    </row>
    <row r="230" spans="1:52" ht="55.2">
      <c r="A230" s="3" t="s">
        <v>274</v>
      </c>
      <c r="B230">
        <v>1</v>
      </c>
      <c r="AT230">
        <v>1</v>
      </c>
      <c r="AY230">
        <f t="shared" si="8"/>
        <v>43</v>
      </c>
      <c r="AZ230">
        <f t="shared" si="9"/>
        <v>3</v>
      </c>
    </row>
    <row r="231" spans="1:52" ht="55.2">
      <c r="A231" s="3" t="s">
        <v>275</v>
      </c>
      <c r="B231">
        <v>1</v>
      </c>
      <c r="AT231">
        <v>1</v>
      </c>
      <c r="AY231">
        <f t="shared" si="8"/>
        <v>43</v>
      </c>
      <c r="AZ231">
        <f t="shared" si="9"/>
        <v>3</v>
      </c>
    </row>
    <row r="232" spans="1:52" ht="55.2">
      <c r="A232" s="3" t="s">
        <v>276</v>
      </c>
      <c r="B232">
        <v>1</v>
      </c>
      <c r="AT232">
        <v>1</v>
      </c>
      <c r="AY232">
        <f t="shared" si="8"/>
        <v>43</v>
      </c>
      <c r="AZ232">
        <f t="shared" si="9"/>
        <v>3</v>
      </c>
    </row>
    <row r="233" spans="1:52" ht="55.2">
      <c r="A233" s="3" t="s">
        <v>277</v>
      </c>
      <c r="B233">
        <v>1</v>
      </c>
      <c r="AT233">
        <v>1</v>
      </c>
      <c r="AY233">
        <f t="shared" si="8"/>
        <v>43</v>
      </c>
      <c r="AZ233">
        <f t="shared" si="9"/>
        <v>3</v>
      </c>
    </row>
    <row r="234" spans="1:52" ht="55.2">
      <c r="A234" s="3" t="s">
        <v>278</v>
      </c>
      <c r="B234">
        <v>1</v>
      </c>
      <c r="AT234">
        <v>1</v>
      </c>
      <c r="AY234">
        <f t="shared" si="8"/>
        <v>43</v>
      </c>
      <c r="AZ234">
        <f t="shared" si="9"/>
        <v>3</v>
      </c>
    </row>
    <row r="235" spans="1:52" ht="55.2">
      <c r="A235" s="3" t="s">
        <v>279</v>
      </c>
      <c r="B235">
        <v>1</v>
      </c>
      <c r="AT235">
        <v>1</v>
      </c>
      <c r="AY235">
        <f t="shared" si="8"/>
        <v>43</v>
      </c>
      <c r="AZ235">
        <f t="shared" si="9"/>
        <v>3</v>
      </c>
    </row>
    <row r="236" spans="1:52" ht="55.2">
      <c r="A236" s="3" t="s">
        <v>280</v>
      </c>
      <c r="B236">
        <v>1</v>
      </c>
      <c r="AT236">
        <v>1</v>
      </c>
      <c r="AY236">
        <f t="shared" si="8"/>
        <v>43</v>
      </c>
      <c r="AZ236">
        <f t="shared" si="9"/>
        <v>3</v>
      </c>
    </row>
    <row r="237" spans="1:52" ht="55.2">
      <c r="A237" s="3" t="s">
        <v>281</v>
      </c>
      <c r="B237">
        <v>1</v>
      </c>
      <c r="AT237">
        <v>1</v>
      </c>
      <c r="AY237">
        <f t="shared" si="8"/>
        <v>43</v>
      </c>
      <c r="AZ237">
        <f t="shared" si="9"/>
        <v>3</v>
      </c>
    </row>
    <row r="238" spans="1:52" ht="55.2">
      <c r="A238" s="3" t="s">
        <v>282</v>
      </c>
      <c r="B238">
        <v>1</v>
      </c>
      <c r="AT238">
        <v>1</v>
      </c>
      <c r="AY238">
        <f t="shared" si="8"/>
        <v>43</v>
      </c>
      <c r="AZ238">
        <f t="shared" si="9"/>
        <v>3</v>
      </c>
    </row>
    <row r="239" spans="1:52" ht="55.2">
      <c r="A239" s="3" t="s">
        <v>283</v>
      </c>
      <c r="B239">
        <v>1</v>
      </c>
      <c r="AT239">
        <v>1</v>
      </c>
      <c r="AY239">
        <f t="shared" si="8"/>
        <v>43</v>
      </c>
      <c r="AZ239">
        <f t="shared" si="9"/>
        <v>3</v>
      </c>
    </row>
    <row r="240" spans="1:52" ht="55.2">
      <c r="A240" s="3" t="s">
        <v>284</v>
      </c>
      <c r="B240">
        <v>1</v>
      </c>
      <c r="AT240">
        <v>1</v>
      </c>
      <c r="AY240">
        <f t="shared" si="8"/>
        <v>43</v>
      </c>
      <c r="AZ240">
        <f t="shared" si="9"/>
        <v>3</v>
      </c>
    </row>
    <row r="241" spans="1:52" ht="55.2">
      <c r="A241" s="3" t="s">
        <v>285</v>
      </c>
      <c r="B241">
        <v>1</v>
      </c>
      <c r="AT241">
        <v>1</v>
      </c>
      <c r="AY241">
        <f t="shared" si="8"/>
        <v>43</v>
      </c>
      <c r="AZ241">
        <f t="shared" si="9"/>
        <v>3</v>
      </c>
    </row>
    <row r="242" spans="1:52" ht="55.2">
      <c r="A242" s="3" t="s">
        <v>286</v>
      </c>
      <c r="B242">
        <v>1</v>
      </c>
      <c r="AT242">
        <v>1</v>
      </c>
      <c r="AY242">
        <f t="shared" si="8"/>
        <v>43</v>
      </c>
      <c r="AZ242">
        <f t="shared" si="9"/>
        <v>3</v>
      </c>
    </row>
    <row r="243" spans="1:52" ht="55.2">
      <c r="A243" s="3" t="s">
        <v>287</v>
      </c>
      <c r="B243">
        <v>1</v>
      </c>
      <c r="AT243">
        <v>1</v>
      </c>
      <c r="AY243">
        <f t="shared" si="8"/>
        <v>43</v>
      </c>
      <c r="AZ243">
        <f t="shared" si="9"/>
        <v>3</v>
      </c>
    </row>
    <row r="244" spans="1:52" ht="55.2">
      <c r="A244" s="3" t="s">
        <v>288</v>
      </c>
      <c r="B244">
        <v>1</v>
      </c>
      <c r="AT244">
        <v>1</v>
      </c>
      <c r="AY244">
        <f t="shared" si="8"/>
        <v>43</v>
      </c>
      <c r="AZ244">
        <f t="shared" si="9"/>
        <v>3</v>
      </c>
    </row>
    <row r="245" spans="1:52" ht="55.2">
      <c r="A245" s="3" t="s">
        <v>289</v>
      </c>
      <c r="B245">
        <v>1</v>
      </c>
      <c r="AT245">
        <v>1</v>
      </c>
      <c r="AY245">
        <f t="shared" si="8"/>
        <v>43</v>
      </c>
      <c r="AZ245">
        <f t="shared" si="9"/>
        <v>3</v>
      </c>
    </row>
    <row r="246" spans="1:52" ht="55.2">
      <c r="A246" s="3" t="s">
        <v>290</v>
      </c>
      <c r="B246">
        <v>1</v>
      </c>
      <c r="AT246">
        <v>1</v>
      </c>
      <c r="AY246">
        <f t="shared" si="8"/>
        <v>43</v>
      </c>
      <c r="AZ246">
        <f t="shared" si="9"/>
        <v>3</v>
      </c>
    </row>
    <row r="247" spans="1:52" ht="55.2">
      <c r="A247" s="3" t="s">
        <v>291</v>
      </c>
      <c r="B247">
        <v>1</v>
      </c>
      <c r="AT247">
        <v>1</v>
      </c>
      <c r="AY247">
        <f t="shared" si="8"/>
        <v>43</v>
      </c>
      <c r="AZ247">
        <f t="shared" si="9"/>
        <v>3</v>
      </c>
    </row>
    <row r="248" spans="1:52" ht="55.2">
      <c r="A248" s="3" t="s">
        <v>292</v>
      </c>
      <c r="B248">
        <v>1</v>
      </c>
      <c r="K248">
        <v>1</v>
      </c>
      <c r="AY248">
        <f t="shared" si="8"/>
        <v>43</v>
      </c>
      <c r="AZ248">
        <f t="shared" si="9"/>
        <v>3</v>
      </c>
    </row>
    <row r="249" spans="1:52" ht="55.2">
      <c r="A249" s="3" t="s">
        <v>293</v>
      </c>
      <c r="B249">
        <v>1</v>
      </c>
      <c r="K249">
        <v>1</v>
      </c>
      <c r="AY249">
        <f t="shared" si="8"/>
        <v>43</v>
      </c>
      <c r="AZ249">
        <f t="shared" si="9"/>
        <v>3</v>
      </c>
    </row>
    <row r="250" spans="1:52" ht="55.2">
      <c r="A250" s="3" t="s">
        <v>294</v>
      </c>
      <c r="B250">
        <v>1</v>
      </c>
      <c r="K250">
        <v>1</v>
      </c>
      <c r="AY250">
        <f t="shared" si="8"/>
        <v>43</v>
      </c>
      <c r="AZ250">
        <f t="shared" si="9"/>
        <v>3</v>
      </c>
    </row>
    <row r="251" spans="1:52" ht="55.2">
      <c r="A251" s="3" t="s">
        <v>295</v>
      </c>
      <c r="B251">
        <v>1</v>
      </c>
      <c r="K251">
        <v>1</v>
      </c>
      <c r="AY251">
        <f t="shared" si="8"/>
        <v>43</v>
      </c>
      <c r="AZ251">
        <f t="shared" si="9"/>
        <v>3</v>
      </c>
    </row>
    <row r="252" spans="1:52" ht="55.2">
      <c r="A252" s="3" t="s">
        <v>296</v>
      </c>
      <c r="B252">
        <v>1</v>
      </c>
      <c r="K252">
        <v>1</v>
      </c>
      <c r="AY252">
        <f t="shared" si="8"/>
        <v>43</v>
      </c>
      <c r="AZ252">
        <f t="shared" si="9"/>
        <v>3</v>
      </c>
    </row>
    <row r="253" spans="1:52" ht="55.2">
      <c r="A253" s="3" t="s">
        <v>297</v>
      </c>
      <c r="B253">
        <v>1</v>
      </c>
      <c r="K253">
        <v>1</v>
      </c>
      <c r="AY253">
        <f t="shared" si="8"/>
        <v>43</v>
      </c>
      <c r="AZ253">
        <f t="shared" si="9"/>
        <v>3</v>
      </c>
    </row>
    <row r="254" spans="1:52" ht="55.2">
      <c r="A254" s="3" t="s">
        <v>298</v>
      </c>
      <c r="B254">
        <v>1</v>
      </c>
      <c r="K254">
        <v>1</v>
      </c>
      <c r="AY254">
        <f t="shared" si="8"/>
        <v>43</v>
      </c>
      <c r="AZ254">
        <f t="shared" si="9"/>
        <v>3</v>
      </c>
    </row>
    <row r="255" spans="1:52" ht="55.2">
      <c r="A255" s="3" t="s">
        <v>299</v>
      </c>
      <c r="B255">
        <v>1</v>
      </c>
      <c r="K255">
        <v>1</v>
      </c>
      <c r="AY255">
        <f t="shared" si="8"/>
        <v>43</v>
      </c>
      <c r="AZ255">
        <f t="shared" si="9"/>
        <v>3</v>
      </c>
    </row>
    <row r="256" spans="1:52" ht="55.2">
      <c r="A256" s="3" t="s">
        <v>300</v>
      </c>
      <c r="B256">
        <v>1</v>
      </c>
      <c r="K256">
        <v>1</v>
      </c>
      <c r="AY256">
        <f t="shared" si="8"/>
        <v>43</v>
      </c>
      <c r="AZ256">
        <f t="shared" si="9"/>
        <v>3</v>
      </c>
    </row>
    <row r="257" spans="1:52" ht="55.2">
      <c r="A257" s="3" t="s">
        <v>301</v>
      </c>
      <c r="B257">
        <v>1</v>
      </c>
      <c r="K257">
        <v>1</v>
      </c>
      <c r="AY257">
        <f t="shared" si="8"/>
        <v>43</v>
      </c>
      <c r="AZ257">
        <f t="shared" si="9"/>
        <v>3</v>
      </c>
    </row>
    <row r="258" spans="1:52" ht="55.2">
      <c r="A258" s="3" t="s">
        <v>302</v>
      </c>
      <c r="B258">
        <v>1</v>
      </c>
      <c r="K258">
        <v>1</v>
      </c>
      <c r="AY258">
        <f t="shared" si="8"/>
        <v>43</v>
      </c>
      <c r="AZ258">
        <f t="shared" si="9"/>
        <v>3</v>
      </c>
    </row>
    <row r="259" spans="1:52" ht="55.2">
      <c r="A259" s="3" t="s">
        <v>303</v>
      </c>
      <c r="B259">
        <v>1</v>
      </c>
      <c r="K259">
        <v>1</v>
      </c>
      <c r="AY259">
        <f t="shared" si="8"/>
        <v>43</v>
      </c>
      <c r="AZ259">
        <f t="shared" si="9"/>
        <v>3</v>
      </c>
    </row>
    <row r="260" spans="1:52" ht="55.2">
      <c r="A260" s="3" t="s">
        <v>304</v>
      </c>
      <c r="B260">
        <v>1</v>
      </c>
      <c r="K260">
        <v>1</v>
      </c>
      <c r="AY260">
        <f t="shared" si="8"/>
        <v>43</v>
      </c>
      <c r="AZ260">
        <f t="shared" si="9"/>
        <v>3</v>
      </c>
    </row>
    <row r="261" spans="1:52" ht="55.2">
      <c r="A261" s="3" t="s">
        <v>305</v>
      </c>
      <c r="B261">
        <v>1</v>
      </c>
      <c r="K261">
        <v>1</v>
      </c>
      <c r="AY261">
        <f t="shared" si="8"/>
        <v>43</v>
      </c>
      <c r="AZ261">
        <f t="shared" si="9"/>
        <v>3</v>
      </c>
    </row>
    <row r="262" spans="1:52" ht="55.2">
      <c r="A262" s="3" t="s">
        <v>306</v>
      </c>
      <c r="B262">
        <v>1</v>
      </c>
      <c r="K262">
        <v>1</v>
      </c>
      <c r="AY262">
        <f t="shared" si="8"/>
        <v>43</v>
      </c>
      <c r="AZ262">
        <f t="shared" si="9"/>
        <v>3</v>
      </c>
    </row>
    <row r="263" spans="1:52" ht="55.2">
      <c r="A263" s="3" t="s">
        <v>307</v>
      </c>
      <c r="B263">
        <v>1</v>
      </c>
      <c r="K263">
        <v>1</v>
      </c>
      <c r="AY263">
        <f t="shared" si="8"/>
        <v>43</v>
      </c>
      <c r="AZ263">
        <f t="shared" si="9"/>
        <v>3</v>
      </c>
    </row>
    <row r="264" spans="1:52" ht="55.2">
      <c r="A264" s="3" t="s">
        <v>308</v>
      </c>
      <c r="B264">
        <v>1</v>
      </c>
      <c r="K264">
        <v>1</v>
      </c>
      <c r="AY264">
        <f t="shared" si="8"/>
        <v>43</v>
      </c>
      <c r="AZ264">
        <f t="shared" si="9"/>
        <v>3</v>
      </c>
    </row>
    <row r="265" spans="1:52" ht="55.2">
      <c r="A265" s="3" t="s">
        <v>309</v>
      </c>
      <c r="B265">
        <v>1</v>
      </c>
      <c r="K265">
        <v>1</v>
      </c>
      <c r="AY265">
        <f t="shared" si="8"/>
        <v>43</v>
      </c>
      <c r="AZ265">
        <f t="shared" si="9"/>
        <v>3</v>
      </c>
    </row>
    <row r="266" spans="1:52" ht="55.2">
      <c r="A266" s="3" t="s">
        <v>310</v>
      </c>
      <c r="B266">
        <v>1</v>
      </c>
      <c r="K266">
        <v>1</v>
      </c>
      <c r="AY266">
        <f t="shared" si="8"/>
        <v>43</v>
      </c>
      <c r="AZ266">
        <f t="shared" si="9"/>
        <v>3</v>
      </c>
    </row>
    <row r="267" spans="1:52" ht="55.2">
      <c r="A267" s="3" t="s">
        <v>311</v>
      </c>
      <c r="B267">
        <v>1</v>
      </c>
      <c r="K267">
        <v>1</v>
      </c>
      <c r="AY267">
        <f t="shared" si="8"/>
        <v>43</v>
      </c>
      <c r="AZ267">
        <f t="shared" si="9"/>
        <v>3</v>
      </c>
    </row>
    <row r="268" spans="1:52" ht="55.2">
      <c r="A268" s="3" t="s">
        <v>312</v>
      </c>
      <c r="B268">
        <v>1</v>
      </c>
      <c r="K268">
        <v>1</v>
      </c>
      <c r="AY268">
        <f t="shared" si="8"/>
        <v>43</v>
      </c>
      <c r="AZ268">
        <f t="shared" si="9"/>
        <v>3</v>
      </c>
    </row>
    <row r="269" spans="1:52" ht="55.2">
      <c r="A269" s="3" t="s">
        <v>313</v>
      </c>
      <c r="B269">
        <v>1</v>
      </c>
      <c r="K269">
        <v>1</v>
      </c>
      <c r="AY269">
        <f t="shared" si="8"/>
        <v>43</v>
      </c>
      <c r="AZ269">
        <f t="shared" si="9"/>
        <v>3</v>
      </c>
    </row>
    <row r="270" spans="1:52" ht="55.2">
      <c r="A270" s="3" t="s">
        <v>314</v>
      </c>
      <c r="B270">
        <v>1</v>
      </c>
      <c r="K270">
        <v>1</v>
      </c>
      <c r="AY270">
        <f t="shared" si="8"/>
        <v>43</v>
      </c>
      <c r="AZ270">
        <f t="shared" si="9"/>
        <v>3</v>
      </c>
    </row>
    <row r="271" spans="1:52" ht="55.2">
      <c r="A271" s="3" t="s">
        <v>315</v>
      </c>
      <c r="B271">
        <v>1</v>
      </c>
      <c r="K271">
        <v>1</v>
      </c>
      <c r="AY271">
        <f t="shared" si="8"/>
        <v>43</v>
      </c>
      <c r="AZ271">
        <f t="shared" si="9"/>
        <v>3</v>
      </c>
    </row>
    <row r="272" spans="1:52" ht="55.2">
      <c r="A272" s="3" t="s">
        <v>316</v>
      </c>
      <c r="B272">
        <v>1</v>
      </c>
      <c r="K272">
        <v>1</v>
      </c>
      <c r="AY272">
        <f t="shared" si="8"/>
        <v>43</v>
      </c>
      <c r="AZ272">
        <f t="shared" si="9"/>
        <v>3</v>
      </c>
    </row>
    <row r="273" spans="1:52" ht="55.2">
      <c r="A273" s="3" t="s">
        <v>317</v>
      </c>
      <c r="B273">
        <v>1</v>
      </c>
      <c r="K273">
        <v>1</v>
      </c>
      <c r="AY273">
        <f t="shared" si="8"/>
        <v>43</v>
      </c>
      <c r="AZ273">
        <f t="shared" si="9"/>
        <v>3</v>
      </c>
    </row>
    <row r="274" spans="1:52" ht="55.2">
      <c r="A274" s="3" t="s">
        <v>318</v>
      </c>
      <c r="B274">
        <v>1</v>
      </c>
      <c r="K274">
        <v>1</v>
      </c>
      <c r="AY274">
        <f t="shared" si="8"/>
        <v>43</v>
      </c>
      <c r="AZ274">
        <f t="shared" si="9"/>
        <v>3</v>
      </c>
    </row>
    <row r="275" spans="1:52" ht="55.2">
      <c r="A275" s="3" t="s">
        <v>319</v>
      </c>
      <c r="B275">
        <v>1</v>
      </c>
      <c r="K275">
        <v>1</v>
      </c>
      <c r="AY275">
        <f t="shared" si="8"/>
        <v>43</v>
      </c>
      <c r="AZ275">
        <f t="shared" si="9"/>
        <v>3</v>
      </c>
    </row>
    <row r="276" spans="1:52" ht="55.2">
      <c r="A276" s="3" t="s">
        <v>320</v>
      </c>
      <c r="B276">
        <v>1</v>
      </c>
      <c r="K276">
        <v>1</v>
      </c>
      <c r="AY276">
        <f t="shared" si="8"/>
        <v>43</v>
      </c>
      <c r="AZ276">
        <f t="shared" si="9"/>
        <v>3</v>
      </c>
    </row>
    <row r="277" spans="1:52" ht="55.2">
      <c r="A277" s="3" t="s">
        <v>321</v>
      </c>
      <c r="B277">
        <v>1</v>
      </c>
      <c r="K277">
        <v>1</v>
      </c>
      <c r="AY277">
        <f t="shared" si="8"/>
        <v>43</v>
      </c>
      <c r="AZ277">
        <f t="shared" si="9"/>
        <v>3</v>
      </c>
    </row>
    <row r="278" spans="1:52" ht="55.2">
      <c r="A278" s="3" t="s">
        <v>322</v>
      </c>
      <c r="B278">
        <v>1</v>
      </c>
      <c r="J278">
        <v>3</v>
      </c>
      <c r="AY278">
        <f t="shared" si="8"/>
        <v>43</v>
      </c>
      <c r="AZ278">
        <f t="shared" si="9"/>
        <v>3</v>
      </c>
    </row>
    <row r="279" spans="1:52" ht="55.2">
      <c r="A279" s="3" t="s">
        <v>323</v>
      </c>
      <c r="B279">
        <v>1</v>
      </c>
      <c r="J279">
        <v>3</v>
      </c>
      <c r="AY279">
        <f t="shared" si="8"/>
        <v>43</v>
      </c>
      <c r="AZ279">
        <f t="shared" si="9"/>
        <v>3</v>
      </c>
    </row>
    <row r="280" spans="1:52" ht="55.2">
      <c r="A280" s="3" t="s">
        <v>324</v>
      </c>
      <c r="B280">
        <v>1</v>
      </c>
      <c r="J280">
        <v>3</v>
      </c>
      <c r="AY280">
        <f t="shared" si="8"/>
        <v>43</v>
      </c>
      <c r="AZ280">
        <f t="shared" si="9"/>
        <v>3</v>
      </c>
    </row>
    <row r="281" spans="1:52" ht="55.2">
      <c r="A281" s="3" t="s">
        <v>325</v>
      </c>
      <c r="B281">
        <v>1</v>
      </c>
      <c r="J281">
        <v>3</v>
      </c>
      <c r="AY281">
        <f t="shared" si="8"/>
        <v>43</v>
      </c>
      <c r="AZ281">
        <f t="shared" si="9"/>
        <v>3</v>
      </c>
    </row>
    <row r="282" spans="1:52" ht="55.2">
      <c r="A282" s="3" t="s">
        <v>326</v>
      </c>
      <c r="B282">
        <v>1</v>
      </c>
      <c r="J282">
        <v>3</v>
      </c>
      <c r="AY282">
        <f t="shared" si="8"/>
        <v>43</v>
      </c>
      <c r="AZ282">
        <f t="shared" si="9"/>
        <v>3</v>
      </c>
    </row>
    <row r="283" spans="1:52" ht="55.2">
      <c r="A283" s="3" t="s">
        <v>327</v>
      </c>
      <c r="B283">
        <v>1</v>
      </c>
      <c r="J283">
        <v>3</v>
      </c>
      <c r="AY283">
        <f t="shared" si="8"/>
        <v>43</v>
      </c>
      <c r="AZ283">
        <f t="shared" si="9"/>
        <v>3</v>
      </c>
    </row>
    <row r="284" spans="1:52" ht="55.2">
      <c r="A284" s="3" t="s">
        <v>328</v>
      </c>
      <c r="B284">
        <v>1</v>
      </c>
      <c r="J284">
        <v>3</v>
      </c>
      <c r="AY284">
        <f t="shared" si="8"/>
        <v>43</v>
      </c>
      <c r="AZ284">
        <f t="shared" si="9"/>
        <v>3</v>
      </c>
    </row>
    <row r="285" spans="1:52" ht="55.2">
      <c r="A285" s="3" t="s">
        <v>329</v>
      </c>
      <c r="B285">
        <v>1</v>
      </c>
      <c r="J285">
        <v>3</v>
      </c>
      <c r="AY285">
        <f t="shared" si="8"/>
        <v>43</v>
      </c>
      <c r="AZ285">
        <f t="shared" si="9"/>
        <v>3</v>
      </c>
    </row>
    <row r="286" spans="1:52" ht="55.2">
      <c r="A286" s="3" t="s">
        <v>330</v>
      </c>
      <c r="B286">
        <v>1</v>
      </c>
      <c r="J286">
        <v>3</v>
      </c>
      <c r="AY286">
        <f t="shared" si="8"/>
        <v>43</v>
      </c>
      <c r="AZ286">
        <f t="shared" si="9"/>
        <v>3</v>
      </c>
    </row>
    <row r="287" spans="1:52" ht="55.2">
      <c r="A287" s="3" t="s">
        <v>331</v>
      </c>
      <c r="B287">
        <v>1</v>
      </c>
      <c r="J287">
        <v>3</v>
      </c>
      <c r="AY287">
        <f t="shared" si="8"/>
        <v>43</v>
      </c>
      <c r="AZ287">
        <f t="shared" si="9"/>
        <v>3</v>
      </c>
    </row>
    <row r="288" spans="1:52" ht="55.2">
      <c r="A288" s="3" t="s">
        <v>332</v>
      </c>
      <c r="B288">
        <v>1</v>
      </c>
      <c r="J288">
        <v>3</v>
      </c>
      <c r="AY288">
        <f t="shared" si="8"/>
        <v>43</v>
      </c>
      <c r="AZ288">
        <f t="shared" si="9"/>
        <v>3</v>
      </c>
    </row>
    <row r="289" spans="1:52" ht="55.2">
      <c r="A289" s="3" t="s">
        <v>333</v>
      </c>
      <c r="B289">
        <v>1</v>
      </c>
      <c r="J289">
        <v>3</v>
      </c>
      <c r="AY289">
        <f t="shared" ref="AY289:AY352" si="10">COUNTBLANK(F289:AW289)</f>
        <v>43</v>
      </c>
      <c r="AZ289">
        <f t="shared" ref="AZ289:AZ352" si="11">COUNTBLANK(B289:E289)</f>
        <v>3</v>
      </c>
    </row>
    <row r="290" spans="1:52" ht="55.2">
      <c r="A290" s="3" t="s">
        <v>334</v>
      </c>
      <c r="B290">
        <v>1</v>
      </c>
      <c r="J290">
        <v>3</v>
      </c>
      <c r="AY290">
        <f t="shared" si="10"/>
        <v>43</v>
      </c>
      <c r="AZ290">
        <f t="shared" si="11"/>
        <v>3</v>
      </c>
    </row>
    <row r="291" spans="1:52" ht="55.2">
      <c r="A291" s="3" t="s">
        <v>335</v>
      </c>
      <c r="B291">
        <v>1</v>
      </c>
      <c r="J291">
        <v>3</v>
      </c>
      <c r="AY291">
        <f t="shared" si="10"/>
        <v>43</v>
      </c>
      <c r="AZ291">
        <f t="shared" si="11"/>
        <v>3</v>
      </c>
    </row>
    <row r="292" spans="1:52" ht="55.2">
      <c r="A292" s="3" t="s">
        <v>336</v>
      </c>
      <c r="B292">
        <v>1</v>
      </c>
      <c r="J292">
        <v>3</v>
      </c>
      <c r="AY292">
        <f t="shared" si="10"/>
        <v>43</v>
      </c>
      <c r="AZ292">
        <f t="shared" si="11"/>
        <v>3</v>
      </c>
    </row>
    <row r="293" spans="1:52" ht="55.2">
      <c r="A293" s="3" t="s">
        <v>337</v>
      </c>
      <c r="B293">
        <v>1</v>
      </c>
      <c r="J293">
        <v>3</v>
      </c>
      <c r="AY293">
        <f t="shared" si="10"/>
        <v>43</v>
      </c>
      <c r="AZ293">
        <f t="shared" si="11"/>
        <v>3</v>
      </c>
    </row>
    <row r="294" spans="1:52" ht="55.2">
      <c r="A294" s="3" t="s">
        <v>338</v>
      </c>
      <c r="B294">
        <v>1</v>
      </c>
      <c r="J294">
        <v>3</v>
      </c>
      <c r="AY294">
        <f t="shared" si="10"/>
        <v>43</v>
      </c>
      <c r="AZ294">
        <f t="shared" si="11"/>
        <v>3</v>
      </c>
    </row>
    <row r="295" spans="1:52" ht="55.2">
      <c r="A295" s="3" t="s">
        <v>339</v>
      </c>
      <c r="B295">
        <v>1</v>
      </c>
      <c r="J295">
        <v>3</v>
      </c>
      <c r="AY295">
        <f t="shared" si="10"/>
        <v>43</v>
      </c>
      <c r="AZ295">
        <f t="shared" si="11"/>
        <v>3</v>
      </c>
    </row>
    <row r="296" spans="1:52" ht="55.2">
      <c r="A296" s="3" t="s">
        <v>340</v>
      </c>
      <c r="B296">
        <v>1</v>
      </c>
      <c r="J296">
        <v>3</v>
      </c>
      <c r="AY296">
        <f t="shared" si="10"/>
        <v>43</v>
      </c>
      <c r="AZ296">
        <f t="shared" si="11"/>
        <v>3</v>
      </c>
    </row>
    <row r="297" spans="1:52" ht="55.2">
      <c r="A297" s="3" t="s">
        <v>341</v>
      </c>
      <c r="B297">
        <v>1</v>
      </c>
      <c r="J297">
        <v>3</v>
      </c>
      <c r="AY297">
        <f t="shared" si="10"/>
        <v>43</v>
      </c>
      <c r="AZ297">
        <f t="shared" si="11"/>
        <v>3</v>
      </c>
    </row>
    <row r="298" spans="1:52" ht="55.2">
      <c r="A298" s="3" t="s">
        <v>342</v>
      </c>
      <c r="B298">
        <v>1</v>
      </c>
      <c r="J298">
        <v>3</v>
      </c>
      <c r="AY298">
        <f t="shared" si="10"/>
        <v>43</v>
      </c>
      <c r="AZ298">
        <f t="shared" si="11"/>
        <v>3</v>
      </c>
    </row>
    <row r="299" spans="1:52" ht="55.2">
      <c r="A299" s="3" t="s">
        <v>343</v>
      </c>
      <c r="B299">
        <v>1</v>
      </c>
      <c r="E299">
        <v>1</v>
      </c>
      <c r="J299">
        <v>3</v>
      </c>
      <c r="AY299">
        <f t="shared" si="10"/>
        <v>43</v>
      </c>
      <c r="AZ299">
        <f t="shared" si="11"/>
        <v>2</v>
      </c>
    </row>
    <row r="300" spans="1:52" ht="55.2">
      <c r="A300" s="3" t="s">
        <v>344</v>
      </c>
      <c r="B300">
        <v>1</v>
      </c>
      <c r="E300">
        <v>1</v>
      </c>
      <c r="J300">
        <v>3</v>
      </c>
      <c r="AY300">
        <f t="shared" si="10"/>
        <v>43</v>
      </c>
      <c r="AZ300">
        <f t="shared" si="11"/>
        <v>2</v>
      </c>
    </row>
    <row r="301" spans="1:52" ht="55.2">
      <c r="A301" s="3" t="s">
        <v>345</v>
      </c>
      <c r="B301">
        <v>1</v>
      </c>
      <c r="E301">
        <v>1</v>
      </c>
      <c r="J301">
        <v>3</v>
      </c>
      <c r="AY301">
        <f t="shared" si="10"/>
        <v>43</v>
      </c>
      <c r="AZ301">
        <f t="shared" si="11"/>
        <v>2</v>
      </c>
    </row>
    <row r="302" spans="1:52" ht="55.2">
      <c r="A302" s="3" t="s">
        <v>346</v>
      </c>
      <c r="B302">
        <v>1</v>
      </c>
      <c r="E302">
        <v>1</v>
      </c>
      <c r="J302">
        <v>3</v>
      </c>
      <c r="AY302">
        <f t="shared" si="10"/>
        <v>43</v>
      </c>
      <c r="AZ302">
        <f t="shared" si="11"/>
        <v>2</v>
      </c>
    </row>
    <row r="303" spans="1:52" ht="55.2">
      <c r="A303" s="3" t="s">
        <v>347</v>
      </c>
      <c r="B303">
        <v>1</v>
      </c>
      <c r="E303">
        <v>1</v>
      </c>
      <c r="J303">
        <v>3</v>
      </c>
      <c r="AY303">
        <f t="shared" si="10"/>
        <v>43</v>
      </c>
      <c r="AZ303">
        <f t="shared" si="11"/>
        <v>2</v>
      </c>
    </row>
    <row r="304" spans="1:52" ht="55.2">
      <c r="A304" s="3" t="s">
        <v>348</v>
      </c>
      <c r="B304">
        <v>1</v>
      </c>
      <c r="E304">
        <v>1</v>
      </c>
      <c r="J304">
        <v>3</v>
      </c>
      <c r="AY304">
        <f t="shared" si="10"/>
        <v>43</v>
      </c>
      <c r="AZ304">
        <f t="shared" si="11"/>
        <v>2</v>
      </c>
    </row>
    <row r="305" spans="1:52" ht="55.2">
      <c r="A305" s="3" t="s">
        <v>349</v>
      </c>
      <c r="B305">
        <v>1</v>
      </c>
      <c r="E305">
        <v>1</v>
      </c>
      <c r="J305">
        <v>3</v>
      </c>
      <c r="AY305">
        <f t="shared" si="10"/>
        <v>43</v>
      </c>
      <c r="AZ305">
        <f t="shared" si="11"/>
        <v>2</v>
      </c>
    </row>
    <row r="306" spans="1:52" ht="55.2">
      <c r="A306" s="3" t="s">
        <v>350</v>
      </c>
      <c r="B306">
        <v>1</v>
      </c>
      <c r="E306">
        <v>1</v>
      </c>
      <c r="J306">
        <v>3</v>
      </c>
      <c r="AY306">
        <f t="shared" si="10"/>
        <v>43</v>
      </c>
      <c r="AZ306">
        <f t="shared" si="11"/>
        <v>2</v>
      </c>
    </row>
    <row r="307" spans="1:52" ht="55.2">
      <c r="A307" s="3" t="s">
        <v>351</v>
      </c>
      <c r="B307">
        <v>1</v>
      </c>
      <c r="E307">
        <v>1</v>
      </c>
      <c r="J307">
        <v>3</v>
      </c>
      <c r="AY307">
        <f t="shared" si="10"/>
        <v>43</v>
      </c>
      <c r="AZ307">
        <f t="shared" si="11"/>
        <v>2</v>
      </c>
    </row>
    <row r="308" spans="1:52" ht="55.2">
      <c r="A308" s="3" t="s">
        <v>352</v>
      </c>
      <c r="B308">
        <v>1</v>
      </c>
      <c r="E308">
        <v>1</v>
      </c>
      <c r="J308">
        <v>3</v>
      </c>
      <c r="AY308">
        <f t="shared" si="10"/>
        <v>43</v>
      </c>
      <c r="AZ308">
        <f t="shared" si="11"/>
        <v>2</v>
      </c>
    </row>
    <row r="309" spans="1:52" ht="55.2">
      <c r="A309" s="3" t="s">
        <v>353</v>
      </c>
      <c r="B309">
        <v>1</v>
      </c>
      <c r="E309">
        <v>1</v>
      </c>
      <c r="J309">
        <v>3</v>
      </c>
      <c r="AY309">
        <f t="shared" si="10"/>
        <v>43</v>
      </c>
      <c r="AZ309">
        <f t="shared" si="11"/>
        <v>2</v>
      </c>
    </row>
    <row r="310" spans="1:52" ht="55.2">
      <c r="A310" s="3" t="s">
        <v>354</v>
      </c>
      <c r="B310">
        <v>1</v>
      </c>
      <c r="E310">
        <v>1</v>
      </c>
      <c r="J310">
        <v>3</v>
      </c>
      <c r="AY310">
        <f t="shared" si="10"/>
        <v>43</v>
      </c>
      <c r="AZ310">
        <f t="shared" si="11"/>
        <v>2</v>
      </c>
    </row>
    <row r="311" spans="1:52" ht="55.2">
      <c r="A311" s="3" t="s">
        <v>355</v>
      </c>
      <c r="B311">
        <v>1</v>
      </c>
      <c r="E311">
        <v>1</v>
      </c>
      <c r="J311">
        <v>3</v>
      </c>
      <c r="AY311">
        <f t="shared" si="10"/>
        <v>43</v>
      </c>
      <c r="AZ311">
        <f t="shared" si="11"/>
        <v>2</v>
      </c>
    </row>
    <row r="312" spans="1:52" ht="55.2">
      <c r="A312" s="3" t="s">
        <v>356</v>
      </c>
      <c r="B312">
        <v>1</v>
      </c>
      <c r="E312">
        <v>1</v>
      </c>
      <c r="J312">
        <v>3</v>
      </c>
      <c r="AY312">
        <f t="shared" si="10"/>
        <v>43</v>
      </c>
      <c r="AZ312">
        <f t="shared" si="11"/>
        <v>2</v>
      </c>
    </row>
    <row r="313" spans="1:52" ht="55.2">
      <c r="A313" s="3" t="s">
        <v>357</v>
      </c>
      <c r="B313">
        <v>1</v>
      </c>
      <c r="E313">
        <v>1</v>
      </c>
      <c r="J313">
        <v>3</v>
      </c>
      <c r="AY313">
        <f t="shared" si="10"/>
        <v>43</v>
      </c>
      <c r="AZ313">
        <f t="shared" si="11"/>
        <v>2</v>
      </c>
    </row>
    <row r="314" spans="1:52" ht="55.2">
      <c r="A314" s="3" t="s">
        <v>358</v>
      </c>
      <c r="B314">
        <v>1</v>
      </c>
      <c r="E314">
        <v>1</v>
      </c>
      <c r="J314">
        <v>3</v>
      </c>
      <c r="AY314">
        <f t="shared" si="10"/>
        <v>43</v>
      </c>
      <c r="AZ314">
        <f t="shared" si="11"/>
        <v>2</v>
      </c>
    </row>
    <row r="315" spans="1:52" ht="55.2">
      <c r="A315" s="3" t="s">
        <v>359</v>
      </c>
      <c r="B315">
        <v>1</v>
      </c>
      <c r="E315">
        <v>1</v>
      </c>
      <c r="J315">
        <v>3</v>
      </c>
      <c r="AY315">
        <f t="shared" si="10"/>
        <v>43</v>
      </c>
      <c r="AZ315">
        <f t="shared" si="11"/>
        <v>2</v>
      </c>
    </row>
    <row r="316" spans="1:52" ht="55.2">
      <c r="A316" s="3" t="s">
        <v>360</v>
      </c>
      <c r="B316">
        <v>1</v>
      </c>
      <c r="E316">
        <v>1</v>
      </c>
      <c r="J316">
        <v>3</v>
      </c>
      <c r="AY316">
        <f t="shared" si="10"/>
        <v>43</v>
      </c>
      <c r="AZ316">
        <f t="shared" si="11"/>
        <v>2</v>
      </c>
    </row>
    <row r="317" spans="1:52" ht="55.2">
      <c r="A317" s="3" t="s">
        <v>361</v>
      </c>
      <c r="B317">
        <v>1</v>
      </c>
      <c r="E317">
        <v>1</v>
      </c>
      <c r="J317">
        <v>3</v>
      </c>
      <c r="AY317">
        <f t="shared" si="10"/>
        <v>43</v>
      </c>
      <c r="AZ317">
        <f t="shared" si="11"/>
        <v>2</v>
      </c>
    </row>
    <row r="318" spans="1:52" ht="55.2">
      <c r="A318" s="3" t="s">
        <v>362</v>
      </c>
      <c r="B318">
        <v>1</v>
      </c>
      <c r="E318">
        <v>1</v>
      </c>
      <c r="J318">
        <v>3</v>
      </c>
      <c r="AY318">
        <f t="shared" si="10"/>
        <v>43</v>
      </c>
      <c r="AZ318">
        <f t="shared" si="11"/>
        <v>2</v>
      </c>
    </row>
    <row r="319" spans="1:52" ht="55.2">
      <c r="A319" s="3" t="s">
        <v>363</v>
      </c>
      <c r="B319">
        <v>1</v>
      </c>
      <c r="E319">
        <v>1</v>
      </c>
      <c r="J319">
        <v>3</v>
      </c>
      <c r="AY319">
        <f t="shared" si="10"/>
        <v>43</v>
      </c>
      <c r="AZ319">
        <f t="shared" si="11"/>
        <v>2</v>
      </c>
    </row>
    <row r="320" spans="1:52" ht="55.2">
      <c r="A320" s="3" t="s">
        <v>364</v>
      </c>
      <c r="B320">
        <v>1</v>
      </c>
      <c r="E320">
        <v>1</v>
      </c>
      <c r="J320">
        <v>3</v>
      </c>
      <c r="AY320">
        <f t="shared" si="10"/>
        <v>43</v>
      </c>
      <c r="AZ320">
        <f t="shared" si="11"/>
        <v>2</v>
      </c>
    </row>
    <row r="321" spans="1:52" ht="55.2">
      <c r="A321" s="3" t="s">
        <v>365</v>
      </c>
      <c r="B321">
        <v>1</v>
      </c>
      <c r="E321">
        <v>1</v>
      </c>
      <c r="J321">
        <v>3</v>
      </c>
      <c r="AY321">
        <f t="shared" si="10"/>
        <v>43</v>
      </c>
      <c r="AZ321">
        <f t="shared" si="11"/>
        <v>2</v>
      </c>
    </row>
    <row r="322" spans="1:52" ht="55.2">
      <c r="A322" s="3" t="s">
        <v>366</v>
      </c>
      <c r="B322">
        <v>1</v>
      </c>
      <c r="E322">
        <v>1</v>
      </c>
      <c r="J322">
        <v>3</v>
      </c>
      <c r="AY322">
        <f t="shared" si="10"/>
        <v>43</v>
      </c>
      <c r="AZ322">
        <f t="shared" si="11"/>
        <v>2</v>
      </c>
    </row>
    <row r="323" spans="1:52" ht="55.2">
      <c r="A323" s="3" t="s">
        <v>367</v>
      </c>
      <c r="B323">
        <v>1</v>
      </c>
      <c r="E323">
        <v>1</v>
      </c>
      <c r="J323">
        <v>3</v>
      </c>
      <c r="AY323">
        <f t="shared" si="10"/>
        <v>43</v>
      </c>
      <c r="AZ323">
        <f t="shared" si="11"/>
        <v>2</v>
      </c>
    </row>
    <row r="324" spans="1:52" ht="55.2">
      <c r="A324" s="3" t="s">
        <v>368</v>
      </c>
      <c r="B324">
        <v>1</v>
      </c>
      <c r="E324">
        <v>1</v>
      </c>
      <c r="J324">
        <v>3</v>
      </c>
      <c r="AY324">
        <f t="shared" si="10"/>
        <v>43</v>
      </c>
      <c r="AZ324">
        <f t="shared" si="11"/>
        <v>2</v>
      </c>
    </row>
    <row r="325" spans="1:52" ht="55.2">
      <c r="A325" s="3" t="s">
        <v>369</v>
      </c>
      <c r="B325">
        <v>1</v>
      </c>
      <c r="E325">
        <v>1</v>
      </c>
      <c r="J325">
        <v>3</v>
      </c>
      <c r="AY325">
        <f t="shared" si="10"/>
        <v>43</v>
      </c>
      <c r="AZ325">
        <f t="shared" si="11"/>
        <v>2</v>
      </c>
    </row>
    <row r="326" spans="1:52" ht="55.2">
      <c r="A326" s="3" t="s">
        <v>370</v>
      </c>
      <c r="B326">
        <v>1</v>
      </c>
      <c r="E326">
        <v>1</v>
      </c>
      <c r="J326">
        <v>3</v>
      </c>
      <c r="AY326">
        <f t="shared" si="10"/>
        <v>43</v>
      </c>
      <c r="AZ326">
        <f t="shared" si="11"/>
        <v>2</v>
      </c>
    </row>
    <row r="327" spans="1:52" ht="55.2">
      <c r="A327" s="3" t="s">
        <v>371</v>
      </c>
      <c r="B327">
        <v>1</v>
      </c>
      <c r="E327">
        <v>1</v>
      </c>
      <c r="J327">
        <v>3</v>
      </c>
      <c r="AY327">
        <f t="shared" si="10"/>
        <v>43</v>
      </c>
      <c r="AZ327">
        <f t="shared" si="11"/>
        <v>2</v>
      </c>
    </row>
    <row r="328" spans="1:52" ht="55.2">
      <c r="A328" s="3" t="s">
        <v>372</v>
      </c>
      <c r="B328">
        <v>1</v>
      </c>
      <c r="E328">
        <v>1</v>
      </c>
      <c r="J328">
        <v>3</v>
      </c>
      <c r="AY328">
        <f t="shared" si="10"/>
        <v>43</v>
      </c>
      <c r="AZ328">
        <f t="shared" si="11"/>
        <v>2</v>
      </c>
    </row>
    <row r="329" spans="1:52" ht="55.2">
      <c r="A329" s="3" t="s">
        <v>373</v>
      </c>
      <c r="B329">
        <v>1</v>
      </c>
      <c r="E329">
        <v>1</v>
      </c>
      <c r="J329">
        <v>3</v>
      </c>
      <c r="AY329">
        <f t="shared" si="10"/>
        <v>43</v>
      </c>
      <c r="AZ329">
        <f t="shared" si="11"/>
        <v>2</v>
      </c>
    </row>
    <row r="330" spans="1:52" ht="55.2">
      <c r="A330" s="3" t="s">
        <v>374</v>
      </c>
      <c r="B330">
        <v>1</v>
      </c>
      <c r="E330">
        <v>1</v>
      </c>
      <c r="J330">
        <v>3</v>
      </c>
      <c r="AY330">
        <f t="shared" si="10"/>
        <v>43</v>
      </c>
      <c r="AZ330">
        <f t="shared" si="11"/>
        <v>2</v>
      </c>
    </row>
    <row r="331" spans="1:52" ht="55.2">
      <c r="A331" s="3" t="s">
        <v>375</v>
      </c>
      <c r="B331">
        <v>1</v>
      </c>
      <c r="E331">
        <v>1</v>
      </c>
      <c r="J331">
        <v>3</v>
      </c>
      <c r="AY331">
        <f t="shared" si="10"/>
        <v>43</v>
      </c>
      <c r="AZ331">
        <f t="shared" si="11"/>
        <v>2</v>
      </c>
    </row>
    <row r="332" spans="1:52" ht="55.2">
      <c r="A332" s="3" t="s">
        <v>376</v>
      </c>
      <c r="B332">
        <v>1</v>
      </c>
      <c r="E332">
        <v>1</v>
      </c>
      <c r="J332">
        <v>3</v>
      </c>
      <c r="AY332">
        <f t="shared" si="10"/>
        <v>43</v>
      </c>
      <c r="AZ332">
        <f t="shared" si="11"/>
        <v>2</v>
      </c>
    </row>
    <row r="333" spans="1:52" ht="55.2">
      <c r="A333" s="3" t="s">
        <v>377</v>
      </c>
      <c r="B333">
        <v>1</v>
      </c>
      <c r="E333">
        <v>1</v>
      </c>
      <c r="J333">
        <v>3</v>
      </c>
      <c r="AY333">
        <f t="shared" si="10"/>
        <v>43</v>
      </c>
      <c r="AZ333">
        <f t="shared" si="11"/>
        <v>2</v>
      </c>
    </row>
    <row r="334" spans="1:52" ht="55.2">
      <c r="A334" s="3" t="s">
        <v>378</v>
      </c>
      <c r="B334">
        <v>1</v>
      </c>
      <c r="E334">
        <v>1</v>
      </c>
      <c r="J334">
        <v>3</v>
      </c>
      <c r="AY334">
        <f t="shared" si="10"/>
        <v>43</v>
      </c>
      <c r="AZ334">
        <f t="shared" si="11"/>
        <v>2</v>
      </c>
    </row>
    <row r="335" spans="1:52" ht="55.2">
      <c r="A335" s="3" t="s">
        <v>379</v>
      </c>
      <c r="B335">
        <v>1</v>
      </c>
      <c r="E335">
        <v>1</v>
      </c>
      <c r="J335">
        <v>3</v>
      </c>
      <c r="AY335">
        <f t="shared" si="10"/>
        <v>43</v>
      </c>
      <c r="AZ335">
        <f t="shared" si="11"/>
        <v>2</v>
      </c>
    </row>
    <row r="336" spans="1:52" ht="55.2">
      <c r="A336" s="3" t="s">
        <v>380</v>
      </c>
      <c r="B336">
        <v>1</v>
      </c>
      <c r="E336">
        <v>1</v>
      </c>
      <c r="J336">
        <v>3</v>
      </c>
      <c r="AY336">
        <f t="shared" si="10"/>
        <v>43</v>
      </c>
      <c r="AZ336">
        <f t="shared" si="11"/>
        <v>2</v>
      </c>
    </row>
    <row r="337" spans="1:52" ht="55.2">
      <c r="A337" s="3" t="s">
        <v>381</v>
      </c>
      <c r="B337">
        <v>1</v>
      </c>
      <c r="E337">
        <v>1</v>
      </c>
      <c r="J337">
        <v>3</v>
      </c>
      <c r="AY337">
        <f t="shared" si="10"/>
        <v>43</v>
      </c>
      <c r="AZ337">
        <f t="shared" si="11"/>
        <v>2</v>
      </c>
    </row>
    <row r="338" spans="1:52" ht="55.2">
      <c r="A338" s="3" t="s">
        <v>382</v>
      </c>
      <c r="B338">
        <v>1</v>
      </c>
      <c r="E338">
        <v>1</v>
      </c>
      <c r="J338">
        <v>3</v>
      </c>
      <c r="AY338">
        <f t="shared" si="10"/>
        <v>43</v>
      </c>
      <c r="AZ338">
        <f t="shared" si="11"/>
        <v>2</v>
      </c>
    </row>
    <row r="339" spans="1:52" ht="55.2">
      <c r="A339" s="3" t="s">
        <v>383</v>
      </c>
      <c r="B339">
        <v>1</v>
      </c>
      <c r="E339">
        <v>1</v>
      </c>
      <c r="J339">
        <v>3</v>
      </c>
      <c r="AY339">
        <f t="shared" si="10"/>
        <v>43</v>
      </c>
      <c r="AZ339">
        <f t="shared" si="11"/>
        <v>2</v>
      </c>
    </row>
    <row r="340" spans="1:52" ht="55.2">
      <c r="A340" s="3" t="s">
        <v>384</v>
      </c>
      <c r="B340">
        <v>1</v>
      </c>
      <c r="E340">
        <v>1</v>
      </c>
      <c r="J340">
        <v>3</v>
      </c>
      <c r="AY340">
        <f t="shared" si="10"/>
        <v>43</v>
      </c>
      <c r="AZ340">
        <f t="shared" si="11"/>
        <v>2</v>
      </c>
    </row>
    <row r="341" spans="1:52" ht="55.2">
      <c r="A341" s="3" t="s">
        <v>385</v>
      </c>
      <c r="B341">
        <v>1</v>
      </c>
      <c r="E341">
        <v>1</v>
      </c>
      <c r="J341">
        <v>3</v>
      </c>
      <c r="AY341">
        <f t="shared" si="10"/>
        <v>43</v>
      </c>
      <c r="AZ341">
        <f t="shared" si="11"/>
        <v>2</v>
      </c>
    </row>
    <row r="342" spans="1:52" ht="55.2">
      <c r="A342" s="3" t="s">
        <v>386</v>
      </c>
      <c r="B342">
        <v>1</v>
      </c>
      <c r="E342">
        <v>1</v>
      </c>
      <c r="J342">
        <v>3</v>
      </c>
      <c r="AY342">
        <f t="shared" si="10"/>
        <v>43</v>
      </c>
      <c r="AZ342">
        <f t="shared" si="11"/>
        <v>2</v>
      </c>
    </row>
    <row r="343" spans="1:52" ht="55.2">
      <c r="A343" s="3" t="s">
        <v>387</v>
      </c>
      <c r="B343">
        <v>1</v>
      </c>
      <c r="E343">
        <v>1</v>
      </c>
      <c r="J343">
        <v>3</v>
      </c>
      <c r="AY343">
        <f t="shared" si="10"/>
        <v>43</v>
      </c>
      <c r="AZ343">
        <f t="shared" si="11"/>
        <v>2</v>
      </c>
    </row>
    <row r="344" spans="1:52" ht="55.2">
      <c r="A344" s="3" t="s">
        <v>388</v>
      </c>
      <c r="B344">
        <v>1</v>
      </c>
      <c r="E344">
        <v>1</v>
      </c>
      <c r="J344">
        <v>3</v>
      </c>
      <c r="AY344">
        <f t="shared" si="10"/>
        <v>43</v>
      </c>
      <c r="AZ344">
        <f t="shared" si="11"/>
        <v>2</v>
      </c>
    </row>
    <row r="345" spans="1:52" ht="55.2">
      <c r="A345" s="3" t="s">
        <v>389</v>
      </c>
      <c r="B345">
        <v>1</v>
      </c>
      <c r="E345">
        <v>1</v>
      </c>
      <c r="J345">
        <v>3</v>
      </c>
      <c r="AY345">
        <f t="shared" si="10"/>
        <v>43</v>
      </c>
      <c r="AZ345">
        <f t="shared" si="11"/>
        <v>2</v>
      </c>
    </row>
    <row r="346" spans="1:52" ht="55.2">
      <c r="A346" s="3" t="s">
        <v>390</v>
      </c>
      <c r="B346">
        <v>1</v>
      </c>
      <c r="E346">
        <v>1</v>
      </c>
      <c r="J346">
        <v>3</v>
      </c>
      <c r="AY346">
        <f t="shared" si="10"/>
        <v>43</v>
      </c>
      <c r="AZ346">
        <f t="shared" si="11"/>
        <v>2</v>
      </c>
    </row>
    <row r="347" spans="1:52" ht="55.2">
      <c r="A347" s="3" t="s">
        <v>391</v>
      </c>
      <c r="B347">
        <v>1</v>
      </c>
      <c r="E347">
        <v>1</v>
      </c>
      <c r="J347">
        <v>3</v>
      </c>
      <c r="AY347">
        <f t="shared" si="10"/>
        <v>43</v>
      </c>
      <c r="AZ347">
        <f t="shared" si="11"/>
        <v>2</v>
      </c>
    </row>
    <row r="348" spans="1:52" ht="55.2">
      <c r="A348" s="3" t="s">
        <v>392</v>
      </c>
      <c r="B348">
        <v>1</v>
      </c>
      <c r="E348">
        <v>1</v>
      </c>
      <c r="J348">
        <v>3</v>
      </c>
      <c r="AY348">
        <f t="shared" si="10"/>
        <v>43</v>
      </c>
      <c r="AZ348">
        <f t="shared" si="11"/>
        <v>2</v>
      </c>
    </row>
    <row r="349" spans="1:52" ht="55.2">
      <c r="A349" s="3" t="s">
        <v>393</v>
      </c>
      <c r="B349">
        <v>1</v>
      </c>
      <c r="E349">
        <v>1</v>
      </c>
      <c r="J349">
        <v>3</v>
      </c>
      <c r="AY349">
        <f t="shared" si="10"/>
        <v>43</v>
      </c>
      <c r="AZ349">
        <f t="shared" si="11"/>
        <v>2</v>
      </c>
    </row>
    <row r="350" spans="1:52" ht="55.2">
      <c r="A350" s="3" t="s">
        <v>394</v>
      </c>
      <c r="B350">
        <v>1</v>
      </c>
      <c r="E350">
        <v>1</v>
      </c>
      <c r="J350">
        <v>3</v>
      </c>
      <c r="AY350">
        <f t="shared" si="10"/>
        <v>43</v>
      </c>
      <c r="AZ350">
        <f t="shared" si="11"/>
        <v>2</v>
      </c>
    </row>
    <row r="351" spans="1:52" ht="55.2">
      <c r="A351" s="3" t="s">
        <v>395</v>
      </c>
      <c r="B351">
        <v>1</v>
      </c>
      <c r="E351">
        <v>1</v>
      </c>
      <c r="J351">
        <v>3</v>
      </c>
      <c r="AY351">
        <f t="shared" si="10"/>
        <v>43</v>
      </c>
      <c r="AZ351">
        <f t="shared" si="11"/>
        <v>2</v>
      </c>
    </row>
    <row r="352" spans="1:52" ht="55.2">
      <c r="A352" s="3" t="s">
        <v>396</v>
      </c>
      <c r="B352">
        <v>1</v>
      </c>
      <c r="E352">
        <v>1</v>
      </c>
      <c r="J352">
        <v>3</v>
      </c>
      <c r="AY352">
        <f t="shared" si="10"/>
        <v>43</v>
      </c>
      <c r="AZ352">
        <f t="shared" si="11"/>
        <v>2</v>
      </c>
    </row>
    <row r="353" spans="1:52" ht="55.2">
      <c r="A353" s="3" t="s">
        <v>397</v>
      </c>
      <c r="B353">
        <v>1</v>
      </c>
      <c r="E353">
        <v>1</v>
      </c>
      <c r="J353">
        <v>3</v>
      </c>
      <c r="AY353">
        <f t="shared" ref="AY353:AY416" si="12">COUNTBLANK(F353:AW353)</f>
        <v>43</v>
      </c>
      <c r="AZ353">
        <f t="shared" ref="AZ353:AZ416" si="13">COUNTBLANK(B353:E353)</f>
        <v>2</v>
      </c>
    </row>
    <row r="354" spans="1:52" ht="55.2">
      <c r="A354" s="3" t="s">
        <v>398</v>
      </c>
      <c r="B354">
        <v>1</v>
      </c>
      <c r="E354">
        <v>1</v>
      </c>
      <c r="J354">
        <v>3</v>
      </c>
      <c r="AY354">
        <f t="shared" si="12"/>
        <v>43</v>
      </c>
      <c r="AZ354">
        <f t="shared" si="13"/>
        <v>2</v>
      </c>
    </row>
    <row r="355" spans="1:52" ht="55.2">
      <c r="A355" s="3" t="s">
        <v>399</v>
      </c>
      <c r="B355">
        <v>1</v>
      </c>
      <c r="E355">
        <v>1</v>
      </c>
      <c r="J355">
        <v>3</v>
      </c>
      <c r="AY355">
        <f t="shared" si="12"/>
        <v>43</v>
      </c>
      <c r="AZ355">
        <f t="shared" si="13"/>
        <v>2</v>
      </c>
    </row>
    <row r="356" spans="1:52" ht="55.2">
      <c r="A356" s="3" t="s">
        <v>400</v>
      </c>
      <c r="B356">
        <v>1</v>
      </c>
      <c r="E356">
        <v>1</v>
      </c>
      <c r="J356">
        <v>3</v>
      </c>
      <c r="AY356">
        <f t="shared" si="12"/>
        <v>43</v>
      </c>
      <c r="AZ356">
        <f t="shared" si="13"/>
        <v>2</v>
      </c>
    </row>
    <row r="357" spans="1:52" ht="55.2">
      <c r="A357" s="3" t="s">
        <v>401</v>
      </c>
      <c r="E357">
        <v>1</v>
      </c>
      <c r="J357">
        <v>3</v>
      </c>
      <c r="AY357">
        <f t="shared" si="12"/>
        <v>43</v>
      </c>
      <c r="AZ357">
        <f t="shared" si="13"/>
        <v>3</v>
      </c>
    </row>
    <row r="358" spans="1:52" ht="55.2">
      <c r="A358" s="3" t="s">
        <v>402</v>
      </c>
      <c r="E358">
        <v>1</v>
      </c>
      <c r="J358">
        <v>3</v>
      </c>
      <c r="AY358">
        <f t="shared" si="12"/>
        <v>43</v>
      </c>
      <c r="AZ358">
        <f t="shared" si="13"/>
        <v>3</v>
      </c>
    </row>
    <row r="359" spans="1:52" ht="55.2">
      <c r="A359" s="3" t="s">
        <v>403</v>
      </c>
      <c r="E359">
        <v>1</v>
      </c>
      <c r="J359">
        <v>3</v>
      </c>
      <c r="AY359">
        <f t="shared" si="12"/>
        <v>43</v>
      </c>
      <c r="AZ359">
        <f t="shared" si="13"/>
        <v>3</v>
      </c>
    </row>
    <row r="360" spans="1:52" ht="55.2">
      <c r="A360" s="3" t="s">
        <v>404</v>
      </c>
      <c r="E360">
        <v>1</v>
      </c>
      <c r="J360">
        <v>3</v>
      </c>
      <c r="AY360">
        <f t="shared" si="12"/>
        <v>43</v>
      </c>
      <c r="AZ360">
        <f t="shared" si="13"/>
        <v>3</v>
      </c>
    </row>
    <row r="361" spans="1:52" ht="55.2">
      <c r="A361" s="3" t="s">
        <v>405</v>
      </c>
      <c r="E361">
        <v>1</v>
      </c>
      <c r="J361">
        <v>3</v>
      </c>
      <c r="AY361">
        <f t="shared" si="12"/>
        <v>43</v>
      </c>
      <c r="AZ361">
        <f t="shared" si="13"/>
        <v>3</v>
      </c>
    </row>
    <row r="362" spans="1:52" ht="55.2">
      <c r="A362" s="3" t="s">
        <v>406</v>
      </c>
      <c r="E362">
        <v>1</v>
      </c>
      <c r="J362">
        <v>3</v>
      </c>
      <c r="AY362">
        <f t="shared" si="12"/>
        <v>43</v>
      </c>
      <c r="AZ362">
        <f t="shared" si="13"/>
        <v>3</v>
      </c>
    </row>
    <row r="363" spans="1:52" ht="55.2">
      <c r="A363" s="3" t="s">
        <v>407</v>
      </c>
      <c r="E363">
        <v>1</v>
      </c>
      <c r="J363">
        <v>3</v>
      </c>
      <c r="AY363">
        <f t="shared" si="12"/>
        <v>43</v>
      </c>
      <c r="AZ363">
        <f t="shared" si="13"/>
        <v>3</v>
      </c>
    </row>
    <row r="364" spans="1:52" ht="55.2">
      <c r="A364" s="3" t="s">
        <v>408</v>
      </c>
      <c r="E364">
        <v>1</v>
      </c>
      <c r="J364">
        <v>3</v>
      </c>
      <c r="AY364">
        <f t="shared" si="12"/>
        <v>43</v>
      </c>
      <c r="AZ364">
        <f t="shared" si="13"/>
        <v>3</v>
      </c>
    </row>
    <row r="365" spans="1:52" ht="55.2">
      <c r="A365" s="3" t="s">
        <v>409</v>
      </c>
      <c r="E365">
        <v>1</v>
      </c>
      <c r="J365">
        <v>3</v>
      </c>
      <c r="AY365">
        <f t="shared" si="12"/>
        <v>43</v>
      </c>
      <c r="AZ365">
        <f t="shared" si="13"/>
        <v>3</v>
      </c>
    </row>
    <row r="366" spans="1:52" ht="55.2">
      <c r="A366" s="3" t="s">
        <v>410</v>
      </c>
      <c r="E366">
        <v>1</v>
      </c>
      <c r="J366">
        <v>3</v>
      </c>
      <c r="AY366">
        <f t="shared" si="12"/>
        <v>43</v>
      </c>
      <c r="AZ366">
        <f t="shared" si="13"/>
        <v>3</v>
      </c>
    </row>
    <row r="367" spans="1:52" ht="55.2">
      <c r="A367" s="3" t="s">
        <v>411</v>
      </c>
      <c r="E367">
        <v>1</v>
      </c>
      <c r="J367">
        <v>3</v>
      </c>
      <c r="AY367">
        <f t="shared" si="12"/>
        <v>43</v>
      </c>
      <c r="AZ367">
        <f t="shared" si="13"/>
        <v>3</v>
      </c>
    </row>
    <row r="368" spans="1:52" ht="55.2">
      <c r="A368" s="3" t="s">
        <v>412</v>
      </c>
      <c r="E368">
        <v>1</v>
      </c>
      <c r="J368">
        <v>3</v>
      </c>
      <c r="AY368">
        <f t="shared" si="12"/>
        <v>43</v>
      </c>
      <c r="AZ368">
        <f t="shared" si="13"/>
        <v>3</v>
      </c>
    </row>
    <row r="369" spans="1:52" ht="55.2">
      <c r="A369" s="3" t="s">
        <v>413</v>
      </c>
      <c r="E369">
        <v>1</v>
      </c>
      <c r="J369">
        <v>3</v>
      </c>
      <c r="AY369">
        <f t="shared" si="12"/>
        <v>43</v>
      </c>
      <c r="AZ369">
        <f t="shared" si="13"/>
        <v>3</v>
      </c>
    </row>
    <row r="370" spans="1:52" ht="55.2">
      <c r="A370" s="3" t="s">
        <v>414</v>
      </c>
      <c r="E370">
        <v>1</v>
      </c>
      <c r="J370">
        <v>3</v>
      </c>
      <c r="AY370">
        <f t="shared" si="12"/>
        <v>43</v>
      </c>
      <c r="AZ370">
        <f t="shared" si="13"/>
        <v>3</v>
      </c>
    </row>
    <row r="371" spans="1:52" ht="55.2">
      <c r="A371" s="3" t="s">
        <v>415</v>
      </c>
      <c r="E371">
        <v>1</v>
      </c>
      <c r="J371">
        <v>3</v>
      </c>
      <c r="AY371">
        <f t="shared" si="12"/>
        <v>43</v>
      </c>
      <c r="AZ371">
        <f t="shared" si="13"/>
        <v>3</v>
      </c>
    </row>
    <row r="372" spans="1:52" ht="55.2">
      <c r="A372" s="3" t="s">
        <v>416</v>
      </c>
      <c r="E372">
        <v>1</v>
      </c>
      <c r="J372">
        <v>3</v>
      </c>
      <c r="AY372">
        <f t="shared" si="12"/>
        <v>43</v>
      </c>
      <c r="AZ372">
        <f t="shared" si="13"/>
        <v>3</v>
      </c>
    </row>
    <row r="373" spans="1:52" ht="55.2">
      <c r="A373" s="3" t="s">
        <v>417</v>
      </c>
      <c r="E373">
        <v>1</v>
      </c>
      <c r="J373">
        <v>3</v>
      </c>
      <c r="AY373">
        <f t="shared" si="12"/>
        <v>43</v>
      </c>
      <c r="AZ373">
        <f t="shared" si="13"/>
        <v>3</v>
      </c>
    </row>
    <row r="374" spans="1:52" ht="55.2">
      <c r="A374" s="3" t="s">
        <v>418</v>
      </c>
      <c r="E374">
        <v>1</v>
      </c>
      <c r="J374">
        <v>3</v>
      </c>
      <c r="AY374">
        <f t="shared" si="12"/>
        <v>43</v>
      </c>
      <c r="AZ374">
        <f t="shared" si="13"/>
        <v>3</v>
      </c>
    </row>
    <row r="375" spans="1:52" ht="55.2">
      <c r="A375" s="3" t="s">
        <v>419</v>
      </c>
      <c r="E375">
        <v>1</v>
      </c>
      <c r="AN375">
        <v>1</v>
      </c>
      <c r="AY375">
        <f t="shared" si="12"/>
        <v>43</v>
      </c>
      <c r="AZ375">
        <f t="shared" si="13"/>
        <v>3</v>
      </c>
    </row>
    <row r="376" spans="1:52" ht="55.2">
      <c r="A376" s="3" t="s">
        <v>420</v>
      </c>
      <c r="E376">
        <v>1</v>
      </c>
      <c r="AN376">
        <v>1</v>
      </c>
      <c r="AY376">
        <f t="shared" si="12"/>
        <v>43</v>
      </c>
      <c r="AZ376">
        <f t="shared" si="13"/>
        <v>3</v>
      </c>
    </row>
    <row r="377" spans="1:52" ht="55.2">
      <c r="A377" s="3" t="s">
        <v>421</v>
      </c>
      <c r="E377">
        <v>1</v>
      </c>
      <c r="AN377">
        <v>1</v>
      </c>
      <c r="AY377">
        <f t="shared" si="12"/>
        <v>43</v>
      </c>
      <c r="AZ377">
        <f t="shared" si="13"/>
        <v>3</v>
      </c>
    </row>
    <row r="378" spans="1:52" ht="55.2">
      <c r="A378" s="3" t="s">
        <v>422</v>
      </c>
      <c r="E378">
        <v>1</v>
      </c>
      <c r="AN378">
        <v>1</v>
      </c>
      <c r="AY378">
        <f t="shared" si="12"/>
        <v>43</v>
      </c>
      <c r="AZ378">
        <f t="shared" si="13"/>
        <v>3</v>
      </c>
    </row>
    <row r="379" spans="1:52" ht="55.2">
      <c r="A379" s="3" t="s">
        <v>423</v>
      </c>
      <c r="E379">
        <v>1</v>
      </c>
      <c r="AN379">
        <v>1</v>
      </c>
      <c r="AY379">
        <f t="shared" si="12"/>
        <v>43</v>
      </c>
      <c r="AZ379">
        <f t="shared" si="13"/>
        <v>3</v>
      </c>
    </row>
    <row r="380" spans="1:52" ht="55.2">
      <c r="A380" s="3" t="s">
        <v>424</v>
      </c>
      <c r="E380">
        <v>1</v>
      </c>
      <c r="AN380">
        <v>1</v>
      </c>
      <c r="AY380">
        <f t="shared" si="12"/>
        <v>43</v>
      </c>
      <c r="AZ380">
        <f t="shared" si="13"/>
        <v>3</v>
      </c>
    </row>
    <row r="381" spans="1:52" ht="55.2">
      <c r="A381" s="3" t="s">
        <v>425</v>
      </c>
      <c r="E381">
        <v>1</v>
      </c>
      <c r="AN381">
        <v>1</v>
      </c>
      <c r="AY381">
        <f t="shared" si="12"/>
        <v>43</v>
      </c>
      <c r="AZ381">
        <f t="shared" si="13"/>
        <v>3</v>
      </c>
    </row>
    <row r="382" spans="1:52" ht="55.2">
      <c r="A382" s="3" t="s">
        <v>426</v>
      </c>
      <c r="E382">
        <v>1</v>
      </c>
      <c r="AN382">
        <v>1</v>
      </c>
      <c r="AY382">
        <f t="shared" si="12"/>
        <v>43</v>
      </c>
      <c r="AZ382">
        <f t="shared" si="13"/>
        <v>3</v>
      </c>
    </row>
    <row r="383" spans="1:52" ht="55.2">
      <c r="A383" s="3" t="s">
        <v>427</v>
      </c>
      <c r="E383">
        <v>1</v>
      </c>
      <c r="AN383">
        <v>1</v>
      </c>
      <c r="AY383">
        <f t="shared" si="12"/>
        <v>43</v>
      </c>
      <c r="AZ383">
        <f t="shared" si="13"/>
        <v>3</v>
      </c>
    </row>
    <row r="384" spans="1:52" ht="55.2">
      <c r="A384" s="3" t="s">
        <v>428</v>
      </c>
      <c r="E384">
        <v>1</v>
      </c>
      <c r="AN384">
        <v>1</v>
      </c>
      <c r="AY384">
        <f t="shared" si="12"/>
        <v>43</v>
      </c>
      <c r="AZ384">
        <f t="shared" si="13"/>
        <v>3</v>
      </c>
    </row>
    <row r="385" spans="1:52" ht="55.2">
      <c r="A385" s="3" t="s">
        <v>429</v>
      </c>
      <c r="E385">
        <v>1</v>
      </c>
      <c r="AN385">
        <v>1</v>
      </c>
      <c r="AY385">
        <f t="shared" si="12"/>
        <v>43</v>
      </c>
      <c r="AZ385">
        <f t="shared" si="13"/>
        <v>3</v>
      </c>
    </row>
    <row r="386" spans="1:52" ht="55.2">
      <c r="A386" s="3" t="s">
        <v>430</v>
      </c>
      <c r="E386">
        <v>1</v>
      </c>
      <c r="AN386">
        <v>1</v>
      </c>
      <c r="AY386">
        <f t="shared" si="12"/>
        <v>43</v>
      </c>
      <c r="AZ386">
        <f t="shared" si="13"/>
        <v>3</v>
      </c>
    </row>
    <row r="387" spans="1:52" ht="55.2">
      <c r="A387" s="3" t="s">
        <v>431</v>
      </c>
      <c r="E387">
        <v>1</v>
      </c>
      <c r="AN387">
        <v>1</v>
      </c>
      <c r="AY387">
        <f t="shared" si="12"/>
        <v>43</v>
      </c>
      <c r="AZ387">
        <f t="shared" si="13"/>
        <v>3</v>
      </c>
    </row>
    <row r="388" spans="1:52" ht="55.2">
      <c r="A388" s="3" t="s">
        <v>432</v>
      </c>
      <c r="E388">
        <v>1</v>
      </c>
      <c r="AN388">
        <v>1</v>
      </c>
      <c r="AY388">
        <f t="shared" si="12"/>
        <v>43</v>
      </c>
      <c r="AZ388">
        <f t="shared" si="13"/>
        <v>3</v>
      </c>
    </row>
    <row r="389" spans="1:52" ht="55.2">
      <c r="A389" s="3" t="s">
        <v>433</v>
      </c>
      <c r="E389">
        <v>1</v>
      </c>
      <c r="AN389">
        <v>1</v>
      </c>
      <c r="AY389">
        <f t="shared" si="12"/>
        <v>43</v>
      </c>
      <c r="AZ389">
        <f t="shared" si="13"/>
        <v>3</v>
      </c>
    </row>
    <row r="390" spans="1:52" ht="55.2">
      <c r="A390" s="3" t="s">
        <v>434</v>
      </c>
      <c r="E390">
        <v>1</v>
      </c>
      <c r="AN390">
        <v>1</v>
      </c>
      <c r="AY390">
        <f t="shared" si="12"/>
        <v>43</v>
      </c>
      <c r="AZ390">
        <f t="shared" si="13"/>
        <v>3</v>
      </c>
    </row>
    <row r="391" spans="1:52" ht="55.2">
      <c r="A391" s="3" t="s">
        <v>435</v>
      </c>
      <c r="E391">
        <v>1</v>
      </c>
      <c r="AN391">
        <v>1</v>
      </c>
      <c r="AY391">
        <f t="shared" si="12"/>
        <v>43</v>
      </c>
      <c r="AZ391">
        <f t="shared" si="13"/>
        <v>3</v>
      </c>
    </row>
    <row r="392" spans="1:52" ht="55.2">
      <c r="A392" s="3" t="s">
        <v>436</v>
      </c>
      <c r="E392">
        <v>1</v>
      </c>
      <c r="AN392">
        <v>1</v>
      </c>
      <c r="AY392">
        <f t="shared" si="12"/>
        <v>43</v>
      </c>
      <c r="AZ392">
        <f t="shared" si="13"/>
        <v>3</v>
      </c>
    </row>
    <row r="393" spans="1:52" ht="55.2">
      <c r="A393" s="3" t="s">
        <v>437</v>
      </c>
      <c r="E393">
        <v>1</v>
      </c>
      <c r="AN393">
        <v>1</v>
      </c>
      <c r="AY393">
        <f t="shared" si="12"/>
        <v>43</v>
      </c>
      <c r="AZ393">
        <f t="shared" si="13"/>
        <v>3</v>
      </c>
    </row>
    <row r="394" spans="1:52" ht="55.2">
      <c r="A394" s="3" t="s">
        <v>438</v>
      </c>
      <c r="E394">
        <v>1</v>
      </c>
      <c r="AN394">
        <v>1</v>
      </c>
      <c r="AY394">
        <f t="shared" si="12"/>
        <v>43</v>
      </c>
      <c r="AZ394">
        <f t="shared" si="13"/>
        <v>3</v>
      </c>
    </row>
    <row r="395" spans="1:52" ht="55.2">
      <c r="A395" s="3" t="s">
        <v>439</v>
      </c>
      <c r="E395">
        <v>1</v>
      </c>
      <c r="AN395">
        <v>1</v>
      </c>
      <c r="AY395">
        <f t="shared" si="12"/>
        <v>43</v>
      </c>
      <c r="AZ395">
        <f t="shared" si="13"/>
        <v>3</v>
      </c>
    </row>
    <row r="396" spans="1:52" ht="55.2">
      <c r="A396" s="3" t="s">
        <v>440</v>
      </c>
      <c r="E396">
        <v>1</v>
      </c>
      <c r="AN396">
        <v>1</v>
      </c>
      <c r="AY396">
        <f t="shared" si="12"/>
        <v>43</v>
      </c>
      <c r="AZ396">
        <f t="shared" si="13"/>
        <v>3</v>
      </c>
    </row>
    <row r="397" spans="1:52" ht="55.2">
      <c r="A397" s="3" t="s">
        <v>441</v>
      </c>
      <c r="E397">
        <v>1</v>
      </c>
      <c r="AN397">
        <v>1</v>
      </c>
      <c r="AY397">
        <f t="shared" si="12"/>
        <v>43</v>
      </c>
      <c r="AZ397">
        <f t="shared" si="13"/>
        <v>3</v>
      </c>
    </row>
    <row r="398" spans="1:52" ht="55.2">
      <c r="A398" s="3" t="s">
        <v>442</v>
      </c>
      <c r="E398">
        <v>1</v>
      </c>
      <c r="AN398">
        <v>1</v>
      </c>
      <c r="AY398">
        <f t="shared" si="12"/>
        <v>43</v>
      </c>
      <c r="AZ398">
        <f t="shared" si="13"/>
        <v>3</v>
      </c>
    </row>
    <row r="399" spans="1:52" ht="55.2">
      <c r="A399" s="3" t="s">
        <v>443</v>
      </c>
      <c r="E399">
        <v>1</v>
      </c>
      <c r="AN399">
        <v>1</v>
      </c>
      <c r="AY399">
        <f t="shared" si="12"/>
        <v>43</v>
      </c>
      <c r="AZ399">
        <f t="shared" si="13"/>
        <v>3</v>
      </c>
    </row>
    <row r="400" spans="1:52" ht="55.2">
      <c r="A400" s="3" t="s">
        <v>444</v>
      </c>
      <c r="E400">
        <v>1</v>
      </c>
      <c r="AN400">
        <v>1</v>
      </c>
      <c r="AY400">
        <f t="shared" si="12"/>
        <v>43</v>
      </c>
      <c r="AZ400">
        <f t="shared" si="13"/>
        <v>3</v>
      </c>
    </row>
    <row r="401" spans="1:52" ht="55.2">
      <c r="A401" s="3" t="s">
        <v>445</v>
      </c>
      <c r="E401">
        <v>1</v>
      </c>
      <c r="AN401">
        <v>1</v>
      </c>
      <c r="AY401">
        <f t="shared" si="12"/>
        <v>43</v>
      </c>
      <c r="AZ401">
        <f t="shared" si="13"/>
        <v>3</v>
      </c>
    </row>
    <row r="402" spans="1:52" ht="55.2">
      <c r="A402" s="3" t="s">
        <v>446</v>
      </c>
      <c r="E402">
        <v>1</v>
      </c>
      <c r="AN402">
        <v>1</v>
      </c>
      <c r="AY402">
        <f t="shared" si="12"/>
        <v>43</v>
      </c>
      <c r="AZ402">
        <f t="shared" si="13"/>
        <v>3</v>
      </c>
    </row>
    <row r="403" spans="1:52" ht="55.2">
      <c r="A403" s="3" t="s">
        <v>447</v>
      </c>
      <c r="E403">
        <v>1</v>
      </c>
      <c r="AN403">
        <v>1</v>
      </c>
      <c r="AY403">
        <f t="shared" si="12"/>
        <v>43</v>
      </c>
      <c r="AZ403">
        <f t="shared" si="13"/>
        <v>3</v>
      </c>
    </row>
    <row r="404" spans="1:52" ht="55.2">
      <c r="A404" s="3" t="s">
        <v>448</v>
      </c>
      <c r="E404">
        <v>1</v>
      </c>
      <c r="AN404">
        <v>1</v>
      </c>
      <c r="AY404">
        <f t="shared" si="12"/>
        <v>43</v>
      </c>
      <c r="AZ404">
        <f t="shared" si="13"/>
        <v>3</v>
      </c>
    </row>
    <row r="405" spans="1:52" ht="55.2">
      <c r="A405" s="3" t="s">
        <v>449</v>
      </c>
      <c r="E405">
        <v>1</v>
      </c>
      <c r="AN405">
        <v>1</v>
      </c>
      <c r="AY405">
        <f t="shared" si="12"/>
        <v>43</v>
      </c>
      <c r="AZ405">
        <f t="shared" si="13"/>
        <v>3</v>
      </c>
    </row>
    <row r="406" spans="1:52" ht="55.2">
      <c r="A406" s="3" t="s">
        <v>450</v>
      </c>
      <c r="E406">
        <v>1</v>
      </c>
      <c r="AN406">
        <v>1</v>
      </c>
      <c r="AY406">
        <f t="shared" si="12"/>
        <v>43</v>
      </c>
      <c r="AZ406">
        <f t="shared" si="13"/>
        <v>3</v>
      </c>
    </row>
    <row r="407" spans="1:52" ht="55.2">
      <c r="A407" s="3" t="s">
        <v>451</v>
      </c>
      <c r="E407">
        <v>1</v>
      </c>
      <c r="AN407">
        <v>1</v>
      </c>
      <c r="AY407">
        <f t="shared" si="12"/>
        <v>43</v>
      </c>
      <c r="AZ407">
        <f t="shared" si="13"/>
        <v>3</v>
      </c>
    </row>
    <row r="408" spans="1:52" ht="55.2">
      <c r="A408" s="3" t="s">
        <v>452</v>
      </c>
      <c r="E408">
        <v>1</v>
      </c>
      <c r="AN408">
        <v>1</v>
      </c>
      <c r="AY408">
        <f t="shared" si="12"/>
        <v>43</v>
      </c>
      <c r="AZ408">
        <f t="shared" si="13"/>
        <v>3</v>
      </c>
    </row>
    <row r="409" spans="1:52" ht="55.2">
      <c r="A409" s="3" t="s">
        <v>453</v>
      </c>
      <c r="E409">
        <v>1</v>
      </c>
      <c r="AN409">
        <v>1</v>
      </c>
      <c r="AY409">
        <f t="shared" si="12"/>
        <v>43</v>
      </c>
      <c r="AZ409">
        <f t="shared" si="13"/>
        <v>3</v>
      </c>
    </row>
    <row r="410" spans="1:52" ht="55.2">
      <c r="A410" s="3" t="s">
        <v>454</v>
      </c>
      <c r="E410">
        <v>1</v>
      </c>
      <c r="AN410">
        <v>1</v>
      </c>
      <c r="AY410">
        <f t="shared" si="12"/>
        <v>43</v>
      </c>
      <c r="AZ410">
        <f t="shared" si="13"/>
        <v>3</v>
      </c>
    </row>
    <row r="411" spans="1:52" ht="55.2">
      <c r="A411" s="3" t="s">
        <v>455</v>
      </c>
      <c r="E411">
        <v>1</v>
      </c>
      <c r="AN411">
        <v>1</v>
      </c>
      <c r="AY411">
        <f t="shared" si="12"/>
        <v>43</v>
      </c>
      <c r="AZ411">
        <f t="shared" si="13"/>
        <v>3</v>
      </c>
    </row>
    <row r="412" spans="1:52" ht="55.2">
      <c r="A412" s="3" t="s">
        <v>456</v>
      </c>
      <c r="E412">
        <v>1</v>
      </c>
      <c r="AN412">
        <v>1</v>
      </c>
      <c r="AY412">
        <f t="shared" si="12"/>
        <v>43</v>
      </c>
      <c r="AZ412">
        <f t="shared" si="13"/>
        <v>3</v>
      </c>
    </row>
    <row r="413" spans="1:52" ht="55.2">
      <c r="A413" s="3" t="s">
        <v>457</v>
      </c>
      <c r="E413">
        <v>1</v>
      </c>
      <c r="AN413">
        <v>1</v>
      </c>
      <c r="AY413">
        <f t="shared" si="12"/>
        <v>43</v>
      </c>
      <c r="AZ413">
        <f t="shared" si="13"/>
        <v>3</v>
      </c>
    </row>
    <row r="414" spans="1:52" ht="55.2">
      <c r="A414" s="3" t="s">
        <v>458</v>
      </c>
      <c r="E414">
        <v>1</v>
      </c>
      <c r="AN414">
        <v>1</v>
      </c>
      <c r="AY414">
        <f t="shared" si="12"/>
        <v>43</v>
      </c>
      <c r="AZ414">
        <f t="shared" si="13"/>
        <v>3</v>
      </c>
    </row>
    <row r="415" spans="1:52" ht="55.2">
      <c r="A415" s="3" t="s">
        <v>459</v>
      </c>
      <c r="E415">
        <v>1</v>
      </c>
      <c r="AN415">
        <v>1</v>
      </c>
      <c r="AY415">
        <f t="shared" si="12"/>
        <v>43</v>
      </c>
      <c r="AZ415">
        <f t="shared" si="13"/>
        <v>3</v>
      </c>
    </row>
    <row r="416" spans="1:52" ht="55.2">
      <c r="A416" s="3" t="s">
        <v>460</v>
      </c>
      <c r="E416">
        <v>1</v>
      </c>
      <c r="AN416">
        <v>1</v>
      </c>
      <c r="AY416">
        <f t="shared" si="12"/>
        <v>43</v>
      </c>
      <c r="AZ416">
        <f t="shared" si="13"/>
        <v>3</v>
      </c>
    </row>
    <row r="417" spans="1:52" ht="55.2">
      <c r="A417" s="3" t="s">
        <v>461</v>
      </c>
      <c r="E417">
        <v>1</v>
      </c>
      <c r="AN417">
        <v>1</v>
      </c>
      <c r="AY417">
        <f t="shared" ref="AY417:AY480" si="14">COUNTBLANK(F417:AW417)</f>
        <v>43</v>
      </c>
      <c r="AZ417">
        <f t="shared" ref="AZ417:AZ480" si="15">COUNTBLANK(B417:E417)</f>
        <v>3</v>
      </c>
    </row>
    <row r="418" spans="1:52" ht="55.2">
      <c r="A418" s="3" t="s">
        <v>462</v>
      </c>
      <c r="E418">
        <v>1</v>
      </c>
      <c r="AN418">
        <v>1</v>
      </c>
      <c r="AY418">
        <f t="shared" si="14"/>
        <v>43</v>
      </c>
      <c r="AZ418">
        <f t="shared" si="15"/>
        <v>3</v>
      </c>
    </row>
    <row r="419" spans="1:52" ht="55.2">
      <c r="A419" s="3" t="s">
        <v>463</v>
      </c>
      <c r="E419">
        <v>1</v>
      </c>
      <c r="AN419">
        <v>1</v>
      </c>
      <c r="AY419">
        <f t="shared" si="14"/>
        <v>43</v>
      </c>
      <c r="AZ419">
        <f t="shared" si="15"/>
        <v>3</v>
      </c>
    </row>
    <row r="420" spans="1:52" ht="55.2">
      <c r="A420" s="3" t="s">
        <v>464</v>
      </c>
      <c r="E420">
        <v>1</v>
      </c>
      <c r="AN420">
        <v>1</v>
      </c>
      <c r="AY420">
        <f t="shared" si="14"/>
        <v>43</v>
      </c>
      <c r="AZ420">
        <f t="shared" si="15"/>
        <v>3</v>
      </c>
    </row>
    <row r="421" spans="1:52" ht="55.2">
      <c r="A421" s="3" t="s">
        <v>465</v>
      </c>
      <c r="E421">
        <v>1</v>
      </c>
      <c r="AN421">
        <v>1</v>
      </c>
      <c r="AY421">
        <f t="shared" si="14"/>
        <v>43</v>
      </c>
      <c r="AZ421">
        <f t="shared" si="15"/>
        <v>3</v>
      </c>
    </row>
    <row r="422" spans="1:52" ht="55.2">
      <c r="A422" s="3" t="s">
        <v>466</v>
      </c>
      <c r="E422">
        <v>1</v>
      </c>
      <c r="AN422">
        <v>1</v>
      </c>
      <c r="AY422">
        <f t="shared" si="14"/>
        <v>43</v>
      </c>
      <c r="AZ422">
        <f t="shared" si="15"/>
        <v>3</v>
      </c>
    </row>
    <row r="423" spans="1:52" ht="55.2">
      <c r="A423" s="3" t="s">
        <v>467</v>
      </c>
      <c r="E423">
        <v>1</v>
      </c>
      <c r="AN423">
        <v>1</v>
      </c>
      <c r="AY423">
        <f t="shared" si="14"/>
        <v>43</v>
      </c>
      <c r="AZ423">
        <f t="shared" si="15"/>
        <v>3</v>
      </c>
    </row>
    <row r="424" spans="1:52" ht="55.2">
      <c r="A424" s="3" t="s">
        <v>468</v>
      </c>
      <c r="E424">
        <v>1</v>
      </c>
      <c r="AN424">
        <v>1</v>
      </c>
      <c r="AY424">
        <f t="shared" si="14"/>
        <v>43</v>
      </c>
      <c r="AZ424">
        <f t="shared" si="15"/>
        <v>3</v>
      </c>
    </row>
    <row r="425" spans="1:52" ht="55.2">
      <c r="A425" s="3" t="s">
        <v>469</v>
      </c>
      <c r="E425">
        <v>1</v>
      </c>
      <c r="AN425">
        <v>1</v>
      </c>
      <c r="AY425">
        <f t="shared" si="14"/>
        <v>43</v>
      </c>
      <c r="AZ425">
        <f t="shared" si="15"/>
        <v>3</v>
      </c>
    </row>
    <row r="426" spans="1:52" ht="55.2">
      <c r="A426" s="3" t="s">
        <v>470</v>
      </c>
      <c r="E426">
        <v>1</v>
      </c>
      <c r="AN426">
        <v>1</v>
      </c>
      <c r="AY426">
        <f t="shared" si="14"/>
        <v>43</v>
      </c>
      <c r="AZ426">
        <f t="shared" si="15"/>
        <v>3</v>
      </c>
    </row>
    <row r="427" spans="1:52" ht="55.2">
      <c r="A427" s="3" t="s">
        <v>471</v>
      </c>
      <c r="E427">
        <v>1</v>
      </c>
      <c r="AN427">
        <v>1</v>
      </c>
      <c r="AY427">
        <f t="shared" si="14"/>
        <v>43</v>
      </c>
      <c r="AZ427">
        <f t="shared" si="15"/>
        <v>3</v>
      </c>
    </row>
    <row r="428" spans="1:52" ht="55.2">
      <c r="A428" s="3" t="s">
        <v>472</v>
      </c>
      <c r="E428">
        <v>1</v>
      </c>
      <c r="AN428">
        <v>1</v>
      </c>
      <c r="AY428">
        <f t="shared" si="14"/>
        <v>43</v>
      </c>
      <c r="AZ428">
        <f t="shared" si="15"/>
        <v>3</v>
      </c>
    </row>
    <row r="429" spans="1:52" ht="55.2">
      <c r="A429" s="3" t="s">
        <v>473</v>
      </c>
      <c r="E429">
        <v>1</v>
      </c>
      <c r="AN429">
        <v>1</v>
      </c>
      <c r="AY429">
        <f t="shared" si="14"/>
        <v>43</v>
      </c>
      <c r="AZ429">
        <f t="shared" si="15"/>
        <v>3</v>
      </c>
    </row>
    <row r="430" spans="1:52" ht="55.2">
      <c r="A430" s="3" t="s">
        <v>474</v>
      </c>
      <c r="E430">
        <v>1</v>
      </c>
      <c r="AN430">
        <v>1</v>
      </c>
      <c r="AY430">
        <f t="shared" si="14"/>
        <v>43</v>
      </c>
      <c r="AZ430">
        <f t="shared" si="15"/>
        <v>3</v>
      </c>
    </row>
    <row r="431" spans="1:52" ht="55.2">
      <c r="A431" s="3" t="s">
        <v>475</v>
      </c>
      <c r="E431">
        <v>1</v>
      </c>
      <c r="AN431">
        <v>1</v>
      </c>
      <c r="AY431">
        <f t="shared" si="14"/>
        <v>43</v>
      </c>
      <c r="AZ431">
        <f t="shared" si="15"/>
        <v>3</v>
      </c>
    </row>
    <row r="432" spans="1:52" ht="55.2">
      <c r="A432" s="3" t="s">
        <v>476</v>
      </c>
      <c r="E432">
        <v>1</v>
      </c>
      <c r="AN432">
        <v>1</v>
      </c>
      <c r="AY432">
        <f t="shared" si="14"/>
        <v>43</v>
      </c>
      <c r="AZ432">
        <f t="shared" si="15"/>
        <v>3</v>
      </c>
    </row>
    <row r="433" spans="1:52" ht="55.2">
      <c r="A433" s="3" t="s">
        <v>477</v>
      </c>
      <c r="E433">
        <v>1</v>
      </c>
      <c r="AN433">
        <v>1</v>
      </c>
      <c r="AY433">
        <f t="shared" si="14"/>
        <v>43</v>
      </c>
      <c r="AZ433">
        <f t="shared" si="15"/>
        <v>3</v>
      </c>
    </row>
    <row r="434" spans="1:52" ht="55.2">
      <c r="A434" s="3" t="s">
        <v>478</v>
      </c>
      <c r="E434">
        <v>1</v>
      </c>
      <c r="AN434">
        <v>1</v>
      </c>
      <c r="AY434">
        <f t="shared" si="14"/>
        <v>43</v>
      </c>
      <c r="AZ434">
        <f t="shared" si="15"/>
        <v>3</v>
      </c>
    </row>
    <row r="435" spans="1:52" ht="55.2">
      <c r="A435" s="3" t="s">
        <v>479</v>
      </c>
      <c r="E435">
        <v>1</v>
      </c>
      <c r="AN435">
        <v>1</v>
      </c>
      <c r="AY435">
        <f t="shared" si="14"/>
        <v>43</v>
      </c>
      <c r="AZ435">
        <f t="shared" si="15"/>
        <v>3</v>
      </c>
    </row>
    <row r="436" spans="1:52" ht="55.2">
      <c r="A436" s="3" t="s">
        <v>480</v>
      </c>
      <c r="E436">
        <v>1</v>
      </c>
      <c r="AN436">
        <v>1</v>
      </c>
      <c r="AY436">
        <f t="shared" si="14"/>
        <v>43</v>
      </c>
      <c r="AZ436">
        <f t="shared" si="15"/>
        <v>3</v>
      </c>
    </row>
    <row r="437" spans="1:52" ht="55.2">
      <c r="A437" s="3" t="s">
        <v>481</v>
      </c>
      <c r="E437">
        <v>1</v>
      </c>
      <c r="AN437">
        <v>1</v>
      </c>
      <c r="AY437">
        <f t="shared" si="14"/>
        <v>43</v>
      </c>
      <c r="AZ437">
        <f t="shared" si="15"/>
        <v>3</v>
      </c>
    </row>
    <row r="438" spans="1:52" ht="55.2">
      <c r="A438" s="3" t="s">
        <v>482</v>
      </c>
      <c r="E438">
        <v>1</v>
      </c>
      <c r="AN438">
        <v>1</v>
      </c>
      <c r="AY438">
        <f t="shared" si="14"/>
        <v>43</v>
      </c>
      <c r="AZ438">
        <f t="shared" si="15"/>
        <v>3</v>
      </c>
    </row>
    <row r="439" spans="1:52" ht="55.2">
      <c r="A439" s="3" t="s">
        <v>483</v>
      </c>
      <c r="E439">
        <v>1</v>
      </c>
      <c r="AN439">
        <v>1</v>
      </c>
      <c r="AY439">
        <f t="shared" si="14"/>
        <v>43</v>
      </c>
      <c r="AZ439">
        <f t="shared" si="15"/>
        <v>3</v>
      </c>
    </row>
    <row r="440" spans="1:52" ht="55.2">
      <c r="A440" s="3" t="s">
        <v>484</v>
      </c>
      <c r="E440">
        <v>1</v>
      </c>
      <c r="AN440">
        <v>1</v>
      </c>
      <c r="AY440">
        <f t="shared" si="14"/>
        <v>43</v>
      </c>
      <c r="AZ440">
        <f t="shared" si="15"/>
        <v>3</v>
      </c>
    </row>
    <row r="441" spans="1:52" ht="55.2">
      <c r="A441" s="3" t="s">
        <v>485</v>
      </c>
      <c r="E441">
        <v>1</v>
      </c>
      <c r="J441">
        <v>4</v>
      </c>
      <c r="AY441">
        <f t="shared" si="14"/>
        <v>43</v>
      </c>
      <c r="AZ441">
        <f t="shared" si="15"/>
        <v>3</v>
      </c>
    </row>
    <row r="442" spans="1:52" ht="55.2">
      <c r="A442" s="3" t="s">
        <v>486</v>
      </c>
      <c r="E442">
        <v>1</v>
      </c>
      <c r="J442">
        <v>4</v>
      </c>
      <c r="AY442">
        <f t="shared" si="14"/>
        <v>43</v>
      </c>
      <c r="AZ442">
        <f t="shared" si="15"/>
        <v>3</v>
      </c>
    </row>
    <row r="443" spans="1:52" ht="55.2">
      <c r="A443" s="3" t="s">
        <v>487</v>
      </c>
      <c r="E443">
        <v>1</v>
      </c>
      <c r="J443">
        <v>4</v>
      </c>
      <c r="AY443">
        <f t="shared" si="14"/>
        <v>43</v>
      </c>
      <c r="AZ443">
        <f t="shared" si="15"/>
        <v>3</v>
      </c>
    </row>
    <row r="444" spans="1:52" ht="55.2">
      <c r="A444" s="3" t="s">
        <v>488</v>
      </c>
      <c r="E444">
        <v>1</v>
      </c>
      <c r="J444">
        <v>4</v>
      </c>
      <c r="AY444">
        <f t="shared" si="14"/>
        <v>43</v>
      </c>
      <c r="AZ444">
        <f t="shared" si="15"/>
        <v>3</v>
      </c>
    </row>
    <row r="445" spans="1:52" ht="55.2">
      <c r="A445" s="3" t="s">
        <v>489</v>
      </c>
      <c r="E445">
        <v>1</v>
      </c>
      <c r="J445">
        <v>4</v>
      </c>
      <c r="AY445">
        <f t="shared" si="14"/>
        <v>43</v>
      </c>
      <c r="AZ445">
        <f t="shared" si="15"/>
        <v>3</v>
      </c>
    </row>
    <row r="446" spans="1:52" ht="55.2">
      <c r="A446" s="3" t="s">
        <v>490</v>
      </c>
      <c r="E446">
        <v>1</v>
      </c>
      <c r="J446">
        <v>4</v>
      </c>
      <c r="AY446">
        <f t="shared" si="14"/>
        <v>43</v>
      </c>
      <c r="AZ446">
        <f t="shared" si="15"/>
        <v>3</v>
      </c>
    </row>
    <row r="447" spans="1:52" ht="55.2">
      <c r="A447" s="3" t="s">
        <v>491</v>
      </c>
      <c r="E447">
        <v>1</v>
      </c>
      <c r="J447">
        <v>4</v>
      </c>
      <c r="AY447">
        <f t="shared" si="14"/>
        <v>43</v>
      </c>
      <c r="AZ447">
        <f t="shared" si="15"/>
        <v>3</v>
      </c>
    </row>
    <row r="448" spans="1:52" ht="55.2">
      <c r="A448" s="3" t="s">
        <v>492</v>
      </c>
      <c r="E448">
        <v>1</v>
      </c>
      <c r="J448">
        <v>4</v>
      </c>
      <c r="AY448">
        <f t="shared" si="14"/>
        <v>43</v>
      </c>
      <c r="AZ448">
        <f t="shared" si="15"/>
        <v>3</v>
      </c>
    </row>
    <row r="449" spans="1:52" ht="55.2">
      <c r="A449" s="3" t="s">
        <v>493</v>
      </c>
      <c r="E449">
        <v>1</v>
      </c>
      <c r="J449">
        <v>4</v>
      </c>
      <c r="AY449">
        <f t="shared" si="14"/>
        <v>43</v>
      </c>
      <c r="AZ449">
        <f t="shared" si="15"/>
        <v>3</v>
      </c>
    </row>
    <row r="450" spans="1:52" ht="55.2">
      <c r="A450" s="3" t="s">
        <v>494</v>
      </c>
      <c r="E450">
        <v>1</v>
      </c>
      <c r="J450">
        <v>4</v>
      </c>
      <c r="AY450">
        <f t="shared" si="14"/>
        <v>43</v>
      </c>
      <c r="AZ450">
        <f t="shared" si="15"/>
        <v>3</v>
      </c>
    </row>
    <row r="451" spans="1:52" ht="55.2">
      <c r="A451" s="3" t="s">
        <v>495</v>
      </c>
      <c r="E451">
        <v>1</v>
      </c>
      <c r="J451">
        <v>4</v>
      </c>
      <c r="AY451">
        <f t="shared" si="14"/>
        <v>43</v>
      </c>
      <c r="AZ451">
        <f t="shared" si="15"/>
        <v>3</v>
      </c>
    </row>
    <row r="452" spans="1:52" ht="55.2">
      <c r="A452" s="3" t="s">
        <v>496</v>
      </c>
      <c r="E452">
        <v>1</v>
      </c>
      <c r="J452">
        <v>4</v>
      </c>
      <c r="AY452">
        <f t="shared" si="14"/>
        <v>43</v>
      </c>
      <c r="AZ452">
        <f t="shared" si="15"/>
        <v>3</v>
      </c>
    </row>
    <row r="453" spans="1:52" ht="55.2">
      <c r="A453" s="3" t="s">
        <v>497</v>
      </c>
      <c r="E453">
        <v>1</v>
      </c>
      <c r="J453">
        <v>4</v>
      </c>
      <c r="AY453">
        <f t="shared" si="14"/>
        <v>43</v>
      </c>
      <c r="AZ453">
        <f t="shared" si="15"/>
        <v>3</v>
      </c>
    </row>
    <row r="454" spans="1:52" ht="55.2">
      <c r="A454" s="3" t="s">
        <v>498</v>
      </c>
      <c r="E454">
        <v>1</v>
      </c>
      <c r="J454">
        <v>4</v>
      </c>
      <c r="AY454">
        <f t="shared" si="14"/>
        <v>43</v>
      </c>
      <c r="AZ454">
        <f t="shared" si="15"/>
        <v>3</v>
      </c>
    </row>
    <row r="455" spans="1:52" ht="55.2">
      <c r="A455" s="3" t="s">
        <v>499</v>
      </c>
      <c r="E455">
        <v>1</v>
      </c>
      <c r="J455">
        <v>4</v>
      </c>
      <c r="AY455">
        <f t="shared" si="14"/>
        <v>43</v>
      </c>
      <c r="AZ455">
        <f t="shared" si="15"/>
        <v>3</v>
      </c>
    </row>
    <row r="456" spans="1:52" ht="55.2">
      <c r="A456" s="3" t="s">
        <v>500</v>
      </c>
      <c r="E456">
        <v>1</v>
      </c>
      <c r="J456">
        <v>4</v>
      </c>
      <c r="AY456">
        <f t="shared" si="14"/>
        <v>43</v>
      </c>
      <c r="AZ456">
        <f t="shared" si="15"/>
        <v>3</v>
      </c>
    </row>
    <row r="457" spans="1:52" ht="55.2">
      <c r="A457" s="3" t="s">
        <v>501</v>
      </c>
      <c r="E457">
        <v>1</v>
      </c>
      <c r="J457">
        <v>4</v>
      </c>
      <c r="AY457">
        <f t="shared" si="14"/>
        <v>43</v>
      </c>
      <c r="AZ457">
        <f t="shared" si="15"/>
        <v>3</v>
      </c>
    </row>
    <row r="458" spans="1:52" ht="55.2">
      <c r="A458" s="3" t="s">
        <v>502</v>
      </c>
      <c r="E458">
        <v>1</v>
      </c>
      <c r="J458">
        <v>4</v>
      </c>
      <c r="AY458">
        <f t="shared" si="14"/>
        <v>43</v>
      </c>
      <c r="AZ458">
        <f t="shared" si="15"/>
        <v>3</v>
      </c>
    </row>
    <row r="459" spans="1:52" ht="55.2">
      <c r="A459" s="3" t="s">
        <v>503</v>
      </c>
      <c r="E459">
        <v>1</v>
      </c>
      <c r="J459">
        <v>4</v>
      </c>
      <c r="AY459">
        <f t="shared" si="14"/>
        <v>43</v>
      </c>
      <c r="AZ459">
        <f t="shared" si="15"/>
        <v>3</v>
      </c>
    </row>
    <row r="460" spans="1:52" ht="55.2">
      <c r="A460" s="3" t="s">
        <v>504</v>
      </c>
      <c r="E460">
        <v>1</v>
      </c>
      <c r="J460">
        <v>4</v>
      </c>
      <c r="AY460">
        <f t="shared" si="14"/>
        <v>43</v>
      </c>
      <c r="AZ460">
        <f t="shared" si="15"/>
        <v>3</v>
      </c>
    </row>
    <row r="461" spans="1:52" ht="55.2">
      <c r="A461" s="3" t="s">
        <v>505</v>
      </c>
      <c r="E461">
        <v>1</v>
      </c>
      <c r="J461">
        <v>4</v>
      </c>
      <c r="AY461">
        <f t="shared" si="14"/>
        <v>43</v>
      </c>
      <c r="AZ461">
        <f t="shared" si="15"/>
        <v>3</v>
      </c>
    </row>
    <row r="462" spans="1:52" ht="55.2">
      <c r="A462" s="3" t="s">
        <v>506</v>
      </c>
      <c r="E462">
        <v>1</v>
      </c>
      <c r="J462">
        <v>4</v>
      </c>
      <c r="AY462">
        <f t="shared" si="14"/>
        <v>43</v>
      </c>
      <c r="AZ462">
        <f t="shared" si="15"/>
        <v>3</v>
      </c>
    </row>
    <row r="463" spans="1:52" ht="55.2">
      <c r="A463" s="3" t="s">
        <v>507</v>
      </c>
      <c r="E463">
        <v>1</v>
      </c>
      <c r="J463">
        <v>4</v>
      </c>
      <c r="AY463">
        <f t="shared" si="14"/>
        <v>43</v>
      </c>
      <c r="AZ463">
        <f t="shared" si="15"/>
        <v>3</v>
      </c>
    </row>
    <row r="464" spans="1:52" ht="55.2">
      <c r="A464" s="3" t="s">
        <v>508</v>
      </c>
      <c r="E464">
        <v>1</v>
      </c>
      <c r="J464">
        <v>4</v>
      </c>
      <c r="AY464">
        <f t="shared" si="14"/>
        <v>43</v>
      </c>
      <c r="AZ464">
        <f t="shared" si="15"/>
        <v>3</v>
      </c>
    </row>
    <row r="465" spans="1:52" ht="55.2">
      <c r="A465" s="3" t="s">
        <v>509</v>
      </c>
      <c r="E465">
        <v>1</v>
      </c>
      <c r="J465">
        <v>4</v>
      </c>
      <c r="AY465">
        <f t="shared" si="14"/>
        <v>43</v>
      </c>
      <c r="AZ465">
        <f t="shared" si="15"/>
        <v>3</v>
      </c>
    </row>
    <row r="466" spans="1:52" ht="55.2">
      <c r="A466" s="3" t="s">
        <v>510</v>
      </c>
      <c r="E466">
        <v>1</v>
      </c>
      <c r="J466">
        <v>4</v>
      </c>
      <c r="AY466">
        <f t="shared" si="14"/>
        <v>43</v>
      </c>
      <c r="AZ466">
        <f t="shared" si="15"/>
        <v>3</v>
      </c>
    </row>
    <row r="467" spans="1:52" ht="55.2">
      <c r="A467" s="3" t="s">
        <v>511</v>
      </c>
      <c r="E467">
        <v>1</v>
      </c>
      <c r="J467">
        <v>4</v>
      </c>
      <c r="AY467">
        <f t="shared" si="14"/>
        <v>43</v>
      </c>
      <c r="AZ467">
        <f t="shared" si="15"/>
        <v>3</v>
      </c>
    </row>
    <row r="468" spans="1:52" ht="55.2">
      <c r="A468" s="3" t="s">
        <v>512</v>
      </c>
      <c r="E468">
        <v>1</v>
      </c>
      <c r="J468">
        <v>4</v>
      </c>
      <c r="AY468">
        <f t="shared" si="14"/>
        <v>43</v>
      </c>
      <c r="AZ468">
        <f t="shared" si="15"/>
        <v>3</v>
      </c>
    </row>
    <row r="469" spans="1:52" ht="55.2">
      <c r="A469" s="3" t="s">
        <v>513</v>
      </c>
      <c r="E469">
        <v>1</v>
      </c>
      <c r="J469">
        <v>4</v>
      </c>
      <c r="AY469">
        <f t="shared" si="14"/>
        <v>43</v>
      </c>
      <c r="AZ469">
        <f t="shared" si="15"/>
        <v>3</v>
      </c>
    </row>
    <row r="470" spans="1:52" ht="55.2">
      <c r="A470" s="3" t="s">
        <v>514</v>
      </c>
      <c r="E470">
        <v>1</v>
      </c>
      <c r="J470">
        <v>4</v>
      </c>
      <c r="AY470">
        <f t="shared" si="14"/>
        <v>43</v>
      </c>
      <c r="AZ470">
        <f t="shared" si="15"/>
        <v>3</v>
      </c>
    </row>
    <row r="471" spans="1:52" ht="55.2">
      <c r="A471" s="3" t="s">
        <v>515</v>
      </c>
      <c r="E471">
        <v>1</v>
      </c>
      <c r="J471">
        <v>4</v>
      </c>
      <c r="AY471">
        <f t="shared" si="14"/>
        <v>43</v>
      </c>
      <c r="AZ471">
        <f t="shared" si="15"/>
        <v>3</v>
      </c>
    </row>
    <row r="472" spans="1:52" ht="55.2">
      <c r="A472" s="3" t="s">
        <v>516</v>
      </c>
      <c r="E472">
        <v>1</v>
      </c>
      <c r="J472">
        <v>4</v>
      </c>
      <c r="AY472">
        <f t="shared" si="14"/>
        <v>43</v>
      </c>
      <c r="AZ472">
        <f t="shared" si="15"/>
        <v>3</v>
      </c>
    </row>
    <row r="473" spans="1:52" ht="55.2">
      <c r="A473" s="3" t="s">
        <v>517</v>
      </c>
      <c r="E473">
        <v>1</v>
      </c>
      <c r="M473">
        <v>1</v>
      </c>
      <c r="AY473">
        <f t="shared" si="14"/>
        <v>43</v>
      </c>
      <c r="AZ473">
        <f t="shared" si="15"/>
        <v>3</v>
      </c>
    </row>
    <row r="474" spans="1:52" ht="55.2">
      <c r="A474" s="3" t="s">
        <v>518</v>
      </c>
      <c r="E474">
        <v>1</v>
      </c>
      <c r="M474">
        <v>1</v>
      </c>
      <c r="AY474">
        <f t="shared" si="14"/>
        <v>43</v>
      </c>
      <c r="AZ474">
        <f t="shared" si="15"/>
        <v>3</v>
      </c>
    </row>
    <row r="475" spans="1:52" ht="55.2">
      <c r="A475" s="3" t="s">
        <v>519</v>
      </c>
      <c r="E475">
        <v>1</v>
      </c>
      <c r="M475">
        <v>1</v>
      </c>
      <c r="AY475">
        <f t="shared" si="14"/>
        <v>43</v>
      </c>
      <c r="AZ475">
        <f t="shared" si="15"/>
        <v>3</v>
      </c>
    </row>
    <row r="476" spans="1:52" ht="55.2">
      <c r="A476" s="3" t="s">
        <v>520</v>
      </c>
      <c r="E476">
        <v>1</v>
      </c>
      <c r="M476">
        <v>1</v>
      </c>
      <c r="AY476">
        <f t="shared" si="14"/>
        <v>43</v>
      </c>
      <c r="AZ476">
        <f t="shared" si="15"/>
        <v>3</v>
      </c>
    </row>
    <row r="477" spans="1:52" ht="55.2">
      <c r="A477" s="3" t="s">
        <v>521</v>
      </c>
      <c r="E477">
        <v>1</v>
      </c>
      <c r="M477">
        <v>1</v>
      </c>
      <c r="AY477">
        <f t="shared" si="14"/>
        <v>43</v>
      </c>
      <c r="AZ477">
        <f t="shared" si="15"/>
        <v>3</v>
      </c>
    </row>
    <row r="478" spans="1:52" ht="55.2">
      <c r="A478" s="3" t="s">
        <v>522</v>
      </c>
      <c r="E478">
        <v>1</v>
      </c>
      <c r="M478">
        <v>1</v>
      </c>
      <c r="AY478">
        <f t="shared" si="14"/>
        <v>43</v>
      </c>
      <c r="AZ478">
        <f t="shared" si="15"/>
        <v>3</v>
      </c>
    </row>
    <row r="479" spans="1:52" ht="55.2">
      <c r="A479" s="3" t="s">
        <v>523</v>
      </c>
      <c r="E479">
        <v>1</v>
      </c>
      <c r="M479">
        <v>1</v>
      </c>
      <c r="AY479">
        <f t="shared" si="14"/>
        <v>43</v>
      </c>
      <c r="AZ479">
        <f t="shared" si="15"/>
        <v>3</v>
      </c>
    </row>
    <row r="480" spans="1:52" ht="55.2">
      <c r="A480" s="3" t="s">
        <v>524</v>
      </c>
      <c r="E480">
        <v>1</v>
      </c>
      <c r="M480">
        <v>1</v>
      </c>
      <c r="AY480">
        <f t="shared" si="14"/>
        <v>43</v>
      </c>
      <c r="AZ480">
        <f t="shared" si="15"/>
        <v>3</v>
      </c>
    </row>
    <row r="481" spans="1:52" ht="55.2">
      <c r="A481" s="3" t="s">
        <v>525</v>
      </c>
      <c r="E481">
        <v>1</v>
      </c>
      <c r="M481">
        <v>1</v>
      </c>
      <c r="AY481">
        <f t="shared" ref="AY481:AY544" si="16">COUNTBLANK(F481:AW481)</f>
        <v>43</v>
      </c>
      <c r="AZ481">
        <f t="shared" ref="AZ481:AZ544" si="17">COUNTBLANK(B481:E481)</f>
        <v>3</v>
      </c>
    </row>
    <row r="482" spans="1:52" ht="55.2">
      <c r="A482" s="3" t="s">
        <v>526</v>
      </c>
      <c r="E482">
        <v>1</v>
      </c>
      <c r="M482">
        <v>1</v>
      </c>
      <c r="AY482">
        <f t="shared" si="16"/>
        <v>43</v>
      </c>
      <c r="AZ482">
        <f t="shared" si="17"/>
        <v>3</v>
      </c>
    </row>
    <row r="483" spans="1:52" ht="55.2">
      <c r="A483" s="3" t="s">
        <v>527</v>
      </c>
      <c r="E483">
        <v>1</v>
      </c>
      <c r="M483">
        <v>1</v>
      </c>
      <c r="AY483">
        <f t="shared" si="16"/>
        <v>43</v>
      </c>
      <c r="AZ483">
        <f t="shared" si="17"/>
        <v>3</v>
      </c>
    </row>
    <row r="484" spans="1:52" ht="55.2">
      <c r="A484" s="3" t="s">
        <v>528</v>
      </c>
      <c r="E484">
        <v>1</v>
      </c>
      <c r="M484">
        <v>1</v>
      </c>
      <c r="AY484">
        <f t="shared" si="16"/>
        <v>43</v>
      </c>
      <c r="AZ484">
        <f t="shared" si="17"/>
        <v>3</v>
      </c>
    </row>
    <row r="485" spans="1:52" ht="55.2">
      <c r="A485" s="3" t="s">
        <v>529</v>
      </c>
      <c r="E485">
        <v>1</v>
      </c>
      <c r="M485">
        <v>1</v>
      </c>
      <c r="AY485">
        <f t="shared" si="16"/>
        <v>43</v>
      </c>
      <c r="AZ485">
        <f t="shared" si="17"/>
        <v>3</v>
      </c>
    </row>
    <row r="486" spans="1:52" ht="55.2">
      <c r="A486" s="3" t="s">
        <v>530</v>
      </c>
      <c r="E486">
        <v>1</v>
      </c>
      <c r="M486">
        <v>1</v>
      </c>
      <c r="AY486">
        <f t="shared" si="16"/>
        <v>43</v>
      </c>
      <c r="AZ486">
        <f t="shared" si="17"/>
        <v>3</v>
      </c>
    </row>
    <row r="487" spans="1:52" ht="55.2">
      <c r="A487" s="3" t="s">
        <v>531</v>
      </c>
      <c r="E487">
        <v>1</v>
      </c>
      <c r="M487">
        <v>1</v>
      </c>
      <c r="AY487">
        <f t="shared" si="16"/>
        <v>43</v>
      </c>
      <c r="AZ487">
        <f t="shared" si="17"/>
        <v>3</v>
      </c>
    </row>
    <row r="488" spans="1:52" ht="55.2">
      <c r="A488" s="3" t="s">
        <v>532</v>
      </c>
      <c r="E488">
        <v>1</v>
      </c>
      <c r="M488">
        <v>1</v>
      </c>
      <c r="AY488">
        <f t="shared" si="16"/>
        <v>43</v>
      </c>
      <c r="AZ488">
        <f t="shared" si="17"/>
        <v>3</v>
      </c>
    </row>
    <row r="489" spans="1:52" ht="55.2">
      <c r="A489" s="3" t="s">
        <v>533</v>
      </c>
      <c r="E489">
        <v>1</v>
      </c>
      <c r="J489">
        <v>5</v>
      </c>
      <c r="AY489">
        <f t="shared" si="16"/>
        <v>43</v>
      </c>
      <c r="AZ489">
        <f t="shared" si="17"/>
        <v>3</v>
      </c>
    </row>
    <row r="490" spans="1:52" ht="55.2">
      <c r="A490" s="3" t="s">
        <v>534</v>
      </c>
      <c r="E490">
        <v>1</v>
      </c>
      <c r="J490">
        <v>5</v>
      </c>
      <c r="AY490">
        <f t="shared" si="16"/>
        <v>43</v>
      </c>
      <c r="AZ490">
        <f t="shared" si="17"/>
        <v>3</v>
      </c>
    </row>
    <row r="491" spans="1:52" ht="55.2">
      <c r="A491" s="3" t="s">
        <v>535</v>
      </c>
      <c r="E491">
        <v>1</v>
      </c>
      <c r="J491">
        <v>5</v>
      </c>
      <c r="AY491">
        <f t="shared" si="16"/>
        <v>43</v>
      </c>
      <c r="AZ491">
        <f t="shared" si="17"/>
        <v>3</v>
      </c>
    </row>
    <row r="492" spans="1:52" ht="55.2">
      <c r="A492" s="3" t="s">
        <v>536</v>
      </c>
      <c r="E492">
        <v>1</v>
      </c>
      <c r="J492">
        <v>5</v>
      </c>
      <c r="AY492">
        <f t="shared" si="16"/>
        <v>43</v>
      </c>
      <c r="AZ492">
        <f t="shared" si="17"/>
        <v>3</v>
      </c>
    </row>
    <row r="493" spans="1:52" ht="55.2">
      <c r="A493" s="3" t="s">
        <v>537</v>
      </c>
      <c r="E493">
        <v>1</v>
      </c>
      <c r="J493">
        <v>5</v>
      </c>
      <c r="AY493">
        <f t="shared" si="16"/>
        <v>43</v>
      </c>
      <c r="AZ493">
        <f t="shared" si="17"/>
        <v>3</v>
      </c>
    </row>
    <row r="494" spans="1:52" ht="55.2">
      <c r="A494" s="3" t="s">
        <v>538</v>
      </c>
      <c r="E494">
        <v>1</v>
      </c>
      <c r="J494">
        <v>5</v>
      </c>
      <c r="AY494">
        <f t="shared" si="16"/>
        <v>43</v>
      </c>
      <c r="AZ494">
        <f t="shared" si="17"/>
        <v>3</v>
      </c>
    </row>
    <row r="495" spans="1:52" ht="55.2">
      <c r="A495" s="3" t="s">
        <v>539</v>
      </c>
      <c r="E495">
        <v>1</v>
      </c>
      <c r="J495">
        <v>5</v>
      </c>
      <c r="AY495">
        <f t="shared" si="16"/>
        <v>43</v>
      </c>
      <c r="AZ495">
        <f t="shared" si="17"/>
        <v>3</v>
      </c>
    </row>
    <row r="496" spans="1:52" ht="55.2">
      <c r="A496" s="3" t="s">
        <v>540</v>
      </c>
      <c r="E496">
        <v>1</v>
      </c>
      <c r="J496">
        <v>5</v>
      </c>
      <c r="AY496">
        <f t="shared" si="16"/>
        <v>43</v>
      </c>
      <c r="AZ496">
        <f t="shared" si="17"/>
        <v>3</v>
      </c>
    </row>
    <row r="497" spans="1:52" ht="55.2">
      <c r="A497" s="3" t="s">
        <v>541</v>
      </c>
      <c r="E497">
        <v>1</v>
      </c>
      <c r="J497">
        <v>5</v>
      </c>
      <c r="AY497">
        <f t="shared" si="16"/>
        <v>43</v>
      </c>
      <c r="AZ497">
        <f t="shared" si="17"/>
        <v>3</v>
      </c>
    </row>
    <row r="498" spans="1:52" ht="55.2">
      <c r="A498" s="3" t="s">
        <v>542</v>
      </c>
      <c r="E498">
        <v>1</v>
      </c>
      <c r="J498">
        <v>5</v>
      </c>
      <c r="AY498">
        <f t="shared" si="16"/>
        <v>43</v>
      </c>
      <c r="AZ498">
        <f t="shared" si="17"/>
        <v>3</v>
      </c>
    </row>
    <row r="499" spans="1:52" ht="55.2">
      <c r="A499" s="3" t="s">
        <v>543</v>
      </c>
      <c r="E499">
        <v>1</v>
      </c>
      <c r="J499">
        <v>5</v>
      </c>
      <c r="AY499">
        <f t="shared" si="16"/>
        <v>43</v>
      </c>
      <c r="AZ499">
        <f t="shared" si="17"/>
        <v>3</v>
      </c>
    </row>
    <row r="500" spans="1:52" ht="55.2">
      <c r="A500" s="3" t="s">
        <v>544</v>
      </c>
      <c r="E500">
        <v>1</v>
      </c>
      <c r="J500">
        <v>5</v>
      </c>
      <c r="AY500">
        <f t="shared" si="16"/>
        <v>43</v>
      </c>
      <c r="AZ500">
        <f t="shared" si="17"/>
        <v>3</v>
      </c>
    </row>
    <row r="501" spans="1:52" ht="55.2">
      <c r="A501" s="3" t="s">
        <v>545</v>
      </c>
      <c r="E501">
        <v>1</v>
      </c>
      <c r="J501">
        <v>5</v>
      </c>
      <c r="AY501">
        <f t="shared" si="16"/>
        <v>43</v>
      </c>
      <c r="AZ501">
        <f t="shared" si="17"/>
        <v>3</v>
      </c>
    </row>
    <row r="502" spans="1:52" ht="55.2">
      <c r="A502" s="3" t="s">
        <v>546</v>
      </c>
      <c r="E502">
        <v>1</v>
      </c>
      <c r="J502">
        <v>5</v>
      </c>
      <c r="AY502">
        <f t="shared" si="16"/>
        <v>43</v>
      </c>
      <c r="AZ502">
        <f t="shared" si="17"/>
        <v>3</v>
      </c>
    </row>
    <row r="503" spans="1:52" ht="55.2">
      <c r="A503" s="3" t="s">
        <v>547</v>
      </c>
      <c r="E503">
        <v>1</v>
      </c>
      <c r="J503">
        <v>5</v>
      </c>
      <c r="AY503">
        <f t="shared" si="16"/>
        <v>43</v>
      </c>
      <c r="AZ503">
        <f t="shared" si="17"/>
        <v>3</v>
      </c>
    </row>
    <row r="504" spans="1:52" ht="55.2">
      <c r="A504" s="3" t="s">
        <v>548</v>
      </c>
      <c r="E504">
        <v>1</v>
      </c>
      <c r="J504">
        <v>5</v>
      </c>
      <c r="AY504">
        <f t="shared" si="16"/>
        <v>43</v>
      </c>
      <c r="AZ504">
        <f t="shared" si="17"/>
        <v>3</v>
      </c>
    </row>
    <row r="505" spans="1:52" ht="55.2">
      <c r="A505" s="3" t="s">
        <v>549</v>
      </c>
      <c r="E505">
        <v>1</v>
      </c>
      <c r="J505">
        <v>5</v>
      </c>
      <c r="AY505">
        <f t="shared" si="16"/>
        <v>43</v>
      </c>
      <c r="AZ505">
        <f t="shared" si="17"/>
        <v>3</v>
      </c>
    </row>
    <row r="506" spans="1:52" ht="55.2">
      <c r="A506" s="3" t="s">
        <v>550</v>
      </c>
      <c r="E506">
        <v>1</v>
      </c>
      <c r="J506">
        <v>5</v>
      </c>
      <c r="AY506">
        <f t="shared" si="16"/>
        <v>43</v>
      </c>
      <c r="AZ506">
        <f t="shared" si="17"/>
        <v>3</v>
      </c>
    </row>
    <row r="507" spans="1:52" ht="55.2">
      <c r="A507" s="3" t="s">
        <v>551</v>
      </c>
      <c r="E507">
        <v>1</v>
      </c>
      <c r="J507">
        <v>5</v>
      </c>
      <c r="AY507">
        <f t="shared" si="16"/>
        <v>43</v>
      </c>
      <c r="AZ507">
        <f t="shared" si="17"/>
        <v>3</v>
      </c>
    </row>
    <row r="508" spans="1:52" ht="55.2">
      <c r="A508" s="3" t="s">
        <v>552</v>
      </c>
      <c r="E508">
        <v>1</v>
      </c>
      <c r="J508">
        <v>5</v>
      </c>
      <c r="AY508">
        <f t="shared" si="16"/>
        <v>43</v>
      </c>
      <c r="AZ508">
        <f t="shared" si="17"/>
        <v>3</v>
      </c>
    </row>
    <row r="509" spans="1:52" ht="55.2">
      <c r="A509" s="3" t="s">
        <v>553</v>
      </c>
      <c r="E509">
        <v>1</v>
      </c>
      <c r="J509">
        <v>5</v>
      </c>
      <c r="AY509">
        <f t="shared" si="16"/>
        <v>43</v>
      </c>
      <c r="AZ509">
        <f t="shared" si="17"/>
        <v>3</v>
      </c>
    </row>
    <row r="510" spans="1:52" ht="55.2">
      <c r="A510" s="3" t="s">
        <v>554</v>
      </c>
      <c r="E510">
        <v>1</v>
      </c>
      <c r="J510">
        <v>5</v>
      </c>
      <c r="AY510">
        <f t="shared" si="16"/>
        <v>43</v>
      </c>
      <c r="AZ510">
        <f t="shared" si="17"/>
        <v>3</v>
      </c>
    </row>
    <row r="511" spans="1:52" ht="55.2">
      <c r="A511" s="3" t="s">
        <v>555</v>
      </c>
      <c r="E511">
        <v>1</v>
      </c>
      <c r="J511">
        <v>5</v>
      </c>
      <c r="AY511">
        <f t="shared" si="16"/>
        <v>43</v>
      </c>
      <c r="AZ511">
        <f t="shared" si="17"/>
        <v>3</v>
      </c>
    </row>
    <row r="512" spans="1:52" ht="55.2">
      <c r="A512" s="3" t="s">
        <v>556</v>
      </c>
      <c r="E512">
        <v>1</v>
      </c>
      <c r="J512">
        <v>5</v>
      </c>
      <c r="AY512">
        <f t="shared" si="16"/>
        <v>43</v>
      </c>
      <c r="AZ512">
        <f t="shared" si="17"/>
        <v>3</v>
      </c>
    </row>
    <row r="513" spans="1:52" ht="55.2">
      <c r="A513" s="3" t="s">
        <v>557</v>
      </c>
      <c r="E513">
        <v>1</v>
      </c>
      <c r="J513">
        <v>5</v>
      </c>
      <c r="AY513">
        <f t="shared" si="16"/>
        <v>43</v>
      </c>
      <c r="AZ513">
        <f t="shared" si="17"/>
        <v>3</v>
      </c>
    </row>
    <row r="514" spans="1:52" ht="55.2">
      <c r="A514" s="3" t="s">
        <v>558</v>
      </c>
      <c r="E514">
        <v>1</v>
      </c>
      <c r="J514">
        <v>5</v>
      </c>
      <c r="AY514">
        <f t="shared" si="16"/>
        <v>43</v>
      </c>
      <c r="AZ514">
        <f t="shared" si="17"/>
        <v>3</v>
      </c>
    </row>
    <row r="515" spans="1:52" ht="55.2">
      <c r="A515" s="3" t="s">
        <v>559</v>
      </c>
      <c r="E515">
        <v>1</v>
      </c>
      <c r="J515">
        <v>5</v>
      </c>
      <c r="AY515">
        <f t="shared" si="16"/>
        <v>43</v>
      </c>
      <c r="AZ515">
        <f t="shared" si="17"/>
        <v>3</v>
      </c>
    </row>
    <row r="516" spans="1:52" ht="55.2">
      <c r="A516" s="3" t="s">
        <v>560</v>
      </c>
      <c r="E516">
        <v>1</v>
      </c>
      <c r="J516">
        <v>5</v>
      </c>
      <c r="AY516">
        <f t="shared" si="16"/>
        <v>43</v>
      </c>
      <c r="AZ516">
        <f t="shared" si="17"/>
        <v>3</v>
      </c>
    </row>
    <row r="517" spans="1:52" ht="55.2">
      <c r="A517" s="3" t="s">
        <v>561</v>
      </c>
      <c r="E517">
        <v>1</v>
      </c>
      <c r="J517">
        <v>5</v>
      </c>
      <c r="AY517">
        <f t="shared" si="16"/>
        <v>43</v>
      </c>
      <c r="AZ517">
        <f t="shared" si="17"/>
        <v>3</v>
      </c>
    </row>
    <row r="518" spans="1:52" ht="55.2">
      <c r="A518" s="3" t="s">
        <v>562</v>
      </c>
      <c r="E518">
        <v>1</v>
      </c>
      <c r="J518">
        <v>5</v>
      </c>
      <c r="AY518">
        <f t="shared" si="16"/>
        <v>43</v>
      </c>
      <c r="AZ518">
        <f t="shared" si="17"/>
        <v>3</v>
      </c>
    </row>
    <row r="519" spans="1:52" ht="55.2">
      <c r="A519" s="3" t="s">
        <v>563</v>
      </c>
      <c r="E519">
        <v>1</v>
      </c>
      <c r="J519">
        <v>5</v>
      </c>
      <c r="AY519">
        <f t="shared" si="16"/>
        <v>43</v>
      </c>
      <c r="AZ519">
        <f t="shared" si="17"/>
        <v>3</v>
      </c>
    </row>
    <row r="520" spans="1:52" ht="55.2">
      <c r="A520" s="3" t="s">
        <v>564</v>
      </c>
      <c r="E520">
        <v>1</v>
      </c>
      <c r="J520">
        <v>5</v>
      </c>
      <c r="AY520">
        <f t="shared" si="16"/>
        <v>43</v>
      </c>
      <c r="AZ520">
        <f t="shared" si="17"/>
        <v>3</v>
      </c>
    </row>
    <row r="521" spans="1:52" ht="55.2">
      <c r="A521" s="3" t="s">
        <v>565</v>
      </c>
      <c r="E521">
        <v>1</v>
      </c>
      <c r="J521">
        <v>5</v>
      </c>
      <c r="AY521">
        <f t="shared" si="16"/>
        <v>43</v>
      </c>
      <c r="AZ521">
        <f t="shared" si="17"/>
        <v>3</v>
      </c>
    </row>
    <row r="522" spans="1:52" ht="55.2">
      <c r="A522" s="3" t="s">
        <v>566</v>
      </c>
      <c r="E522">
        <v>1</v>
      </c>
      <c r="J522">
        <v>5</v>
      </c>
      <c r="AY522">
        <f t="shared" si="16"/>
        <v>43</v>
      </c>
      <c r="AZ522">
        <f t="shared" si="17"/>
        <v>3</v>
      </c>
    </row>
    <row r="523" spans="1:52" ht="55.2">
      <c r="A523" s="3" t="s">
        <v>567</v>
      </c>
      <c r="E523">
        <v>1</v>
      </c>
      <c r="J523">
        <v>5</v>
      </c>
      <c r="AY523">
        <f t="shared" si="16"/>
        <v>43</v>
      </c>
      <c r="AZ523">
        <f t="shared" si="17"/>
        <v>3</v>
      </c>
    </row>
    <row r="524" spans="1:52" ht="55.2">
      <c r="A524" s="3" t="s">
        <v>568</v>
      </c>
      <c r="E524">
        <v>1</v>
      </c>
      <c r="J524">
        <v>5</v>
      </c>
      <c r="AY524">
        <f t="shared" si="16"/>
        <v>43</v>
      </c>
      <c r="AZ524">
        <f t="shared" si="17"/>
        <v>3</v>
      </c>
    </row>
    <row r="525" spans="1:52" ht="55.2">
      <c r="A525" s="3" t="s">
        <v>569</v>
      </c>
      <c r="E525">
        <v>1</v>
      </c>
      <c r="J525">
        <v>5</v>
      </c>
      <c r="AY525">
        <f t="shared" si="16"/>
        <v>43</v>
      </c>
      <c r="AZ525">
        <f t="shared" si="17"/>
        <v>3</v>
      </c>
    </row>
    <row r="526" spans="1:52" ht="55.2">
      <c r="A526" s="3" t="s">
        <v>570</v>
      </c>
      <c r="E526">
        <v>1</v>
      </c>
      <c r="J526">
        <v>5</v>
      </c>
      <c r="AY526">
        <f t="shared" si="16"/>
        <v>43</v>
      </c>
      <c r="AZ526">
        <f t="shared" si="17"/>
        <v>3</v>
      </c>
    </row>
    <row r="527" spans="1:52" ht="55.2">
      <c r="A527" s="3" t="s">
        <v>571</v>
      </c>
      <c r="E527">
        <v>1</v>
      </c>
      <c r="J527">
        <v>5</v>
      </c>
      <c r="AY527">
        <f t="shared" si="16"/>
        <v>43</v>
      </c>
      <c r="AZ527">
        <f t="shared" si="17"/>
        <v>3</v>
      </c>
    </row>
    <row r="528" spans="1:52" ht="55.2">
      <c r="A528" s="3" t="s">
        <v>572</v>
      </c>
      <c r="E528">
        <v>1</v>
      </c>
      <c r="J528">
        <v>5</v>
      </c>
      <c r="AY528">
        <f t="shared" si="16"/>
        <v>43</v>
      </c>
      <c r="AZ528">
        <f t="shared" si="17"/>
        <v>3</v>
      </c>
    </row>
    <row r="529" spans="1:52" ht="55.2">
      <c r="A529" s="3" t="s">
        <v>573</v>
      </c>
      <c r="E529">
        <v>1</v>
      </c>
      <c r="J529">
        <v>5</v>
      </c>
      <c r="AY529">
        <f t="shared" si="16"/>
        <v>43</v>
      </c>
      <c r="AZ529">
        <f t="shared" si="17"/>
        <v>3</v>
      </c>
    </row>
    <row r="530" spans="1:52" ht="55.2">
      <c r="A530" s="3" t="s">
        <v>574</v>
      </c>
      <c r="E530">
        <v>1</v>
      </c>
      <c r="J530">
        <v>5</v>
      </c>
      <c r="AY530">
        <f t="shared" si="16"/>
        <v>43</v>
      </c>
      <c r="AZ530">
        <f t="shared" si="17"/>
        <v>3</v>
      </c>
    </row>
    <row r="531" spans="1:52" ht="55.2">
      <c r="A531" s="3" t="s">
        <v>575</v>
      </c>
      <c r="E531">
        <v>1</v>
      </c>
      <c r="J531">
        <v>5</v>
      </c>
      <c r="AY531">
        <f t="shared" si="16"/>
        <v>43</v>
      </c>
      <c r="AZ531">
        <f t="shared" si="17"/>
        <v>3</v>
      </c>
    </row>
    <row r="532" spans="1:52" ht="55.2">
      <c r="A532" s="3" t="s">
        <v>576</v>
      </c>
      <c r="E532">
        <v>1</v>
      </c>
      <c r="J532">
        <v>5</v>
      </c>
      <c r="AY532">
        <f t="shared" si="16"/>
        <v>43</v>
      </c>
      <c r="AZ532">
        <f t="shared" si="17"/>
        <v>3</v>
      </c>
    </row>
    <row r="533" spans="1:52" ht="55.2">
      <c r="A533" s="3" t="s">
        <v>577</v>
      </c>
      <c r="E533">
        <v>1</v>
      </c>
      <c r="J533">
        <v>5</v>
      </c>
      <c r="AY533">
        <f t="shared" si="16"/>
        <v>43</v>
      </c>
      <c r="AZ533">
        <f t="shared" si="17"/>
        <v>3</v>
      </c>
    </row>
    <row r="534" spans="1:52" ht="55.2">
      <c r="A534" s="3" t="s">
        <v>578</v>
      </c>
      <c r="E534">
        <v>1</v>
      </c>
      <c r="J534">
        <v>5</v>
      </c>
      <c r="AY534">
        <f t="shared" si="16"/>
        <v>43</v>
      </c>
      <c r="AZ534">
        <f t="shared" si="17"/>
        <v>3</v>
      </c>
    </row>
    <row r="535" spans="1:52" ht="55.2">
      <c r="A535" s="3" t="s">
        <v>579</v>
      </c>
      <c r="E535">
        <v>1</v>
      </c>
      <c r="J535">
        <v>5</v>
      </c>
      <c r="AY535">
        <f t="shared" si="16"/>
        <v>43</v>
      </c>
      <c r="AZ535">
        <f t="shared" si="17"/>
        <v>3</v>
      </c>
    </row>
    <row r="536" spans="1:52" ht="55.2">
      <c r="A536" s="3" t="s">
        <v>580</v>
      </c>
      <c r="E536">
        <v>1</v>
      </c>
      <c r="J536">
        <v>5</v>
      </c>
      <c r="AY536">
        <f t="shared" si="16"/>
        <v>43</v>
      </c>
      <c r="AZ536">
        <f t="shared" si="17"/>
        <v>3</v>
      </c>
    </row>
    <row r="537" spans="1:52" ht="55.2">
      <c r="A537" s="3" t="s">
        <v>581</v>
      </c>
      <c r="E537">
        <v>1</v>
      </c>
      <c r="J537">
        <v>5</v>
      </c>
      <c r="AY537">
        <f t="shared" si="16"/>
        <v>43</v>
      </c>
      <c r="AZ537">
        <f t="shared" si="17"/>
        <v>3</v>
      </c>
    </row>
    <row r="538" spans="1:52" ht="55.2">
      <c r="A538" s="3" t="s">
        <v>582</v>
      </c>
      <c r="E538">
        <v>1</v>
      </c>
      <c r="J538">
        <v>5</v>
      </c>
      <c r="AY538">
        <f t="shared" si="16"/>
        <v>43</v>
      </c>
      <c r="AZ538">
        <f t="shared" si="17"/>
        <v>3</v>
      </c>
    </row>
    <row r="539" spans="1:52" ht="55.2">
      <c r="A539" s="3" t="s">
        <v>583</v>
      </c>
      <c r="E539">
        <v>1</v>
      </c>
      <c r="J539">
        <v>5</v>
      </c>
      <c r="AY539">
        <f t="shared" si="16"/>
        <v>43</v>
      </c>
      <c r="AZ539">
        <f t="shared" si="17"/>
        <v>3</v>
      </c>
    </row>
    <row r="540" spans="1:52" ht="55.2">
      <c r="A540" s="3" t="s">
        <v>584</v>
      </c>
      <c r="E540">
        <v>1</v>
      </c>
      <c r="J540">
        <v>5</v>
      </c>
      <c r="AY540">
        <f t="shared" si="16"/>
        <v>43</v>
      </c>
      <c r="AZ540">
        <f t="shared" si="17"/>
        <v>3</v>
      </c>
    </row>
    <row r="541" spans="1:52" ht="55.2">
      <c r="A541" s="3" t="s">
        <v>585</v>
      </c>
      <c r="E541">
        <v>1</v>
      </c>
      <c r="J541">
        <v>5</v>
      </c>
      <c r="AY541">
        <f t="shared" si="16"/>
        <v>43</v>
      </c>
      <c r="AZ541">
        <f t="shared" si="17"/>
        <v>3</v>
      </c>
    </row>
    <row r="542" spans="1:52" ht="55.2">
      <c r="A542" s="3" t="s">
        <v>586</v>
      </c>
      <c r="E542">
        <v>1</v>
      </c>
      <c r="J542">
        <v>5</v>
      </c>
      <c r="AY542">
        <f t="shared" si="16"/>
        <v>43</v>
      </c>
      <c r="AZ542">
        <f t="shared" si="17"/>
        <v>3</v>
      </c>
    </row>
    <row r="543" spans="1:52" ht="55.2">
      <c r="A543" s="3" t="s">
        <v>587</v>
      </c>
      <c r="E543">
        <v>1</v>
      </c>
      <c r="J543">
        <v>5</v>
      </c>
      <c r="AY543">
        <f t="shared" si="16"/>
        <v>43</v>
      </c>
      <c r="AZ543">
        <f t="shared" si="17"/>
        <v>3</v>
      </c>
    </row>
    <row r="544" spans="1:52" ht="55.2">
      <c r="A544" s="3" t="s">
        <v>588</v>
      </c>
      <c r="E544">
        <v>1</v>
      </c>
      <c r="J544">
        <v>5</v>
      </c>
      <c r="AY544">
        <f t="shared" si="16"/>
        <v>43</v>
      </c>
      <c r="AZ544">
        <f t="shared" si="17"/>
        <v>3</v>
      </c>
    </row>
    <row r="545" spans="1:52" ht="55.2">
      <c r="A545" s="3" t="s">
        <v>589</v>
      </c>
      <c r="E545">
        <v>1</v>
      </c>
      <c r="J545">
        <v>5</v>
      </c>
      <c r="AY545">
        <f t="shared" ref="AY545:AY608" si="18">COUNTBLANK(F545:AW545)</f>
        <v>43</v>
      </c>
      <c r="AZ545">
        <f t="shared" ref="AZ545:AZ608" si="19">COUNTBLANK(B545:E545)</f>
        <v>3</v>
      </c>
    </row>
    <row r="546" spans="1:52" ht="55.2">
      <c r="A546" s="3" t="s">
        <v>590</v>
      </c>
      <c r="E546">
        <v>1</v>
      </c>
      <c r="J546">
        <v>5</v>
      </c>
      <c r="AY546">
        <f t="shared" si="18"/>
        <v>43</v>
      </c>
      <c r="AZ546">
        <f t="shared" si="19"/>
        <v>3</v>
      </c>
    </row>
    <row r="547" spans="1:52" ht="55.2">
      <c r="A547" s="3" t="s">
        <v>591</v>
      </c>
      <c r="E547">
        <v>1</v>
      </c>
      <c r="J547">
        <v>5</v>
      </c>
      <c r="AY547">
        <f t="shared" si="18"/>
        <v>43</v>
      </c>
      <c r="AZ547">
        <f t="shared" si="19"/>
        <v>3</v>
      </c>
    </row>
    <row r="548" spans="1:52" ht="55.2">
      <c r="A548" s="3" t="s">
        <v>592</v>
      </c>
      <c r="E548">
        <v>1</v>
      </c>
      <c r="J548">
        <v>5</v>
      </c>
      <c r="AY548">
        <f t="shared" si="18"/>
        <v>43</v>
      </c>
      <c r="AZ548">
        <f t="shared" si="19"/>
        <v>3</v>
      </c>
    </row>
    <row r="549" spans="1:52" ht="55.2">
      <c r="A549" s="3" t="s">
        <v>593</v>
      </c>
      <c r="E549">
        <v>1</v>
      </c>
      <c r="J549">
        <v>5</v>
      </c>
      <c r="AY549">
        <f t="shared" si="18"/>
        <v>43</v>
      </c>
      <c r="AZ549">
        <f t="shared" si="19"/>
        <v>3</v>
      </c>
    </row>
    <row r="550" spans="1:52" ht="55.2">
      <c r="A550" s="3" t="s">
        <v>594</v>
      </c>
      <c r="E550">
        <v>1</v>
      </c>
      <c r="J550">
        <v>5</v>
      </c>
      <c r="AY550">
        <f t="shared" si="18"/>
        <v>43</v>
      </c>
      <c r="AZ550">
        <f t="shared" si="19"/>
        <v>3</v>
      </c>
    </row>
    <row r="551" spans="1:52" ht="55.2">
      <c r="A551" s="3" t="s">
        <v>595</v>
      </c>
      <c r="E551">
        <v>1</v>
      </c>
      <c r="J551">
        <v>5</v>
      </c>
      <c r="AY551">
        <f t="shared" si="18"/>
        <v>43</v>
      </c>
      <c r="AZ551">
        <f t="shared" si="19"/>
        <v>3</v>
      </c>
    </row>
    <row r="552" spans="1:52" ht="55.2">
      <c r="A552" s="3" t="s">
        <v>596</v>
      </c>
      <c r="E552">
        <v>1</v>
      </c>
      <c r="J552">
        <v>5</v>
      </c>
      <c r="AY552">
        <f t="shared" si="18"/>
        <v>43</v>
      </c>
      <c r="AZ552">
        <f t="shared" si="19"/>
        <v>3</v>
      </c>
    </row>
    <row r="553" spans="1:52" ht="55.2">
      <c r="A553" s="3" t="s">
        <v>597</v>
      </c>
      <c r="E553">
        <v>1</v>
      </c>
      <c r="J553">
        <v>5</v>
      </c>
      <c r="AY553">
        <f t="shared" si="18"/>
        <v>43</v>
      </c>
      <c r="AZ553">
        <f t="shared" si="19"/>
        <v>3</v>
      </c>
    </row>
    <row r="554" spans="1:52" ht="55.2">
      <c r="A554" s="3" t="s">
        <v>598</v>
      </c>
      <c r="E554">
        <v>1</v>
      </c>
      <c r="J554">
        <v>5</v>
      </c>
      <c r="AY554">
        <f t="shared" si="18"/>
        <v>43</v>
      </c>
      <c r="AZ554">
        <f t="shared" si="19"/>
        <v>3</v>
      </c>
    </row>
    <row r="555" spans="1:52" ht="55.2">
      <c r="A555" s="3" t="s">
        <v>599</v>
      </c>
      <c r="E555">
        <v>1</v>
      </c>
      <c r="J555">
        <v>5</v>
      </c>
      <c r="AY555">
        <f t="shared" si="18"/>
        <v>43</v>
      </c>
      <c r="AZ555">
        <f t="shared" si="19"/>
        <v>3</v>
      </c>
    </row>
    <row r="556" spans="1:52" ht="55.2">
      <c r="A556" s="3" t="s">
        <v>600</v>
      </c>
      <c r="E556">
        <v>1</v>
      </c>
      <c r="J556">
        <v>5</v>
      </c>
      <c r="AY556">
        <f t="shared" si="18"/>
        <v>43</v>
      </c>
      <c r="AZ556">
        <f t="shared" si="19"/>
        <v>3</v>
      </c>
    </row>
    <row r="557" spans="1:52" ht="55.2">
      <c r="A557" s="3" t="s">
        <v>601</v>
      </c>
      <c r="E557">
        <v>1</v>
      </c>
      <c r="J557">
        <v>5</v>
      </c>
      <c r="AY557">
        <f t="shared" si="18"/>
        <v>43</v>
      </c>
      <c r="AZ557">
        <f t="shared" si="19"/>
        <v>3</v>
      </c>
    </row>
    <row r="558" spans="1:52" ht="55.2">
      <c r="A558" s="3" t="s">
        <v>602</v>
      </c>
      <c r="E558">
        <v>1</v>
      </c>
      <c r="J558">
        <v>5</v>
      </c>
      <c r="AY558">
        <f t="shared" si="18"/>
        <v>43</v>
      </c>
      <c r="AZ558">
        <f t="shared" si="19"/>
        <v>3</v>
      </c>
    </row>
    <row r="559" spans="1:52" ht="55.2">
      <c r="A559" s="3" t="s">
        <v>603</v>
      </c>
      <c r="E559">
        <v>1</v>
      </c>
      <c r="J559">
        <v>5</v>
      </c>
      <c r="AY559">
        <f t="shared" si="18"/>
        <v>43</v>
      </c>
      <c r="AZ559">
        <f t="shared" si="19"/>
        <v>3</v>
      </c>
    </row>
    <row r="560" spans="1:52" ht="55.2">
      <c r="A560" s="3" t="s">
        <v>604</v>
      </c>
      <c r="E560">
        <v>1</v>
      </c>
      <c r="J560">
        <v>5</v>
      </c>
      <c r="AY560">
        <f t="shared" si="18"/>
        <v>43</v>
      </c>
      <c r="AZ560">
        <f t="shared" si="19"/>
        <v>3</v>
      </c>
    </row>
    <row r="561" spans="1:52" ht="55.2">
      <c r="A561" s="3" t="s">
        <v>605</v>
      </c>
      <c r="E561">
        <v>1</v>
      </c>
      <c r="J561">
        <v>5</v>
      </c>
      <c r="AY561">
        <f t="shared" si="18"/>
        <v>43</v>
      </c>
      <c r="AZ561">
        <f t="shared" si="19"/>
        <v>3</v>
      </c>
    </row>
    <row r="562" spans="1:52" ht="55.2">
      <c r="A562" s="3" t="s">
        <v>606</v>
      </c>
      <c r="E562">
        <v>1</v>
      </c>
      <c r="J562">
        <v>5</v>
      </c>
      <c r="AY562">
        <f t="shared" si="18"/>
        <v>43</v>
      </c>
      <c r="AZ562">
        <f t="shared" si="19"/>
        <v>3</v>
      </c>
    </row>
    <row r="563" spans="1:52" ht="55.2">
      <c r="A563" s="3" t="s">
        <v>607</v>
      </c>
      <c r="E563">
        <v>1</v>
      </c>
      <c r="J563">
        <v>5</v>
      </c>
      <c r="AY563">
        <f t="shared" si="18"/>
        <v>43</v>
      </c>
      <c r="AZ563">
        <f t="shared" si="19"/>
        <v>3</v>
      </c>
    </row>
    <row r="564" spans="1:52" ht="55.2">
      <c r="A564" s="3" t="s">
        <v>608</v>
      </c>
      <c r="E564">
        <v>1</v>
      </c>
      <c r="J564">
        <v>5</v>
      </c>
      <c r="AY564">
        <f t="shared" si="18"/>
        <v>43</v>
      </c>
      <c r="AZ564">
        <f t="shared" si="19"/>
        <v>3</v>
      </c>
    </row>
    <row r="565" spans="1:52" ht="55.2">
      <c r="A565" s="3" t="s">
        <v>609</v>
      </c>
      <c r="E565">
        <v>1</v>
      </c>
      <c r="J565">
        <v>5</v>
      </c>
      <c r="AY565">
        <f t="shared" si="18"/>
        <v>43</v>
      </c>
      <c r="AZ565">
        <f t="shared" si="19"/>
        <v>3</v>
      </c>
    </row>
    <row r="566" spans="1:52" ht="55.2">
      <c r="A566" s="3" t="s">
        <v>610</v>
      </c>
      <c r="E566">
        <v>1</v>
      </c>
      <c r="J566">
        <v>5</v>
      </c>
      <c r="AY566">
        <f t="shared" si="18"/>
        <v>43</v>
      </c>
      <c r="AZ566">
        <f t="shared" si="19"/>
        <v>3</v>
      </c>
    </row>
    <row r="567" spans="1:52" ht="55.2">
      <c r="A567" s="3" t="s">
        <v>611</v>
      </c>
      <c r="E567">
        <v>1</v>
      </c>
      <c r="J567">
        <v>5</v>
      </c>
      <c r="AY567">
        <f t="shared" si="18"/>
        <v>43</v>
      </c>
      <c r="AZ567">
        <f t="shared" si="19"/>
        <v>3</v>
      </c>
    </row>
    <row r="568" spans="1:52" ht="55.2">
      <c r="A568" s="3" t="s">
        <v>612</v>
      </c>
      <c r="E568">
        <v>1</v>
      </c>
      <c r="J568">
        <v>5</v>
      </c>
      <c r="AY568">
        <f t="shared" si="18"/>
        <v>43</v>
      </c>
      <c r="AZ568">
        <f t="shared" si="19"/>
        <v>3</v>
      </c>
    </row>
    <row r="569" spans="1:52" ht="55.2">
      <c r="A569" s="3" t="s">
        <v>613</v>
      </c>
      <c r="E569">
        <v>1</v>
      </c>
      <c r="J569">
        <v>5</v>
      </c>
      <c r="AY569">
        <f t="shared" si="18"/>
        <v>43</v>
      </c>
      <c r="AZ569">
        <f t="shared" si="19"/>
        <v>3</v>
      </c>
    </row>
    <row r="570" spans="1:52" ht="55.2">
      <c r="A570" s="3" t="s">
        <v>614</v>
      </c>
      <c r="E570">
        <v>1</v>
      </c>
      <c r="J570">
        <v>5</v>
      </c>
      <c r="AY570">
        <f t="shared" si="18"/>
        <v>43</v>
      </c>
      <c r="AZ570">
        <f t="shared" si="19"/>
        <v>3</v>
      </c>
    </row>
    <row r="571" spans="1:52" ht="55.2">
      <c r="A571" s="3" t="s">
        <v>615</v>
      </c>
      <c r="E571">
        <v>1</v>
      </c>
      <c r="M571">
        <v>2</v>
      </c>
      <c r="AY571">
        <f t="shared" si="18"/>
        <v>43</v>
      </c>
      <c r="AZ571">
        <f t="shared" si="19"/>
        <v>3</v>
      </c>
    </row>
    <row r="572" spans="1:52" ht="55.2">
      <c r="A572" s="3" t="s">
        <v>616</v>
      </c>
      <c r="E572">
        <v>1</v>
      </c>
      <c r="M572">
        <v>2</v>
      </c>
      <c r="AY572">
        <f t="shared" si="18"/>
        <v>43</v>
      </c>
      <c r="AZ572">
        <f t="shared" si="19"/>
        <v>3</v>
      </c>
    </row>
    <row r="573" spans="1:52" ht="55.2">
      <c r="A573" s="3" t="s">
        <v>617</v>
      </c>
      <c r="E573">
        <v>1</v>
      </c>
      <c r="M573">
        <v>2</v>
      </c>
      <c r="AY573">
        <f t="shared" si="18"/>
        <v>43</v>
      </c>
      <c r="AZ573">
        <f t="shared" si="19"/>
        <v>3</v>
      </c>
    </row>
    <row r="574" spans="1:52" ht="55.2">
      <c r="A574" s="3" t="s">
        <v>618</v>
      </c>
      <c r="E574">
        <v>1</v>
      </c>
      <c r="M574">
        <v>2</v>
      </c>
      <c r="AY574">
        <f t="shared" si="18"/>
        <v>43</v>
      </c>
      <c r="AZ574">
        <f t="shared" si="19"/>
        <v>3</v>
      </c>
    </row>
    <row r="575" spans="1:52" ht="55.2">
      <c r="A575" s="3" t="s">
        <v>619</v>
      </c>
      <c r="E575">
        <v>1</v>
      </c>
      <c r="M575">
        <v>2</v>
      </c>
      <c r="AY575">
        <f t="shared" si="18"/>
        <v>43</v>
      </c>
      <c r="AZ575">
        <f t="shared" si="19"/>
        <v>3</v>
      </c>
    </row>
    <row r="576" spans="1:52" ht="55.2">
      <c r="A576" s="3" t="s">
        <v>620</v>
      </c>
      <c r="E576">
        <v>1</v>
      </c>
      <c r="M576">
        <v>2</v>
      </c>
      <c r="AY576">
        <f t="shared" si="18"/>
        <v>43</v>
      </c>
      <c r="AZ576">
        <f t="shared" si="19"/>
        <v>3</v>
      </c>
    </row>
    <row r="577" spans="1:52" ht="55.2">
      <c r="A577" s="3" t="s">
        <v>621</v>
      </c>
      <c r="E577">
        <v>1</v>
      </c>
      <c r="M577">
        <v>2</v>
      </c>
      <c r="AY577">
        <f t="shared" si="18"/>
        <v>43</v>
      </c>
      <c r="AZ577">
        <f t="shared" si="19"/>
        <v>3</v>
      </c>
    </row>
    <row r="578" spans="1:52" ht="55.2">
      <c r="A578" s="3" t="s">
        <v>622</v>
      </c>
      <c r="E578">
        <v>1</v>
      </c>
      <c r="M578">
        <v>2</v>
      </c>
      <c r="AY578">
        <f t="shared" si="18"/>
        <v>43</v>
      </c>
      <c r="AZ578">
        <f t="shared" si="19"/>
        <v>3</v>
      </c>
    </row>
    <row r="579" spans="1:52" ht="55.2">
      <c r="A579" s="3" t="s">
        <v>623</v>
      </c>
      <c r="E579">
        <v>1</v>
      </c>
      <c r="M579">
        <v>2</v>
      </c>
      <c r="AY579">
        <f t="shared" si="18"/>
        <v>43</v>
      </c>
      <c r="AZ579">
        <f t="shared" si="19"/>
        <v>3</v>
      </c>
    </row>
    <row r="580" spans="1:52" ht="55.2">
      <c r="A580" s="3" t="s">
        <v>624</v>
      </c>
      <c r="E580">
        <v>1</v>
      </c>
      <c r="M580">
        <v>2</v>
      </c>
      <c r="AY580">
        <f t="shared" si="18"/>
        <v>43</v>
      </c>
      <c r="AZ580">
        <f t="shared" si="19"/>
        <v>3</v>
      </c>
    </row>
    <row r="581" spans="1:52" ht="55.2">
      <c r="A581" s="3" t="s">
        <v>625</v>
      </c>
      <c r="E581">
        <v>1</v>
      </c>
      <c r="M581">
        <v>2</v>
      </c>
      <c r="AY581">
        <f t="shared" si="18"/>
        <v>43</v>
      </c>
      <c r="AZ581">
        <f t="shared" si="19"/>
        <v>3</v>
      </c>
    </row>
    <row r="582" spans="1:52" ht="55.2">
      <c r="A582" s="3" t="s">
        <v>626</v>
      </c>
      <c r="E582">
        <v>1</v>
      </c>
      <c r="M582">
        <v>2</v>
      </c>
      <c r="AY582">
        <f t="shared" si="18"/>
        <v>43</v>
      </c>
      <c r="AZ582">
        <f t="shared" si="19"/>
        <v>3</v>
      </c>
    </row>
    <row r="583" spans="1:52" ht="55.2">
      <c r="A583" s="3" t="s">
        <v>627</v>
      </c>
      <c r="E583">
        <v>1</v>
      </c>
      <c r="M583">
        <v>2</v>
      </c>
      <c r="AY583">
        <f t="shared" si="18"/>
        <v>43</v>
      </c>
      <c r="AZ583">
        <f t="shared" si="19"/>
        <v>3</v>
      </c>
    </row>
    <row r="584" spans="1:52" ht="55.2">
      <c r="A584" s="3" t="s">
        <v>628</v>
      </c>
      <c r="E584">
        <v>1</v>
      </c>
      <c r="M584">
        <v>2</v>
      </c>
      <c r="AY584">
        <f t="shared" si="18"/>
        <v>43</v>
      </c>
      <c r="AZ584">
        <f t="shared" si="19"/>
        <v>3</v>
      </c>
    </row>
    <row r="585" spans="1:52" ht="55.2">
      <c r="A585" s="3" t="s">
        <v>629</v>
      </c>
      <c r="E585">
        <v>1</v>
      </c>
      <c r="M585">
        <v>2</v>
      </c>
      <c r="AY585">
        <f t="shared" si="18"/>
        <v>43</v>
      </c>
      <c r="AZ585">
        <f t="shared" si="19"/>
        <v>3</v>
      </c>
    </row>
    <row r="586" spans="1:52" ht="55.2">
      <c r="A586" s="3" t="s">
        <v>630</v>
      </c>
      <c r="E586">
        <v>1</v>
      </c>
      <c r="M586">
        <v>2</v>
      </c>
      <c r="AY586">
        <f t="shared" si="18"/>
        <v>43</v>
      </c>
      <c r="AZ586">
        <f t="shared" si="19"/>
        <v>3</v>
      </c>
    </row>
    <row r="587" spans="1:52" ht="55.2">
      <c r="A587" s="3" t="s">
        <v>631</v>
      </c>
      <c r="E587">
        <v>1</v>
      </c>
      <c r="M587">
        <v>2</v>
      </c>
      <c r="AY587">
        <f t="shared" si="18"/>
        <v>43</v>
      </c>
      <c r="AZ587">
        <f t="shared" si="19"/>
        <v>3</v>
      </c>
    </row>
    <row r="588" spans="1:52" ht="55.2">
      <c r="A588" s="3" t="s">
        <v>632</v>
      </c>
      <c r="E588">
        <v>1</v>
      </c>
      <c r="M588">
        <v>2</v>
      </c>
      <c r="AY588">
        <f t="shared" si="18"/>
        <v>43</v>
      </c>
      <c r="AZ588">
        <f t="shared" si="19"/>
        <v>3</v>
      </c>
    </row>
    <row r="589" spans="1:52" ht="55.2">
      <c r="A589" s="3" t="s">
        <v>633</v>
      </c>
      <c r="E589">
        <v>1</v>
      </c>
      <c r="M589">
        <v>2</v>
      </c>
      <c r="AY589">
        <f t="shared" si="18"/>
        <v>43</v>
      </c>
      <c r="AZ589">
        <f t="shared" si="19"/>
        <v>3</v>
      </c>
    </row>
    <row r="590" spans="1:52" ht="55.2">
      <c r="A590" s="3" t="s">
        <v>634</v>
      </c>
      <c r="E590">
        <v>1</v>
      </c>
      <c r="M590">
        <v>2</v>
      </c>
      <c r="AY590">
        <f t="shared" si="18"/>
        <v>43</v>
      </c>
      <c r="AZ590">
        <f t="shared" si="19"/>
        <v>3</v>
      </c>
    </row>
    <row r="591" spans="1:52" ht="55.2">
      <c r="A591" s="3" t="s">
        <v>635</v>
      </c>
      <c r="E591">
        <v>1</v>
      </c>
      <c r="M591">
        <v>2</v>
      </c>
      <c r="AY591">
        <f t="shared" si="18"/>
        <v>43</v>
      </c>
      <c r="AZ591">
        <f t="shared" si="19"/>
        <v>3</v>
      </c>
    </row>
    <row r="592" spans="1:52" ht="55.2">
      <c r="A592" s="3" t="s">
        <v>636</v>
      </c>
      <c r="E592">
        <v>1</v>
      </c>
      <c r="M592">
        <v>2</v>
      </c>
      <c r="AY592">
        <f t="shared" si="18"/>
        <v>43</v>
      </c>
      <c r="AZ592">
        <f t="shared" si="19"/>
        <v>3</v>
      </c>
    </row>
    <row r="593" spans="1:52" ht="55.2">
      <c r="A593" s="3" t="s">
        <v>637</v>
      </c>
      <c r="E593">
        <v>1</v>
      </c>
      <c r="M593">
        <v>2</v>
      </c>
      <c r="AY593">
        <f t="shared" si="18"/>
        <v>43</v>
      </c>
      <c r="AZ593">
        <f t="shared" si="19"/>
        <v>3</v>
      </c>
    </row>
    <row r="594" spans="1:52" ht="55.2">
      <c r="A594" s="3" t="s">
        <v>638</v>
      </c>
      <c r="E594">
        <v>1</v>
      </c>
      <c r="M594">
        <v>2</v>
      </c>
      <c r="AY594">
        <f t="shared" si="18"/>
        <v>43</v>
      </c>
      <c r="AZ594">
        <f t="shared" si="19"/>
        <v>3</v>
      </c>
    </row>
    <row r="595" spans="1:52" ht="55.2">
      <c r="A595" s="3" t="s">
        <v>639</v>
      </c>
      <c r="E595">
        <v>1</v>
      </c>
      <c r="M595">
        <v>2</v>
      </c>
      <c r="AY595">
        <f t="shared" si="18"/>
        <v>43</v>
      </c>
      <c r="AZ595">
        <f t="shared" si="19"/>
        <v>3</v>
      </c>
    </row>
    <row r="596" spans="1:52" ht="55.2">
      <c r="A596" s="3" t="s">
        <v>640</v>
      </c>
      <c r="E596">
        <v>1</v>
      </c>
      <c r="M596">
        <v>2</v>
      </c>
      <c r="AY596">
        <f t="shared" si="18"/>
        <v>43</v>
      </c>
      <c r="AZ596">
        <f t="shared" si="19"/>
        <v>3</v>
      </c>
    </row>
    <row r="597" spans="1:52" ht="55.2">
      <c r="A597" s="3" t="s">
        <v>641</v>
      </c>
      <c r="E597">
        <v>1</v>
      </c>
      <c r="M597">
        <v>2</v>
      </c>
      <c r="AY597">
        <f t="shared" si="18"/>
        <v>43</v>
      </c>
      <c r="AZ597">
        <f t="shared" si="19"/>
        <v>3</v>
      </c>
    </row>
    <row r="598" spans="1:52" ht="55.2">
      <c r="A598" s="3" t="s">
        <v>642</v>
      </c>
      <c r="E598">
        <v>1</v>
      </c>
      <c r="M598">
        <v>2</v>
      </c>
      <c r="AY598">
        <f t="shared" si="18"/>
        <v>43</v>
      </c>
      <c r="AZ598">
        <f t="shared" si="19"/>
        <v>3</v>
      </c>
    </row>
    <row r="599" spans="1:52" ht="55.2">
      <c r="A599" s="3" t="s">
        <v>643</v>
      </c>
      <c r="E599">
        <v>1</v>
      </c>
      <c r="M599">
        <v>2</v>
      </c>
      <c r="AY599">
        <f t="shared" si="18"/>
        <v>43</v>
      </c>
      <c r="AZ599">
        <f t="shared" si="19"/>
        <v>3</v>
      </c>
    </row>
    <row r="600" spans="1:52" ht="55.2">
      <c r="A600" s="3" t="s">
        <v>644</v>
      </c>
      <c r="E600">
        <v>1</v>
      </c>
      <c r="M600">
        <v>2</v>
      </c>
      <c r="AY600">
        <f t="shared" si="18"/>
        <v>43</v>
      </c>
      <c r="AZ600">
        <f t="shared" si="19"/>
        <v>3</v>
      </c>
    </row>
    <row r="601" spans="1:52" ht="55.2">
      <c r="A601" s="3" t="s">
        <v>645</v>
      </c>
      <c r="E601">
        <v>1</v>
      </c>
      <c r="M601">
        <v>2</v>
      </c>
      <c r="AY601">
        <f t="shared" si="18"/>
        <v>43</v>
      </c>
      <c r="AZ601">
        <f t="shared" si="19"/>
        <v>3</v>
      </c>
    </row>
    <row r="602" spans="1:52" ht="55.2">
      <c r="A602" s="3" t="s">
        <v>646</v>
      </c>
      <c r="E602">
        <v>1</v>
      </c>
      <c r="M602">
        <v>2</v>
      </c>
      <c r="AY602">
        <f t="shared" si="18"/>
        <v>43</v>
      </c>
      <c r="AZ602">
        <f t="shared" si="19"/>
        <v>3</v>
      </c>
    </row>
    <row r="603" spans="1:52" ht="55.2">
      <c r="A603" s="3" t="s">
        <v>647</v>
      </c>
      <c r="E603">
        <v>1</v>
      </c>
      <c r="M603">
        <v>2</v>
      </c>
      <c r="AY603">
        <f t="shared" si="18"/>
        <v>43</v>
      </c>
      <c r="AZ603">
        <f t="shared" si="19"/>
        <v>3</v>
      </c>
    </row>
    <row r="604" spans="1:52" ht="55.2">
      <c r="A604" s="3" t="s">
        <v>648</v>
      </c>
      <c r="E604">
        <v>1</v>
      </c>
      <c r="M604">
        <v>2</v>
      </c>
      <c r="AY604">
        <f t="shared" si="18"/>
        <v>43</v>
      </c>
      <c r="AZ604">
        <f t="shared" si="19"/>
        <v>3</v>
      </c>
    </row>
    <row r="605" spans="1:52" ht="55.2">
      <c r="A605" s="3" t="s">
        <v>649</v>
      </c>
      <c r="E605">
        <v>1</v>
      </c>
      <c r="M605">
        <v>2</v>
      </c>
      <c r="AY605">
        <f t="shared" si="18"/>
        <v>43</v>
      </c>
      <c r="AZ605">
        <f t="shared" si="19"/>
        <v>3</v>
      </c>
    </row>
    <row r="606" spans="1:52" ht="55.2">
      <c r="A606" s="3" t="s">
        <v>650</v>
      </c>
      <c r="E606">
        <v>1</v>
      </c>
      <c r="M606">
        <v>2</v>
      </c>
      <c r="AY606">
        <f t="shared" si="18"/>
        <v>43</v>
      </c>
      <c r="AZ606">
        <f t="shared" si="19"/>
        <v>3</v>
      </c>
    </row>
    <row r="607" spans="1:52" ht="55.2">
      <c r="A607" s="3" t="s">
        <v>651</v>
      </c>
      <c r="E607">
        <v>1</v>
      </c>
      <c r="M607">
        <v>2</v>
      </c>
      <c r="AY607">
        <f t="shared" si="18"/>
        <v>43</v>
      </c>
      <c r="AZ607">
        <f t="shared" si="19"/>
        <v>3</v>
      </c>
    </row>
    <row r="608" spans="1:52" ht="55.2">
      <c r="A608" s="3" t="s">
        <v>652</v>
      </c>
      <c r="E608">
        <v>1</v>
      </c>
      <c r="M608">
        <v>2</v>
      </c>
      <c r="AY608">
        <f t="shared" si="18"/>
        <v>43</v>
      </c>
      <c r="AZ608">
        <f t="shared" si="19"/>
        <v>3</v>
      </c>
    </row>
    <row r="609" spans="1:52" ht="55.2">
      <c r="A609" s="3" t="s">
        <v>653</v>
      </c>
      <c r="E609">
        <v>1</v>
      </c>
      <c r="M609">
        <v>2</v>
      </c>
      <c r="AY609">
        <f t="shared" ref="AY609:AY672" si="20">COUNTBLANK(F609:AW609)</f>
        <v>43</v>
      </c>
      <c r="AZ609">
        <f t="shared" ref="AZ609:AZ672" si="21">COUNTBLANK(B609:E609)</f>
        <v>3</v>
      </c>
    </row>
    <row r="610" spans="1:52" ht="55.2">
      <c r="A610" s="3" t="s">
        <v>654</v>
      </c>
      <c r="E610">
        <v>1</v>
      </c>
      <c r="M610">
        <v>2</v>
      </c>
      <c r="AY610">
        <f t="shared" si="20"/>
        <v>43</v>
      </c>
      <c r="AZ610">
        <f t="shared" si="21"/>
        <v>3</v>
      </c>
    </row>
    <row r="611" spans="1:52" ht="55.2">
      <c r="A611" s="3" t="s">
        <v>655</v>
      </c>
      <c r="E611">
        <v>1</v>
      </c>
      <c r="M611">
        <v>2</v>
      </c>
      <c r="AY611">
        <f t="shared" si="20"/>
        <v>43</v>
      </c>
      <c r="AZ611">
        <f t="shared" si="21"/>
        <v>3</v>
      </c>
    </row>
    <row r="612" spans="1:52" ht="55.2">
      <c r="A612" s="3" t="s">
        <v>656</v>
      </c>
      <c r="E612">
        <v>1</v>
      </c>
      <c r="M612">
        <v>2</v>
      </c>
      <c r="AY612">
        <f t="shared" si="20"/>
        <v>43</v>
      </c>
      <c r="AZ612">
        <f t="shared" si="21"/>
        <v>3</v>
      </c>
    </row>
    <row r="613" spans="1:52" ht="55.2">
      <c r="A613" s="3" t="s">
        <v>657</v>
      </c>
      <c r="E613">
        <v>1</v>
      </c>
      <c r="M613">
        <v>2</v>
      </c>
      <c r="AY613">
        <f t="shared" si="20"/>
        <v>43</v>
      </c>
      <c r="AZ613">
        <f t="shared" si="21"/>
        <v>3</v>
      </c>
    </row>
    <row r="614" spans="1:52" ht="55.2">
      <c r="A614" s="3" t="s">
        <v>658</v>
      </c>
      <c r="E614">
        <v>1</v>
      </c>
      <c r="M614">
        <v>2</v>
      </c>
      <c r="AY614">
        <f t="shared" si="20"/>
        <v>43</v>
      </c>
      <c r="AZ614">
        <f t="shared" si="21"/>
        <v>3</v>
      </c>
    </row>
    <row r="615" spans="1:52" ht="55.2">
      <c r="A615" s="3" t="s">
        <v>659</v>
      </c>
      <c r="E615">
        <v>1</v>
      </c>
      <c r="M615">
        <v>2</v>
      </c>
      <c r="AY615">
        <f t="shared" si="20"/>
        <v>43</v>
      </c>
      <c r="AZ615">
        <f t="shared" si="21"/>
        <v>3</v>
      </c>
    </row>
    <row r="616" spans="1:52" ht="55.2">
      <c r="A616" s="3" t="s">
        <v>660</v>
      </c>
      <c r="E616">
        <v>1</v>
      </c>
      <c r="M616">
        <v>2</v>
      </c>
      <c r="AY616">
        <f t="shared" si="20"/>
        <v>43</v>
      </c>
      <c r="AZ616">
        <f t="shared" si="21"/>
        <v>3</v>
      </c>
    </row>
    <row r="617" spans="1:52" ht="55.2">
      <c r="A617" s="3" t="s">
        <v>661</v>
      </c>
      <c r="E617">
        <v>1</v>
      </c>
      <c r="M617">
        <v>2</v>
      </c>
      <c r="AY617">
        <f t="shared" si="20"/>
        <v>43</v>
      </c>
      <c r="AZ617">
        <f t="shared" si="21"/>
        <v>3</v>
      </c>
    </row>
    <row r="618" spans="1:52" ht="55.2">
      <c r="A618" s="3" t="s">
        <v>662</v>
      </c>
      <c r="E618">
        <v>1</v>
      </c>
      <c r="M618">
        <v>2</v>
      </c>
      <c r="AY618">
        <f t="shared" si="20"/>
        <v>43</v>
      </c>
      <c r="AZ618">
        <f t="shared" si="21"/>
        <v>3</v>
      </c>
    </row>
    <row r="619" spans="1:52" ht="55.2">
      <c r="A619" s="3" t="s">
        <v>663</v>
      </c>
      <c r="E619">
        <v>1</v>
      </c>
      <c r="M619">
        <v>2</v>
      </c>
      <c r="AY619">
        <f t="shared" si="20"/>
        <v>43</v>
      </c>
      <c r="AZ619">
        <f t="shared" si="21"/>
        <v>3</v>
      </c>
    </row>
    <row r="620" spans="1:52" ht="55.2">
      <c r="A620" s="3" t="s">
        <v>664</v>
      </c>
      <c r="E620">
        <v>1</v>
      </c>
      <c r="M620">
        <v>2</v>
      </c>
      <c r="AY620">
        <f t="shared" si="20"/>
        <v>43</v>
      </c>
      <c r="AZ620">
        <f t="shared" si="21"/>
        <v>3</v>
      </c>
    </row>
    <row r="621" spans="1:52" ht="55.2">
      <c r="A621" s="3" t="s">
        <v>665</v>
      </c>
      <c r="E621">
        <v>1</v>
      </c>
      <c r="M621">
        <v>2</v>
      </c>
      <c r="AY621">
        <f t="shared" si="20"/>
        <v>43</v>
      </c>
      <c r="AZ621">
        <f t="shared" si="21"/>
        <v>3</v>
      </c>
    </row>
    <row r="622" spans="1:52" ht="55.2">
      <c r="A622" s="3" t="s">
        <v>666</v>
      </c>
      <c r="E622">
        <v>1</v>
      </c>
      <c r="M622">
        <v>2</v>
      </c>
      <c r="AY622">
        <f t="shared" si="20"/>
        <v>43</v>
      </c>
      <c r="AZ622">
        <f t="shared" si="21"/>
        <v>3</v>
      </c>
    </row>
    <row r="623" spans="1:52" ht="55.2">
      <c r="A623" s="3" t="s">
        <v>667</v>
      </c>
      <c r="E623">
        <v>1</v>
      </c>
      <c r="M623">
        <v>2</v>
      </c>
      <c r="AY623">
        <f t="shared" si="20"/>
        <v>43</v>
      </c>
      <c r="AZ623">
        <f t="shared" si="21"/>
        <v>3</v>
      </c>
    </row>
    <row r="624" spans="1:52" ht="55.2">
      <c r="A624" s="3" t="s">
        <v>668</v>
      </c>
      <c r="E624">
        <v>1</v>
      </c>
      <c r="M624">
        <v>2</v>
      </c>
      <c r="AY624">
        <f t="shared" si="20"/>
        <v>43</v>
      </c>
      <c r="AZ624">
        <f t="shared" si="21"/>
        <v>3</v>
      </c>
    </row>
    <row r="625" spans="1:52" ht="55.2">
      <c r="A625" s="3" t="s">
        <v>669</v>
      </c>
      <c r="E625">
        <v>1</v>
      </c>
      <c r="M625">
        <v>2</v>
      </c>
      <c r="AY625">
        <f t="shared" si="20"/>
        <v>43</v>
      </c>
      <c r="AZ625">
        <f t="shared" si="21"/>
        <v>3</v>
      </c>
    </row>
    <row r="626" spans="1:52" ht="55.2">
      <c r="A626" s="3" t="s">
        <v>670</v>
      </c>
      <c r="E626">
        <v>1</v>
      </c>
      <c r="M626">
        <v>2</v>
      </c>
      <c r="AY626">
        <f t="shared" si="20"/>
        <v>43</v>
      </c>
      <c r="AZ626">
        <f t="shared" si="21"/>
        <v>3</v>
      </c>
    </row>
    <row r="627" spans="1:52" ht="55.2">
      <c r="A627" s="3" t="s">
        <v>671</v>
      </c>
      <c r="E627">
        <v>1</v>
      </c>
      <c r="M627">
        <v>2</v>
      </c>
      <c r="AY627">
        <f t="shared" si="20"/>
        <v>43</v>
      </c>
      <c r="AZ627">
        <f t="shared" si="21"/>
        <v>3</v>
      </c>
    </row>
    <row r="628" spans="1:52" ht="55.2">
      <c r="A628" s="3" t="s">
        <v>672</v>
      </c>
      <c r="E628">
        <v>1</v>
      </c>
      <c r="M628">
        <v>2</v>
      </c>
      <c r="AY628">
        <f t="shared" si="20"/>
        <v>43</v>
      </c>
      <c r="AZ628">
        <f t="shared" si="21"/>
        <v>3</v>
      </c>
    </row>
    <row r="629" spans="1:52" ht="55.2">
      <c r="A629" s="3" t="s">
        <v>673</v>
      </c>
      <c r="E629">
        <v>1</v>
      </c>
      <c r="M629">
        <v>2</v>
      </c>
      <c r="AY629">
        <f t="shared" si="20"/>
        <v>43</v>
      </c>
      <c r="AZ629">
        <f t="shared" si="21"/>
        <v>3</v>
      </c>
    </row>
    <row r="630" spans="1:52" ht="55.2">
      <c r="A630" s="3" t="s">
        <v>674</v>
      </c>
      <c r="E630">
        <v>1</v>
      </c>
      <c r="M630">
        <v>2</v>
      </c>
      <c r="AY630">
        <f t="shared" si="20"/>
        <v>43</v>
      </c>
      <c r="AZ630">
        <f t="shared" si="21"/>
        <v>3</v>
      </c>
    </row>
    <row r="631" spans="1:52" ht="55.2">
      <c r="A631" s="3" t="s">
        <v>675</v>
      </c>
      <c r="E631">
        <v>1</v>
      </c>
      <c r="M631">
        <v>2</v>
      </c>
      <c r="AY631">
        <f t="shared" si="20"/>
        <v>43</v>
      </c>
      <c r="AZ631">
        <f t="shared" si="21"/>
        <v>3</v>
      </c>
    </row>
    <row r="632" spans="1:52" ht="55.2">
      <c r="A632" s="3" t="s">
        <v>676</v>
      </c>
      <c r="E632">
        <v>1</v>
      </c>
      <c r="M632">
        <v>2</v>
      </c>
      <c r="AY632">
        <f t="shared" si="20"/>
        <v>43</v>
      </c>
      <c r="AZ632">
        <f t="shared" si="21"/>
        <v>3</v>
      </c>
    </row>
    <row r="633" spans="1:52" ht="55.2">
      <c r="A633" s="3" t="s">
        <v>677</v>
      </c>
      <c r="E633">
        <v>1</v>
      </c>
      <c r="M633">
        <v>2</v>
      </c>
      <c r="AY633">
        <f t="shared" si="20"/>
        <v>43</v>
      </c>
      <c r="AZ633">
        <f t="shared" si="21"/>
        <v>3</v>
      </c>
    </row>
    <row r="634" spans="1:52" ht="55.2">
      <c r="A634" s="3" t="s">
        <v>678</v>
      </c>
      <c r="E634">
        <v>1</v>
      </c>
      <c r="M634">
        <v>2</v>
      </c>
      <c r="AY634">
        <f t="shared" si="20"/>
        <v>43</v>
      </c>
      <c r="AZ634">
        <f t="shared" si="21"/>
        <v>3</v>
      </c>
    </row>
    <row r="635" spans="1:52" ht="55.2">
      <c r="A635" s="3" t="s">
        <v>679</v>
      </c>
      <c r="E635">
        <v>1</v>
      </c>
      <c r="M635">
        <v>2</v>
      </c>
      <c r="AY635">
        <f t="shared" si="20"/>
        <v>43</v>
      </c>
      <c r="AZ635">
        <f t="shared" si="21"/>
        <v>3</v>
      </c>
    </row>
    <row r="636" spans="1:52" ht="55.2">
      <c r="A636" s="3" t="s">
        <v>680</v>
      </c>
      <c r="E636">
        <v>1</v>
      </c>
      <c r="M636">
        <v>2</v>
      </c>
      <c r="AY636">
        <f t="shared" si="20"/>
        <v>43</v>
      </c>
      <c r="AZ636">
        <f t="shared" si="21"/>
        <v>3</v>
      </c>
    </row>
    <row r="637" spans="1:52" ht="55.2">
      <c r="A637" s="3" t="s">
        <v>681</v>
      </c>
      <c r="E637">
        <v>1</v>
      </c>
      <c r="M637">
        <v>2</v>
      </c>
      <c r="AY637">
        <f t="shared" si="20"/>
        <v>43</v>
      </c>
      <c r="AZ637">
        <f t="shared" si="21"/>
        <v>3</v>
      </c>
    </row>
    <row r="638" spans="1:52" ht="55.2">
      <c r="A638" s="3" t="s">
        <v>682</v>
      </c>
      <c r="E638">
        <v>1</v>
      </c>
      <c r="M638">
        <v>2</v>
      </c>
      <c r="AY638">
        <f t="shared" si="20"/>
        <v>43</v>
      </c>
      <c r="AZ638">
        <f t="shared" si="21"/>
        <v>3</v>
      </c>
    </row>
    <row r="639" spans="1:52" ht="55.2">
      <c r="A639" s="3" t="s">
        <v>683</v>
      </c>
      <c r="E639">
        <v>1</v>
      </c>
      <c r="M639">
        <v>2</v>
      </c>
      <c r="AY639">
        <f t="shared" si="20"/>
        <v>43</v>
      </c>
      <c r="AZ639">
        <f t="shared" si="21"/>
        <v>3</v>
      </c>
    </row>
    <row r="640" spans="1:52" ht="55.2">
      <c r="A640" s="3" t="s">
        <v>684</v>
      </c>
      <c r="E640">
        <v>1</v>
      </c>
      <c r="M640">
        <v>2</v>
      </c>
      <c r="AY640">
        <f t="shared" si="20"/>
        <v>43</v>
      </c>
      <c r="AZ640">
        <f t="shared" si="21"/>
        <v>3</v>
      </c>
    </row>
    <row r="641" spans="1:52" ht="55.2">
      <c r="A641" s="3" t="s">
        <v>685</v>
      </c>
      <c r="E641">
        <v>1</v>
      </c>
      <c r="M641">
        <v>2</v>
      </c>
      <c r="AY641">
        <f t="shared" si="20"/>
        <v>43</v>
      </c>
      <c r="AZ641">
        <f t="shared" si="21"/>
        <v>3</v>
      </c>
    </row>
    <row r="642" spans="1:52" ht="55.2">
      <c r="A642" s="3" t="s">
        <v>686</v>
      </c>
      <c r="E642">
        <v>1</v>
      </c>
      <c r="M642">
        <v>2</v>
      </c>
      <c r="AY642">
        <f t="shared" si="20"/>
        <v>43</v>
      </c>
      <c r="AZ642">
        <f t="shared" si="21"/>
        <v>3</v>
      </c>
    </row>
    <row r="643" spans="1:52" ht="55.2">
      <c r="A643" s="3" t="s">
        <v>687</v>
      </c>
      <c r="E643">
        <v>1</v>
      </c>
      <c r="M643">
        <v>2</v>
      </c>
      <c r="AY643">
        <f t="shared" si="20"/>
        <v>43</v>
      </c>
      <c r="AZ643">
        <f t="shared" si="21"/>
        <v>3</v>
      </c>
    </row>
    <row r="644" spans="1:52" ht="55.2">
      <c r="A644" s="3" t="s">
        <v>688</v>
      </c>
      <c r="E644">
        <v>1</v>
      </c>
      <c r="M644">
        <v>2</v>
      </c>
      <c r="AY644">
        <f t="shared" si="20"/>
        <v>43</v>
      </c>
      <c r="AZ644">
        <f t="shared" si="21"/>
        <v>3</v>
      </c>
    </row>
    <row r="645" spans="1:52" ht="55.2">
      <c r="A645" s="3" t="s">
        <v>689</v>
      </c>
      <c r="E645">
        <v>1</v>
      </c>
      <c r="M645">
        <v>2</v>
      </c>
      <c r="AY645">
        <f t="shared" si="20"/>
        <v>43</v>
      </c>
      <c r="AZ645">
        <f t="shared" si="21"/>
        <v>3</v>
      </c>
    </row>
    <row r="646" spans="1:52" ht="55.2">
      <c r="A646" s="3" t="s">
        <v>690</v>
      </c>
      <c r="E646">
        <v>1</v>
      </c>
      <c r="M646">
        <v>2</v>
      </c>
      <c r="AY646">
        <f t="shared" si="20"/>
        <v>43</v>
      </c>
      <c r="AZ646">
        <f t="shared" si="21"/>
        <v>3</v>
      </c>
    </row>
    <row r="647" spans="1:52" ht="55.2">
      <c r="A647" s="3" t="s">
        <v>691</v>
      </c>
      <c r="E647">
        <v>1</v>
      </c>
      <c r="M647">
        <v>2</v>
      </c>
      <c r="AY647">
        <f t="shared" si="20"/>
        <v>43</v>
      </c>
      <c r="AZ647">
        <f t="shared" si="21"/>
        <v>3</v>
      </c>
    </row>
    <row r="648" spans="1:52" ht="55.2">
      <c r="A648" s="3" t="s">
        <v>692</v>
      </c>
      <c r="E648">
        <v>1</v>
      </c>
      <c r="M648">
        <v>2</v>
      </c>
      <c r="AY648">
        <f t="shared" si="20"/>
        <v>43</v>
      </c>
      <c r="AZ648">
        <f t="shared" si="21"/>
        <v>3</v>
      </c>
    </row>
    <row r="649" spans="1:52" ht="55.2">
      <c r="A649" s="3" t="s">
        <v>693</v>
      </c>
      <c r="E649">
        <v>1</v>
      </c>
      <c r="M649">
        <v>2</v>
      </c>
      <c r="AY649">
        <f t="shared" si="20"/>
        <v>43</v>
      </c>
      <c r="AZ649">
        <f t="shared" si="21"/>
        <v>3</v>
      </c>
    </row>
    <row r="650" spans="1:52" ht="55.2">
      <c r="A650" s="3" t="s">
        <v>694</v>
      </c>
      <c r="E650">
        <v>1</v>
      </c>
      <c r="M650">
        <v>2</v>
      </c>
      <c r="AY650">
        <f t="shared" si="20"/>
        <v>43</v>
      </c>
      <c r="AZ650">
        <f t="shared" si="21"/>
        <v>3</v>
      </c>
    </row>
    <row r="651" spans="1:52" ht="55.2">
      <c r="A651" s="3" t="s">
        <v>695</v>
      </c>
      <c r="E651">
        <v>1</v>
      </c>
      <c r="M651">
        <v>2</v>
      </c>
      <c r="AY651">
        <f t="shared" si="20"/>
        <v>43</v>
      </c>
      <c r="AZ651">
        <f t="shared" si="21"/>
        <v>3</v>
      </c>
    </row>
    <row r="652" spans="1:52" ht="55.2">
      <c r="A652" s="3" t="s">
        <v>696</v>
      </c>
      <c r="E652">
        <v>1</v>
      </c>
      <c r="M652">
        <v>2</v>
      </c>
      <c r="AY652">
        <f t="shared" si="20"/>
        <v>43</v>
      </c>
      <c r="AZ652">
        <f t="shared" si="21"/>
        <v>3</v>
      </c>
    </row>
    <row r="653" spans="1:52" ht="55.2">
      <c r="A653" s="3" t="s">
        <v>697</v>
      </c>
      <c r="E653">
        <v>1</v>
      </c>
      <c r="M653">
        <v>2</v>
      </c>
      <c r="AY653">
        <f t="shared" si="20"/>
        <v>43</v>
      </c>
      <c r="AZ653">
        <f t="shared" si="21"/>
        <v>3</v>
      </c>
    </row>
    <row r="654" spans="1:52" ht="55.2">
      <c r="A654" s="3" t="s">
        <v>698</v>
      </c>
      <c r="E654">
        <v>1</v>
      </c>
      <c r="M654">
        <v>2</v>
      </c>
      <c r="AY654">
        <f t="shared" si="20"/>
        <v>43</v>
      </c>
      <c r="AZ654">
        <f t="shared" si="21"/>
        <v>3</v>
      </c>
    </row>
    <row r="655" spans="1:52" ht="55.2">
      <c r="A655" s="3" t="s">
        <v>699</v>
      </c>
      <c r="E655">
        <v>1</v>
      </c>
      <c r="M655">
        <v>2</v>
      </c>
      <c r="AY655">
        <f t="shared" si="20"/>
        <v>43</v>
      </c>
      <c r="AZ655">
        <f t="shared" si="21"/>
        <v>3</v>
      </c>
    </row>
    <row r="656" spans="1:52" ht="55.2">
      <c r="A656" s="3" t="s">
        <v>700</v>
      </c>
      <c r="E656">
        <v>1</v>
      </c>
      <c r="M656">
        <v>2</v>
      </c>
      <c r="AY656">
        <f t="shared" si="20"/>
        <v>43</v>
      </c>
      <c r="AZ656">
        <f t="shared" si="21"/>
        <v>3</v>
      </c>
    </row>
    <row r="657" spans="1:52" ht="55.2">
      <c r="A657" s="3" t="s">
        <v>701</v>
      </c>
      <c r="E657">
        <v>1</v>
      </c>
      <c r="M657">
        <v>2</v>
      </c>
      <c r="AY657">
        <f t="shared" si="20"/>
        <v>43</v>
      </c>
      <c r="AZ657">
        <f t="shared" si="21"/>
        <v>3</v>
      </c>
    </row>
    <row r="658" spans="1:52" ht="55.2">
      <c r="A658" s="3" t="s">
        <v>702</v>
      </c>
      <c r="E658">
        <v>1</v>
      </c>
      <c r="M658">
        <v>2</v>
      </c>
      <c r="AY658">
        <f t="shared" si="20"/>
        <v>43</v>
      </c>
      <c r="AZ658">
        <f t="shared" si="21"/>
        <v>3</v>
      </c>
    </row>
    <row r="659" spans="1:52" ht="55.2">
      <c r="A659" s="3" t="s">
        <v>703</v>
      </c>
      <c r="E659">
        <v>1</v>
      </c>
      <c r="M659">
        <v>2</v>
      </c>
      <c r="AY659">
        <f t="shared" si="20"/>
        <v>43</v>
      </c>
      <c r="AZ659">
        <f t="shared" si="21"/>
        <v>3</v>
      </c>
    </row>
    <row r="660" spans="1:52" ht="55.2">
      <c r="A660" s="3" t="s">
        <v>704</v>
      </c>
      <c r="E660">
        <v>1</v>
      </c>
      <c r="M660">
        <v>2</v>
      </c>
      <c r="AY660">
        <f t="shared" si="20"/>
        <v>43</v>
      </c>
      <c r="AZ660">
        <f t="shared" si="21"/>
        <v>3</v>
      </c>
    </row>
    <row r="661" spans="1:52" ht="55.2">
      <c r="A661" s="3" t="s">
        <v>705</v>
      </c>
      <c r="E661">
        <v>1</v>
      </c>
      <c r="M661">
        <v>2</v>
      </c>
      <c r="AY661">
        <f t="shared" si="20"/>
        <v>43</v>
      </c>
      <c r="AZ661">
        <f t="shared" si="21"/>
        <v>3</v>
      </c>
    </row>
    <row r="662" spans="1:52" ht="55.2">
      <c r="A662" s="3" t="s">
        <v>706</v>
      </c>
      <c r="E662">
        <v>1</v>
      </c>
      <c r="M662">
        <v>2</v>
      </c>
      <c r="AY662">
        <f t="shared" si="20"/>
        <v>43</v>
      </c>
      <c r="AZ662">
        <f t="shared" si="21"/>
        <v>3</v>
      </c>
    </row>
    <row r="663" spans="1:52" ht="55.2">
      <c r="A663" s="3" t="s">
        <v>707</v>
      </c>
      <c r="E663">
        <v>1</v>
      </c>
      <c r="M663">
        <v>2</v>
      </c>
      <c r="AY663">
        <f t="shared" si="20"/>
        <v>43</v>
      </c>
      <c r="AZ663">
        <f t="shared" si="21"/>
        <v>3</v>
      </c>
    </row>
    <row r="664" spans="1:52" ht="55.2">
      <c r="A664" s="3" t="s">
        <v>708</v>
      </c>
      <c r="E664">
        <v>1</v>
      </c>
      <c r="M664">
        <v>2</v>
      </c>
      <c r="AY664">
        <f t="shared" si="20"/>
        <v>43</v>
      </c>
      <c r="AZ664">
        <f t="shared" si="21"/>
        <v>3</v>
      </c>
    </row>
    <row r="665" spans="1:52" ht="55.2">
      <c r="A665" s="3" t="s">
        <v>709</v>
      </c>
      <c r="E665">
        <v>1</v>
      </c>
      <c r="M665">
        <v>2</v>
      </c>
      <c r="AY665">
        <f t="shared" si="20"/>
        <v>43</v>
      </c>
      <c r="AZ665">
        <f t="shared" si="21"/>
        <v>3</v>
      </c>
    </row>
    <row r="666" spans="1:52" ht="55.2">
      <c r="A666" s="3" t="s">
        <v>710</v>
      </c>
      <c r="E666">
        <v>1</v>
      </c>
      <c r="M666">
        <v>2</v>
      </c>
      <c r="AY666">
        <f t="shared" si="20"/>
        <v>43</v>
      </c>
      <c r="AZ666">
        <f t="shared" si="21"/>
        <v>3</v>
      </c>
    </row>
    <row r="667" spans="1:52" ht="55.2">
      <c r="A667" s="3" t="s">
        <v>711</v>
      </c>
      <c r="E667">
        <v>1</v>
      </c>
      <c r="M667">
        <v>2</v>
      </c>
      <c r="AY667">
        <f t="shared" si="20"/>
        <v>43</v>
      </c>
      <c r="AZ667">
        <f t="shared" si="21"/>
        <v>3</v>
      </c>
    </row>
    <row r="668" spans="1:52" ht="55.2">
      <c r="A668" s="3" t="s">
        <v>712</v>
      </c>
      <c r="E668">
        <v>1</v>
      </c>
      <c r="M668">
        <v>2</v>
      </c>
      <c r="AY668">
        <f t="shared" si="20"/>
        <v>43</v>
      </c>
      <c r="AZ668">
        <f t="shared" si="21"/>
        <v>3</v>
      </c>
    </row>
    <row r="669" spans="1:52" ht="55.2">
      <c r="A669" s="3" t="s">
        <v>713</v>
      </c>
      <c r="E669">
        <v>1</v>
      </c>
      <c r="M669">
        <v>2</v>
      </c>
      <c r="AY669">
        <f t="shared" si="20"/>
        <v>43</v>
      </c>
      <c r="AZ669">
        <f t="shared" si="21"/>
        <v>3</v>
      </c>
    </row>
    <row r="670" spans="1:52" ht="55.2">
      <c r="A670" s="3" t="s">
        <v>714</v>
      </c>
      <c r="E670">
        <v>1</v>
      </c>
      <c r="M670">
        <v>2</v>
      </c>
      <c r="AY670">
        <f t="shared" si="20"/>
        <v>43</v>
      </c>
      <c r="AZ670">
        <f t="shared" si="21"/>
        <v>3</v>
      </c>
    </row>
    <row r="671" spans="1:52" ht="55.2">
      <c r="A671" s="3" t="s">
        <v>715</v>
      </c>
      <c r="E671">
        <v>1</v>
      </c>
      <c r="M671">
        <v>2</v>
      </c>
      <c r="AY671">
        <f t="shared" si="20"/>
        <v>43</v>
      </c>
      <c r="AZ671">
        <f t="shared" si="21"/>
        <v>3</v>
      </c>
    </row>
    <row r="672" spans="1:52" ht="55.2">
      <c r="A672" s="3" t="s">
        <v>716</v>
      </c>
      <c r="E672">
        <v>1</v>
      </c>
      <c r="M672">
        <v>2</v>
      </c>
      <c r="AY672">
        <f t="shared" si="20"/>
        <v>43</v>
      </c>
      <c r="AZ672">
        <f t="shared" si="21"/>
        <v>3</v>
      </c>
    </row>
    <row r="673" spans="1:52" ht="55.2">
      <c r="A673" s="3" t="s">
        <v>717</v>
      </c>
      <c r="E673">
        <v>1</v>
      </c>
      <c r="M673">
        <v>2</v>
      </c>
      <c r="AY673">
        <f t="shared" ref="AY673:AY736" si="22">COUNTBLANK(F673:AW673)</f>
        <v>43</v>
      </c>
      <c r="AZ673">
        <f t="shared" ref="AZ673:AZ736" si="23">COUNTBLANK(B673:E673)</f>
        <v>3</v>
      </c>
    </row>
    <row r="674" spans="1:52" ht="55.2">
      <c r="A674" s="3" t="s">
        <v>718</v>
      </c>
      <c r="E674">
        <v>1</v>
      </c>
      <c r="M674">
        <v>2</v>
      </c>
      <c r="AY674">
        <f t="shared" si="22"/>
        <v>43</v>
      </c>
      <c r="AZ674">
        <f t="shared" si="23"/>
        <v>3</v>
      </c>
    </row>
    <row r="675" spans="1:52" ht="55.2">
      <c r="A675" s="3" t="s">
        <v>719</v>
      </c>
      <c r="E675">
        <v>1</v>
      </c>
      <c r="M675">
        <v>2</v>
      </c>
      <c r="AY675">
        <f t="shared" si="22"/>
        <v>43</v>
      </c>
      <c r="AZ675">
        <f t="shared" si="23"/>
        <v>3</v>
      </c>
    </row>
    <row r="676" spans="1:52" ht="55.2">
      <c r="A676" s="3" t="s">
        <v>720</v>
      </c>
      <c r="E676">
        <v>1</v>
      </c>
      <c r="M676">
        <v>2</v>
      </c>
      <c r="AY676">
        <f t="shared" si="22"/>
        <v>43</v>
      </c>
      <c r="AZ676">
        <f t="shared" si="23"/>
        <v>3</v>
      </c>
    </row>
    <row r="677" spans="1:52" ht="55.2">
      <c r="A677" s="3" t="s">
        <v>721</v>
      </c>
      <c r="E677">
        <v>1</v>
      </c>
      <c r="J677">
        <v>6</v>
      </c>
      <c r="AY677">
        <f t="shared" si="22"/>
        <v>43</v>
      </c>
      <c r="AZ677">
        <f t="shared" si="23"/>
        <v>3</v>
      </c>
    </row>
    <row r="678" spans="1:52" ht="55.2">
      <c r="A678" s="3" t="s">
        <v>722</v>
      </c>
      <c r="E678">
        <v>1</v>
      </c>
      <c r="J678">
        <v>6</v>
      </c>
      <c r="AY678">
        <f t="shared" si="22"/>
        <v>43</v>
      </c>
      <c r="AZ678">
        <f t="shared" si="23"/>
        <v>3</v>
      </c>
    </row>
    <row r="679" spans="1:52" ht="55.2">
      <c r="A679" s="3" t="s">
        <v>723</v>
      </c>
      <c r="E679">
        <v>1</v>
      </c>
      <c r="J679">
        <v>6</v>
      </c>
      <c r="AY679">
        <f t="shared" si="22"/>
        <v>43</v>
      </c>
      <c r="AZ679">
        <f t="shared" si="23"/>
        <v>3</v>
      </c>
    </row>
    <row r="680" spans="1:52" ht="55.2">
      <c r="A680" s="3" t="s">
        <v>724</v>
      </c>
      <c r="E680">
        <v>1</v>
      </c>
      <c r="J680">
        <v>6</v>
      </c>
      <c r="AY680">
        <f t="shared" si="22"/>
        <v>43</v>
      </c>
      <c r="AZ680">
        <f t="shared" si="23"/>
        <v>3</v>
      </c>
    </row>
    <row r="681" spans="1:52" ht="55.2">
      <c r="A681" s="3" t="s">
        <v>725</v>
      </c>
      <c r="E681">
        <v>1</v>
      </c>
      <c r="J681">
        <v>6</v>
      </c>
      <c r="AY681">
        <f t="shared" si="22"/>
        <v>43</v>
      </c>
      <c r="AZ681">
        <f t="shared" si="23"/>
        <v>3</v>
      </c>
    </row>
    <row r="682" spans="1:52" ht="55.2">
      <c r="A682" s="3" t="s">
        <v>726</v>
      </c>
      <c r="E682">
        <v>1</v>
      </c>
      <c r="J682">
        <v>6</v>
      </c>
      <c r="AY682">
        <f t="shared" si="22"/>
        <v>43</v>
      </c>
      <c r="AZ682">
        <f t="shared" si="23"/>
        <v>3</v>
      </c>
    </row>
    <row r="683" spans="1:52" ht="55.2">
      <c r="A683" s="3" t="s">
        <v>727</v>
      </c>
      <c r="D683">
        <v>1</v>
      </c>
      <c r="E683">
        <v>1</v>
      </c>
      <c r="J683">
        <v>6</v>
      </c>
      <c r="AY683">
        <f t="shared" si="22"/>
        <v>43</v>
      </c>
      <c r="AZ683">
        <f t="shared" si="23"/>
        <v>2</v>
      </c>
    </row>
    <row r="684" spans="1:52" ht="55.2">
      <c r="A684" s="3" t="s">
        <v>728</v>
      </c>
      <c r="D684">
        <v>1</v>
      </c>
      <c r="E684">
        <v>1</v>
      </c>
      <c r="J684">
        <v>6</v>
      </c>
      <c r="AY684">
        <f t="shared" si="22"/>
        <v>43</v>
      </c>
      <c r="AZ684">
        <f t="shared" si="23"/>
        <v>2</v>
      </c>
    </row>
    <row r="685" spans="1:52" ht="55.2">
      <c r="A685" s="3" t="s">
        <v>729</v>
      </c>
      <c r="D685">
        <v>1</v>
      </c>
      <c r="E685">
        <v>1</v>
      </c>
      <c r="J685">
        <v>6</v>
      </c>
      <c r="AY685">
        <f t="shared" si="22"/>
        <v>43</v>
      </c>
      <c r="AZ685">
        <f t="shared" si="23"/>
        <v>2</v>
      </c>
    </row>
    <row r="686" spans="1:52" ht="55.2">
      <c r="A686" s="3" t="s">
        <v>730</v>
      </c>
      <c r="D686">
        <v>1</v>
      </c>
      <c r="E686">
        <v>1</v>
      </c>
      <c r="J686">
        <v>6</v>
      </c>
      <c r="AY686">
        <f t="shared" si="22"/>
        <v>43</v>
      </c>
      <c r="AZ686">
        <f t="shared" si="23"/>
        <v>2</v>
      </c>
    </row>
    <row r="687" spans="1:52" ht="55.2">
      <c r="A687" s="3" t="s">
        <v>731</v>
      </c>
      <c r="D687">
        <v>1</v>
      </c>
      <c r="E687">
        <v>1</v>
      </c>
      <c r="J687">
        <v>6</v>
      </c>
      <c r="AY687">
        <f t="shared" si="22"/>
        <v>43</v>
      </c>
      <c r="AZ687">
        <f t="shared" si="23"/>
        <v>2</v>
      </c>
    </row>
    <row r="688" spans="1:52" ht="55.2">
      <c r="A688" s="3" t="s">
        <v>732</v>
      </c>
      <c r="D688">
        <v>1</v>
      </c>
      <c r="E688">
        <v>1</v>
      </c>
      <c r="J688">
        <v>6</v>
      </c>
      <c r="AY688">
        <f t="shared" si="22"/>
        <v>43</v>
      </c>
      <c r="AZ688">
        <f t="shared" si="23"/>
        <v>2</v>
      </c>
    </row>
    <row r="689" spans="1:52" ht="55.2">
      <c r="A689" s="3" t="s">
        <v>733</v>
      </c>
      <c r="D689">
        <v>1</v>
      </c>
      <c r="E689">
        <v>1</v>
      </c>
      <c r="J689">
        <v>6</v>
      </c>
      <c r="AY689">
        <f t="shared" si="22"/>
        <v>43</v>
      </c>
      <c r="AZ689">
        <f t="shared" si="23"/>
        <v>2</v>
      </c>
    </row>
    <row r="690" spans="1:52" ht="55.2">
      <c r="A690" s="3" t="s">
        <v>734</v>
      </c>
      <c r="D690">
        <v>1</v>
      </c>
      <c r="E690">
        <v>1</v>
      </c>
      <c r="J690">
        <v>6</v>
      </c>
      <c r="AY690">
        <f t="shared" si="22"/>
        <v>43</v>
      </c>
      <c r="AZ690">
        <f t="shared" si="23"/>
        <v>2</v>
      </c>
    </row>
    <row r="691" spans="1:52" ht="55.2">
      <c r="A691" s="3" t="s">
        <v>735</v>
      </c>
      <c r="D691">
        <v>1</v>
      </c>
      <c r="E691">
        <v>1</v>
      </c>
      <c r="J691">
        <v>6</v>
      </c>
      <c r="AY691">
        <f t="shared" si="22"/>
        <v>43</v>
      </c>
      <c r="AZ691">
        <f t="shared" si="23"/>
        <v>2</v>
      </c>
    </row>
    <row r="692" spans="1:52" ht="55.2">
      <c r="A692" s="3" t="s">
        <v>736</v>
      </c>
      <c r="D692">
        <v>1</v>
      </c>
      <c r="E692">
        <v>1</v>
      </c>
      <c r="J692">
        <v>6</v>
      </c>
      <c r="AY692">
        <f t="shared" si="22"/>
        <v>43</v>
      </c>
      <c r="AZ692">
        <f t="shared" si="23"/>
        <v>2</v>
      </c>
    </row>
    <row r="693" spans="1:52" ht="55.2">
      <c r="A693" s="3" t="s">
        <v>737</v>
      </c>
      <c r="D693">
        <v>1</v>
      </c>
      <c r="E693">
        <v>1</v>
      </c>
      <c r="J693">
        <v>6</v>
      </c>
      <c r="AY693">
        <f t="shared" si="22"/>
        <v>43</v>
      </c>
      <c r="AZ693">
        <f t="shared" si="23"/>
        <v>2</v>
      </c>
    </row>
    <row r="694" spans="1:52" ht="55.2">
      <c r="A694" s="3" t="s">
        <v>738</v>
      </c>
      <c r="D694">
        <v>1</v>
      </c>
      <c r="E694">
        <v>1</v>
      </c>
      <c r="J694">
        <v>6</v>
      </c>
      <c r="AY694">
        <f t="shared" si="22"/>
        <v>43</v>
      </c>
      <c r="AZ694">
        <f t="shared" si="23"/>
        <v>2</v>
      </c>
    </row>
    <row r="695" spans="1:52" ht="55.2">
      <c r="A695" s="3" t="s">
        <v>739</v>
      </c>
      <c r="D695">
        <v>1</v>
      </c>
      <c r="E695">
        <v>1</v>
      </c>
      <c r="J695">
        <v>6</v>
      </c>
      <c r="AY695">
        <f t="shared" si="22"/>
        <v>43</v>
      </c>
      <c r="AZ695">
        <f t="shared" si="23"/>
        <v>2</v>
      </c>
    </row>
    <row r="696" spans="1:52" ht="55.2">
      <c r="A696" s="3" t="s">
        <v>740</v>
      </c>
      <c r="D696">
        <v>1</v>
      </c>
      <c r="E696">
        <v>1</v>
      </c>
      <c r="J696">
        <v>6</v>
      </c>
      <c r="AY696">
        <f t="shared" si="22"/>
        <v>43</v>
      </c>
      <c r="AZ696">
        <f t="shared" si="23"/>
        <v>2</v>
      </c>
    </row>
    <row r="697" spans="1:52" ht="55.2">
      <c r="A697" s="3" t="s">
        <v>741</v>
      </c>
      <c r="D697">
        <v>1</v>
      </c>
      <c r="E697">
        <v>1</v>
      </c>
      <c r="J697">
        <v>6</v>
      </c>
      <c r="AY697">
        <f t="shared" si="22"/>
        <v>43</v>
      </c>
      <c r="AZ697">
        <f t="shared" si="23"/>
        <v>2</v>
      </c>
    </row>
    <row r="698" spans="1:52" ht="55.2">
      <c r="A698" s="3" t="s">
        <v>742</v>
      </c>
      <c r="D698">
        <v>1</v>
      </c>
      <c r="E698">
        <v>1</v>
      </c>
      <c r="J698">
        <v>6</v>
      </c>
      <c r="AY698">
        <f t="shared" si="22"/>
        <v>43</v>
      </c>
      <c r="AZ698">
        <f t="shared" si="23"/>
        <v>2</v>
      </c>
    </row>
    <row r="699" spans="1:52" ht="55.2">
      <c r="A699" s="3" t="s">
        <v>743</v>
      </c>
      <c r="D699">
        <v>1</v>
      </c>
      <c r="E699">
        <v>1</v>
      </c>
      <c r="J699">
        <v>6</v>
      </c>
      <c r="AY699">
        <f t="shared" si="22"/>
        <v>43</v>
      </c>
      <c r="AZ699">
        <f t="shared" si="23"/>
        <v>2</v>
      </c>
    </row>
    <row r="700" spans="1:52" ht="55.2">
      <c r="A700" s="3" t="s">
        <v>744</v>
      </c>
      <c r="D700">
        <v>1</v>
      </c>
      <c r="E700">
        <v>1</v>
      </c>
      <c r="J700">
        <v>6</v>
      </c>
      <c r="AY700">
        <f t="shared" si="22"/>
        <v>43</v>
      </c>
      <c r="AZ700">
        <f t="shared" si="23"/>
        <v>2</v>
      </c>
    </row>
    <row r="701" spans="1:52" ht="55.2">
      <c r="A701" s="3" t="s">
        <v>745</v>
      </c>
      <c r="D701">
        <v>1</v>
      </c>
      <c r="E701">
        <v>1</v>
      </c>
      <c r="J701">
        <v>6</v>
      </c>
      <c r="AY701">
        <f t="shared" si="22"/>
        <v>43</v>
      </c>
      <c r="AZ701">
        <f t="shared" si="23"/>
        <v>2</v>
      </c>
    </row>
    <row r="702" spans="1:52" ht="55.2">
      <c r="A702" s="3" t="s">
        <v>746</v>
      </c>
      <c r="D702">
        <v>1</v>
      </c>
      <c r="E702">
        <v>1</v>
      </c>
      <c r="J702">
        <v>6</v>
      </c>
      <c r="AY702">
        <f t="shared" si="22"/>
        <v>43</v>
      </c>
      <c r="AZ702">
        <f t="shared" si="23"/>
        <v>2</v>
      </c>
    </row>
    <row r="703" spans="1:52" ht="55.2">
      <c r="A703" s="3" t="s">
        <v>747</v>
      </c>
      <c r="D703">
        <v>1</v>
      </c>
      <c r="E703">
        <v>1</v>
      </c>
      <c r="J703">
        <v>6</v>
      </c>
      <c r="AY703">
        <f t="shared" si="22"/>
        <v>43</v>
      </c>
      <c r="AZ703">
        <f t="shared" si="23"/>
        <v>2</v>
      </c>
    </row>
    <row r="704" spans="1:52" ht="55.2">
      <c r="A704" s="3" t="s">
        <v>748</v>
      </c>
      <c r="D704">
        <v>1</v>
      </c>
      <c r="E704">
        <v>1</v>
      </c>
      <c r="J704">
        <v>6</v>
      </c>
      <c r="AY704">
        <f t="shared" si="22"/>
        <v>43</v>
      </c>
      <c r="AZ704">
        <f t="shared" si="23"/>
        <v>2</v>
      </c>
    </row>
    <row r="705" spans="1:52" ht="55.2">
      <c r="A705" s="3" t="s">
        <v>749</v>
      </c>
      <c r="D705">
        <v>1</v>
      </c>
      <c r="E705">
        <v>1</v>
      </c>
      <c r="J705">
        <v>6</v>
      </c>
      <c r="AY705">
        <f t="shared" si="22"/>
        <v>43</v>
      </c>
      <c r="AZ705">
        <f t="shared" si="23"/>
        <v>2</v>
      </c>
    </row>
    <row r="706" spans="1:52" ht="55.2">
      <c r="A706" s="3" t="s">
        <v>750</v>
      </c>
      <c r="D706">
        <v>1</v>
      </c>
      <c r="E706">
        <v>1</v>
      </c>
      <c r="J706">
        <v>6</v>
      </c>
      <c r="AY706">
        <f t="shared" si="22"/>
        <v>43</v>
      </c>
      <c r="AZ706">
        <f t="shared" si="23"/>
        <v>2</v>
      </c>
    </row>
    <row r="707" spans="1:52" ht="55.2">
      <c r="A707" s="3" t="s">
        <v>751</v>
      </c>
      <c r="D707">
        <v>1</v>
      </c>
      <c r="E707">
        <v>1</v>
      </c>
      <c r="J707">
        <v>6</v>
      </c>
      <c r="AY707">
        <f t="shared" si="22"/>
        <v>43</v>
      </c>
      <c r="AZ707">
        <f t="shared" si="23"/>
        <v>2</v>
      </c>
    </row>
    <row r="708" spans="1:52" ht="55.2">
      <c r="A708" s="3" t="s">
        <v>752</v>
      </c>
      <c r="D708">
        <v>1</v>
      </c>
      <c r="E708">
        <v>1</v>
      </c>
      <c r="J708">
        <v>6</v>
      </c>
      <c r="AY708">
        <f t="shared" si="22"/>
        <v>43</v>
      </c>
      <c r="AZ708">
        <f t="shared" si="23"/>
        <v>2</v>
      </c>
    </row>
    <row r="709" spans="1:52" ht="55.2">
      <c r="A709" s="3" t="s">
        <v>753</v>
      </c>
      <c r="D709">
        <v>1</v>
      </c>
      <c r="E709">
        <v>1</v>
      </c>
      <c r="J709">
        <v>6</v>
      </c>
      <c r="AY709">
        <f t="shared" si="22"/>
        <v>43</v>
      </c>
      <c r="AZ709">
        <f t="shared" si="23"/>
        <v>2</v>
      </c>
    </row>
    <row r="710" spans="1:52" ht="55.2">
      <c r="A710" s="3" t="s">
        <v>754</v>
      </c>
      <c r="D710">
        <v>1</v>
      </c>
      <c r="E710">
        <v>1</v>
      </c>
      <c r="J710">
        <v>6</v>
      </c>
      <c r="AY710">
        <f t="shared" si="22"/>
        <v>43</v>
      </c>
      <c r="AZ710">
        <f t="shared" si="23"/>
        <v>2</v>
      </c>
    </row>
    <row r="711" spans="1:52" ht="55.2">
      <c r="A711" s="3" t="s">
        <v>755</v>
      </c>
      <c r="D711">
        <v>1</v>
      </c>
      <c r="E711">
        <v>1</v>
      </c>
      <c r="J711">
        <v>6</v>
      </c>
      <c r="AY711">
        <f t="shared" si="22"/>
        <v>43</v>
      </c>
      <c r="AZ711">
        <f t="shared" si="23"/>
        <v>2</v>
      </c>
    </row>
    <row r="712" spans="1:52" ht="55.2">
      <c r="A712" s="3" t="s">
        <v>756</v>
      </c>
      <c r="D712">
        <v>1</v>
      </c>
      <c r="E712">
        <v>1</v>
      </c>
      <c r="J712">
        <v>6</v>
      </c>
      <c r="AY712">
        <f t="shared" si="22"/>
        <v>43</v>
      </c>
      <c r="AZ712">
        <f t="shared" si="23"/>
        <v>2</v>
      </c>
    </row>
    <row r="713" spans="1:52" ht="55.2">
      <c r="A713" s="3" t="s">
        <v>757</v>
      </c>
      <c r="D713">
        <v>1</v>
      </c>
      <c r="J713">
        <v>6</v>
      </c>
      <c r="AY713">
        <f t="shared" si="22"/>
        <v>43</v>
      </c>
      <c r="AZ713">
        <f t="shared" si="23"/>
        <v>3</v>
      </c>
    </row>
    <row r="714" spans="1:52" ht="55.2">
      <c r="A714" s="3" t="s">
        <v>758</v>
      </c>
      <c r="D714">
        <v>1</v>
      </c>
      <c r="J714">
        <v>6</v>
      </c>
      <c r="AY714">
        <f t="shared" si="22"/>
        <v>43</v>
      </c>
      <c r="AZ714">
        <f t="shared" si="23"/>
        <v>3</v>
      </c>
    </row>
    <row r="715" spans="1:52" ht="55.2">
      <c r="A715" s="3" t="s">
        <v>759</v>
      </c>
      <c r="D715">
        <v>1</v>
      </c>
      <c r="J715">
        <v>6</v>
      </c>
      <c r="AY715">
        <f t="shared" si="22"/>
        <v>43</v>
      </c>
      <c r="AZ715">
        <f t="shared" si="23"/>
        <v>3</v>
      </c>
    </row>
    <row r="716" spans="1:52" ht="55.2">
      <c r="A716" s="3" t="s">
        <v>760</v>
      </c>
      <c r="D716">
        <v>1</v>
      </c>
      <c r="J716">
        <v>6</v>
      </c>
      <c r="AY716">
        <f t="shared" si="22"/>
        <v>43</v>
      </c>
      <c r="AZ716">
        <f t="shared" si="23"/>
        <v>3</v>
      </c>
    </row>
    <row r="717" spans="1:52" ht="55.2">
      <c r="A717" s="3" t="s">
        <v>761</v>
      </c>
      <c r="D717">
        <v>1</v>
      </c>
      <c r="J717">
        <v>6</v>
      </c>
      <c r="AY717">
        <f t="shared" si="22"/>
        <v>43</v>
      </c>
      <c r="AZ717">
        <f t="shared" si="23"/>
        <v>3</v>
      </c>
    </row>
    <row r="718" spans="1:52" ht="55.2">
      <c r="A718" s="3" t="s">
        <v>762</v>
      </c>
      <c r="D718">
        <v>1</v>
      </c>
      <c r="J718">
        <v>6</v>
      </c>
      <c r="AY718">
        <f t="shared" si="22"/>
        <v>43</v>
      </c>
      <c r="AZ718">
        <f t="shared" si="23"/>
        <v>3</v>
      </c>
    </row>
    <row r="719" spans="1:52" ht="55.2">
      <c r="A719" s="3" t="s">
        <v>763</v>
      </c>
      <c r="D719">
        <v>1</v>
      </c>
      <c r="J719">
        <v>6</v>
      </c>
      <c r="AY719">
        <f t="shared" si="22"/>
        <v>43</v>
      </c>
      <c r="AZ719">
        <f t="shared" si="23"/>
        <v>3</v>
      </c>
    </row>
    <row r="720" spans="1:52" ht="55.2">
      <c r="A720" s="3" t="s">
        <v>764</v>
      </c>
      <c r="D720">
        <v>1</v>
      </c>
      <c r="J720">
        <v>6</v>
      </c>
      <c r="AY720">
        <f t="shared" si="22"/>
        <v>43</v>
      </c>
      <c r="AZ720">
        <f t="shared" si="23"/>
        <v>3</v>
      </c>
    </row>
    <row r="721" spans="1:52" ht="55.2">
      <c r="A721" s="3" t="s">
        <v>765</v>
      </c>
      <c r="D721">
        <v>1</v>
      </c>
      <c r="J721">
        <v>6</v>
      </c>
      <c r="AY721">
        <f t="shared" si="22"/>
        <v>43</v>
      </c>
      <c r="AZ721">
        <f t="shared" si="23"/>
        <v>3</v>
      </c>
    </row>
    <row r="722" spans="1:52" ht="55.2">
      <c r="A722" s="3" t="s">
        <v>766</v>
      </c>
      <c r="D722">
        <v>1</v>
      </c>
      <c r="J722">
        <v>6</v>
      </c>
      <c r="AY722">
        <f t="shared" si="22"/>
        <v>43</v>
      </c>
      <c r="AZ722">
        <f t="shared" si="23"/>
        <v>3</v>
      </c>
    </row>
    <row r="723" spans="1:52" ht="55.2">
      <c r="A723" s="3" t="s">
        <v>767</v>
      </c>
      <c r="D723">
        <v>1</v>
      </c>
      <c r="J723">
        <v>6</v>
      </c>
      <c r="AY723">
        <f t="shared" si="22"/>
        <v>43</v>
      </c>
      <c r="AZ723">
        <f t="shared" si="23"/>
        <v>3</v>
      </c>
    </row>
    <row r="724" spans="1:52" ht="55.2">
      <c r="A724" s="3" t="s">
        <v>768</v>
      </c>
      <c r="D724">
        <v>1</v>
      </c>
      <c r="J724">
        <v>6</v>
      </c>
      <c r="AY724">
        <f t="shared" si="22"/>
        <v>43</v>
      </c>
      <c r="AZ724">
        <f t="shared" si="23"/>
        <v>3</v>
      </c>
    </row>
    <row r="725" spans="1:52" ht="55.2">
      <c r="A725" s="3" t="s">
        <v>769</v>
      </c>
      <c r="D725">
        <v>1</v>
      </c>
      <c r="J725">
        <v>6</v>
      </c>
      <c r="AY725">
        <f t="shared" si="22"/>
        <v>43</v>
      </c>
      <c r="AZ725">
        <f t="shared" si="23"/>
        <v>3</v>
      </c>
    </row>
    <row r="726" spans="1:52" ht="55.2">
      <c r="A726" s="3" t="s">
        <v>770</v>
      </c>
      <c r="D726">
        <v>1</v>
      </c>
      <c r="J726">
        <v>6</v>
      </c>
      <c r="AY726">
        <f t="shared" si="22"/>
        <v>43</v>
      </c>
      <c r="AZ726">
        <f t="shared" si="23"/>
        <v>3</v>
      </c>
    </row>
    <row r="727" spans="1:52" ht="55.2">
      <c r="A727" s="3" t="s">
        <v>771</v>
      </c>
      <c r="D727">
        <v>1</v>
      </c>
      <c r="J727">
        <v>6</v>
      </c>
      <c r="AY727">
        <f t="shared" si="22"/>
        <v>43</v>
      </c>
      <c r="AZ727">
        <f t="shared" si="23"/>
        <v>3</v>
      </c>
    </row>
    <row r="728" spans="1:52" ht="55.2">
      <c r="A728" s="3" t="s">
        <v>772</v>
      </c>
      <c r="D728">
        <v>1</v>
      </c>
      <c r="J728">
        <v>6</v>
      </c>
      <c r="AY728">
        <f t="shared" si="22"/>
        <v>43</v>
      </c>
      <c r="AZ728">
        <f t="shared" si="23"/>
        <v>3</v>
      </c>
    </row>
    <row r="729" spans="1:52" ht="55.2">
      <c r="A729" s="3" t="s">
        <v>773</v>
      </c>
      <c r="D729">
        <v>1</v>
      </c>
      <c r="J729">
        <v>6</v>
      </c>
      <c r="AY729">
        <f t="shared" si="22"/>
        <v>43</v>
      </c>
      <c r="AZ729">
        <f t="shared" si="23"/>
        <v>3</v>
      </c>
    </row>
    <row r="730" spans="1:52" ht="55.2">
      <c r="A730" s="3" t="s">
        <v>774</v>
      </c>
      <c r="D730">
        <v>1</v>
      </c>
      <c r="J730">
        <v>6</v>
      </c>
      <c r="AY730">
        <f t="shared" si="22"/>
        <v>43</v>
      </c>
      <c r="AZ730">
        <f t="shared" si="23"/>
        <v>3</v>
      </c>
    </row>
    <row r="731" spans="1:52" ht="55.2">
      <c r="A731" s="3" t="s">
        <v>775</v>
      </c>
      <c r="D731">
        <v>1</v>
      </c>
      <c r="J731">
        <v>6</v>
      </c>
      <c r="AY731">
        <f t="shared" si="22"/>
        <v>43</v>
      </c>
      <c r="AZ731">
        <f t="shared" si="23"/>
        <v>3</v>
      </c>
    </row>
    <row r="732" spans="1:52" ht="55.2">
      <c r="A732" s="3" t="s">
        <v>776</v>
      </c>
      <c r="D732">
        <v>1</v>
      </c>
      <c r="J732">
        <v>6</v>
      </c>
      <c r="AY732">
        <f t="shared" si="22"/>
        <v>43</v>
      </c>
      <c r="AZ732">
        <f t="shared" si="23"/>
        <v>3</v>
      </c>
    </row>
    <row r="733" spans="1:52" ht="55.2">
      <c r="A733" s="3" t="s">
        <v>777</v>
      </c>
      <c r="D733">
        <v>1</v>
      </c>
      <c r="J733">
        <v>6</v>
      </c>
      <c r="AY733">
        <f t="shared" si="22"/>
        <v>43</v>
      </c>
      <c r="AZ733">
        <f t="shared" si="23"/>
        <v>3</v>
      </c>
    </row>
    <row r="734" spans="1:52" ht="55.2">
      <c r="A734" s="3" t="s">
        <v>778</v>
      </c>
      <c r="D734">
        <v>1</v>
      </c>
      <c r="J734">
        <v>6</v>
      </c>
      <c r="AY734">
        <f t="shared" si="22"/>
        <v>43</v>
      </c>
      <c r="AZ734">
        <f t="shared" si="23"/>
        <v>3</v>
      </c>
    </row>
    <row r="735" spans="1:52" ht="55.2">
      <c r="A735" s="3" t="s">
        <v>779</v>
      </c>
      <c r="D735">
        <v>1</v>
      </c>
      <c r="J735">
        <v>6</v>
      </c>
      <c r="AY735">
        <f t="shared" si="22"/>
        <v>43</v>
      </c>
      <c r="AZ735">
        <f t="shared" si="23"/>
        <v>3</v>
      </c>
    </row>
    <row r="736" spans="1:52" ht="55.2">
      <c r="A736" s="3" t="s">
        <v>780</v>
      </c>
      <c r="D736">
        <v>1</v>
      </c>
      <c r="J736">
        <v>6</v>
      </c>
      <c r="AY736">
        <f t="shared" si="22"/>
        <v>43</v>
      </c>
      <c r="AZ736">
        <f t="shared" si="23"/>
        <v>3</v>
      </c>
    </row>
    <row r="737" spans="1:52" ht="55.2">
      <c r="A737" s="3" t="s">
        <v>781</v>
      </c>
      <c r="D737">
        <v>1</v>
      </c>
      <c r="J737">
        <v>6</v>
      </c>
      <c r="AY737">
        <f t="shared" ref="AY737:AY800" si="24">COUNTBLANK(F737:AW737)</f>
        <v>43</v>
      </c>
      <c r="AZ737">
        <f t="shared" ref="AZ737:AZ800" si="25">COUNTBLANK(B737:E737)</f>
        <v>3</v>
      </c>
    </row>
    <row r="738" spans="1:52" ht="55.2">
      <c r="A738" s="3" t="s">
        <v>782</v>
      </c>
      <c r="D738">
        <v>1</v>
      </c>
      <c r="J738">
        <v>6</v>
      </c>
      <c r="AY738">
        <f t="shared" si="24"/>
        <v>43</v>
      </c>
      <c r="AZ738">
        <f t="shared" si="25"/>
        <v>3</v>
      </c>
    </row>
    <row r="739" spans="1:52" ht="55.2">
      <c r="A739" s="3" t="s">
        <v>783</v>
      </c>
      <c r="D739">
        <v>1</v>
      </c>
      <c r="J739">
        <v>6</v>
      </c>
      <c r="AY739">
        <f t="shared" si="24"/>
        <v>43</v>
      </c>
      <c r="AZ739">
        <f t="shared" si="25"/>
        <v>3</v>
      </c>
    </row>
    <row r="740" spans="1:52" ht="55.2">
      <c r="A740" s="3" t="s">
        <v>784</v>
      </c>
      <c r="D740">
        <v>1</v>
      </c>
      <c r="J740">
        <v>6</v>
      </c>
      <c r="AY740">
        <f t="shared" si="24"/>
        <v>43</v>
      </c>
      <c r="AZ740">
        <f t="shared" si="25"/>
        <v>3</v>
      </c>
    </row>
    <row r="741" spans="1:52" ht="55.2">
      <c r="A741" s="3" t="s">
        <v>785</v>
      </c>
      <c r="D741">
        <v>1</v>
      </c>
      <c r="J741">
        <v>6</v>
      </c>
      <c r="AY741">
        <f t="shared" si="24"/>
        <v>43</v>
      </c>
      <c r="AZ741">
        <f t="shared" si="25"/>
        <v>3</v>
      </c>
    </row>
    <row r="742" spans="1:52" ht="55.2">
      <c r="A742" s="3" t="s">
        <v>786</v>
      </c>
      <c r="D742">
        <v>1</v>
      </c>
      <c r="J742">
        <v>6</v>
      </c>
      <c r="AY742">
        <f t="shared" si="24"/>
        <v>43</v>
      </c>
      <c r="AZ742">
        <f t="shared" si="25"/>
        <v>3</v>
      </c>
    </row>
    <row r="743" spans="1:52" ht="55.2">
      <c r="A743" s="3" t="s">
        <v>787</v>
      </c>
      <c r="D743">
        <v>1</v>
      </c>
      <c r="J743">
        <v>6</v>
      </c>
      <c r="AY743">
        <f t="shared" si="24"/>
        <v>43</v>
      </c>
      <c r="AZ743">
        <f t="shared" si="25"/>
        <v>3</v>
      </c>
    </row>
    <row r="744" spans="1:52" ht="55.2">
      <c r="A744" s="3" t="s">
        <v>788</v>
      </c>
      <c r="D744">
        <v>1</v>
      </c>
      <c r="J744">
        <v>6</v>
      </c>
      <c r="AY744">
        <f t="shared" si="24"/>
        <v>43</v>
      </c>
      <c r="AZ744">
        <f t="shared" si="25"/>
        <v>3</v>
      </c>
    </row>
    <row r="745" spans="1:52" ht="55.2">
      <c r="A745" s="3" t="s">
        <v>789</v>
      </c>
      <c r="D745">
        <v>1</v>
      </c>
      <c r="J745">
        <v>6</v>
      </c>
      <c r="AY745">
        <f t="shared" si="24"/>
        <v>43</v>
      </c>
      <c r="AZ745">
        <f t="shared" si="25"/>
        <v>3</v>
      </c>
    </row>
    <row r="746" spans="1:52" ht="55.2">
      <c r="A746" s="3" t="s">
        <v>790</v>
      </c>
      <c r="D746">
        <v>1</v>
      </c>
      <c r="J746">
        <v>6</v>
      </c>
      <c r="AY746">
        <f t="shared" si="24"/>
        <v>43</v>
      </c>
      <c r="AZ746">
        <f t="shared" si="25"/>
        <v>3</v>
      </c>
    </row>
    <row r="747" spans="1:52" ht="55.2">
      <c r="A747" s="3" t="s">
        <v>791</v>
      </c>
      <c r="D747">
        <v>1</v>
      </c>
      <c r="J747">
        <v>6</v>
      </c>
      <c r="AY747">
        <f t="shared" si="24"/>
        <v>43</v>
      </c>
      <c r="AZ747">
        <f t="shared" si="25"/>
        <v>3</v>
      </c>
    </row>
    <row r="748" spans="1:52" ht="55.2">
      <c r="A748" s="3" t="s">
        <v>792</v>
      </c>
      <c r="D748">
        <v>1</v>
      </c>
      <c r="J748">
        <v>6</v>
      </c>
      <c r="AY748">
        <f t="shared" si="24"/>
        <v>43</v>
      </c>
      <c r="AZ748">
        <f t="shared" si="25"/>
        <v>3</v>
      </c>
    </row>
    <row r="749" spans="1:52" ht="55.2">
      <c r="A749" s="3" t="s">
        <v>793</v>
      </c>
      <c r="D749">
        <v>1</v>
      </c>
      <c r="J749">
        <v>6</v>
      </c>
      <c r="AY749">
        <f t="shared" si="24"/>
        <v>43</v>
      </c>
      <c r="AZ749">
        <f t="shared" si="25"/>
        <v>3</v>
      </c>
    </row>
    <row r="750" spans="1:52" ht="55.2">
      <c r="A750" s="3" t="s">
        <v>794</v>
      </c>
      <c r="D750">
        <v>1</v>
      </c>
      <c r="J750">
        <v>6</v>
      </c>
      <c r="AY750">
        <f t="shared" si="24"/>
        <v>43</v>
      </c>
      <c r="AZ750">
        <f t="shared" si="25"/>
        <v>3</v>
      </c>
    </row>
    <row r="751" spans="1:52" ht="55.2">
      <c r="A751" s="3" t="s">
        <v>795</v>
      </c>
      <c r="D751">
        <v>1</v>
      </c>
      <c r="J751">
        <v>6</v>
      </c>
      <c r="AY751">
        <f t="shared" si="24"/>
        <v>43</v>
      </c>
      <c r="AZ751">
        <f t="shared" si="25"/>
        <v>3</v>
      </c>
    </row>
    <row r="752" spans="1:52" ht="55.2">
      <c r="A752" s="3" t="s">
        <v>796</v>
      </c>
      <c r="D752">
        <v>1</v>
      </c>
      <c r="J752">
        <v>6</v>
      </c>
      <c r="AY752">
        <f t="shared" si="24"/>
        <v>43</v>
      </c>
      <c r="AZ752">
        <f t="shared" si="25"/>
        <v>3</v>
      </c>
    </row>
    <row r="753" spans="1:52" ht="55.2">
      <c r="A753" s="3" t="s">
        <v>797</v>
      </c>
      <c r="D753">
        <v>1</v>
      </c>
      <c r="J753">
        <v>6</v>
      </c>
      <c r="AY753">
        <f t="shared" si="24"/>
        <v>43</v>
      </c>
      <c r="AZ753">
        <f t="shared" si="25"/>
        <v>3</v>
      </c>
    </row>
    <row r="754" spans="1:52" ht="55.2">
      <c r="A754" s="3" t="s">
        <v>798</v>
      </c>
      <c r="D754">
        <v>1</v>
      </c>
      <c r="J754">
        <v>6</v>
      </c>
      <c r="AY754">
        <f t="shared" si="24"/>
        <v>43</v>
      </c>
      <c r="AZ754">
        <f t="shared" si="25"/>
        <v>3</v>
      </c>
    </row>
    <row r="755" spans="1:52" ht="55.2">
      <c r="A755" s="3" t="s">
        <v>799</v>
      </c>
      <c r="D755">
        <v>1</v>
      </c>
      <c r="J755">
        <v>6</v>
      </c>
      <c r="AY755">
        <f t="shared" si="24"/>
        <v>43</v>
      </c>
      <c r="AZ755">
        <f t="shared" si="25"/>
        <v>3</v>
      </c>
    </row>
    <row r="756" spans="1:52" ht="55.2">
      <c r="A756" s="3" t="s">
        <v>800</v>
      </c>
      <c r="D756">
        <v>1</v>
      </c>
      <c r="J756">
        <v>6</v>
      </c>
      <c r="AY756">
        <f t="shared" si="24"/>
        <v>43</v>
      </c>
      <c r="AZ756">
        <f t="shared" si="25"/>
        <v>3</v>
      </c>
    </row>
    <row r="757" spans="1:52" ht="55.2">
      <c r="A757" s="3" t="s">
        <v>801</v>
      </c>
      <c r="D757">
        <v>1</v>
      </c>
      <c r="J757">
        <v>6</v>
      </c>
      <c r="AY757">
        <f t="shared" si="24"/>
        <v>43</v>
      </c>
      <c r="AZ757">
        <f t="shared" si="25"/>
        <v>3</v>
      </c>
    </row>
    <row r="758" spans="1:52" ht="55.2">
      <c r="A758" s="3" t="s">
        <v>802</v>
      </c>
      <c r="D758">
        <v>1</v>
      </c>
      <c r="J758">
        <v>6</v>
      </c>
      <c r="AY758">
        <f t="shared" si="24"/>
        <v>43</v>
      </c>
      <c r="AZ758">
        <f t="shared" si="25"/>
        <v>3</v>
      </c>
    </row>
    <row r="759" spans="1:52" ht="55.2">
      <c r="A759" s="3" t="s">
        <v>803</v>
      </c>
      <c r="D759">
        <v>1</v>
      </c>
      <c r="J759">
        <v>6</v>
      </c>
      <c r="AY759">
        <f t="shared" si="24"/>
        <v>43</v>
      </c>
      <c r="AZ759">
        <f t="shared" si="25"/>
        <v>3</v>
      </c>
    </row>
    <row r="760" spans="1:52" ht="55.2">
      <c r="A760" s="3" t="s">
        <v>804</v>
      </c>
      <c r="D760">
        <v>1</v>
      </c>
      <c r="J760">
        <v>6</v>
      </c>
      <c r="AY760">
        <f t="shared" si="24"/>
        <v>43</v>
      </c>
      <c r="AZ760">
        <f t="shared" si="25"/>
        <v>3</v>
      </c>
    </row>
    <row r="761" spans="1:52" ht="55.2">
      <c r="A761" s="3" t="s">
        <v>805</v>
      </c>
      <c r="D761">
        <v>1</v>
      </c>
      <c r="J761">
        <v>6</v>
      </c>
      <c r="AY761">
        <f t="shared" si="24"/>
        <v>43</v>
      </c>
      <c r="AZ761">
        <f t="shared" si="25"/>
        <v>3</v>
      </c>
    </row>
    <row r="762" spans="1:52" ht="55.2">
      <c r="A762" s="3" t="s">
        <v>806</v>
      </c>
      <c r="D762">
        <v>1</v>
      </c>
      <c r="J762">
        <v>6</v>
      </c>
      <c r="AY762">
        <f t="shared" si="24"/>
        <v>43</v>
      </c>
      <c r="AZ762">
        <f t="shared" si="25"/>
        <v>3</v>
      </c>
    </row>
    <row r="763" spans="1:52" ht="55.2">
      <c r="A763" s="3" t="s">
        <v>807</v>
      </c>
      <c r="D763">
        <v>1</v>
      </c>
      <c r="J763">
        <v>6</v>
      </c>
      <c r="AY763">
        <f t="shared" si="24"/>
        <v>43</v>
      </c>
      <c r="AZ763">
        <f t="shared" si="25"/>
        <v>3</v>
      </c>
    </row>
    <row r="764" spans="1:52" ht="55.2">
      <c r="A764" s="3" t="s">
        <v>808</v>
      </c>
      <c r="D764">
        <v>1</v>
      </c>
      <c r="J764">
        <v>6</v>
      </c>
      <c r="AY764">
        <f t="shared" si="24"/>
        <v>43</v>
      </c>
      <c r="AZ764">
        <f t="shared" si="25"/>
        <v>3</v>
      </c>
    </row>
    <row r="765" spans="1:52" ht="55.2">
      <c r="A765" s="3" t="s">
        <v>809</v>
      </c>
      <c r="D765">
        <v>1</v>
      </c>
      <c r="J765">
        <v>6</v>
      </c>
      <c r="AY765">
        <f t="shared" si="24"/>
        <v>43</v>
      </c>
      <c r="AZ765">
        <f t="shared" si="25"/>
        <v>3</v>
      </c>
    </row>
    <row r="766" spans="1:52" ht="55.2">
      <c r="A766" s="3" t="s">
        <v>810</v>
      </c>
      <c r="D766">
        <v>1</v>
      </c>
      <c r="J766">
        <v>6</v>
      </c>
      <c r="AY766">
        <f t="shared" si="24"/>
        <v>43</v>
      </c>
      <c r="AZ766">
        <f t="shared" si="25"/>
        <v>3</v>
      </c>
    </row>
    <row r="767" spans="1:52" ht="55.2">
      <c r="A767" s="3" t="s">
        <v>811</v>
      </c>
      <c r="C767">
        <v>1</v>
      </c>
      <c r="D767">
        <v>1</v>
      </c>
      <c r="J767">
        <v>6</v>
      </c>
      <c r="AY767">
        <f t="shared" si="24"/>
        <v>43</v>
      </c>
      <c r="AZ767">
        <f t="shared" si="25"/>
        <v>2</v>
      </c>
    </row>
    <row r="768" spans="1:52" ht="55.2">
      <c r="A768" s="3" t="s">
        <v>812</v>
      </c>
      <c r="C768">
        <v>1</v>
      </c>
      <c r="D768">
        <v>1</v>
      </c>
      <c r="J768">
        <v>6</v>
      </c>
      <c r="AY768">
        <f t="shared" si="24"/>
        <v>43</v>
      </c>
      <c r="AZ768">
        <f t="shared" si="25"/>
        <v>2</v>
      </c>
    </row>
    <row r="769" spans="1:52" ht="55.2">
      <c r="A769" s="3" t="s">
        <v>813</v>
      </c>
      <c r="C769">
        <v>1</v>
      </c>
      <c r="D769">
        <v>1</v>
      </c>
      <c r="J769">
        <v>6</v>
      </c>
      <c r="AY769">
        <f t="shared" si="24"/>
        <v>43</v>
      </c>
      <c r="AZ769">
        <f t="shared" si="25"/>
        <v>2</v>
      </c>
    </row>
    <row r="770" spans="1:52" ht="55.2">
      <c r="A770" s="3" t="s">
        <v>814</v>
      </c>
      <c r="C770">
        <v>1</v>
      </c>
      <c r="D770">
        <v>1</v>
      </c>
      <c r="J770">
        <v>6</v>
      </c>
      <c r="AY770">
        <f t="shared" si="24"/>
        <v>43</v>
      </c>
      <c r="AZ770">
        <f t="shared" si="25"/>
        <v>2</v>
      </c>
    </row>
    <row r="771" spans="1:52" ht="55.2">
      <c r="A771" s="3" t="s">
        <v>815</v>
      </c>
      <c r="C771">
        <v>1</v>
      </c>
      <c r="D771">
        <v>1</v>
      </c>
      <c r="J771">
        <v>6</v>
      </c>
      <c r="AY771">
        <f t="shared" si="24"/>
        <v>43</v>
      </c>
      <c r="AZ771">
        <f t="shared" si="25"/>
        <v>2</v>
      </c>
    </row>
    <row r="772" spans="1:52" ht="55.2">
      <c r="A772" s="3" t="s">
        <v>816</v>
      </c>
      <c r="C772">
        <v>1</v>
      </c>
      <c r="D772">
        <v>1</v>
      </c>
      <c r="J772">
        <v>6</v>
      </c>
      <c r="AY772">
        <f t="shared" si="24"/>
        <v>43</v>
      </c>
      <c r="AZ772">
        <f t="shared" si="25"/>
        <v>2</v>
      </c>
    </row>
    <row r="773" spans="1:52" ht="55.2">
      <c r="A773" s="3" t="s">
        <v>817</v>
      </c>
      <c r="C773">
        <v>1</v>
      </c>
      <c r="D773">
        <v>1</v>
      </c>
      <c r="J773">
        <v>6</v>
      </c>
      <c r="AY773">
        <f t="shared" si="24"/>
        <v>43</v>
      </c>
      <c r="AZ773">
        <f t="shared" si="25"/>
        <v>2</v>
      </c>
    </row>
    <row r="774" spans="1:52" ht="55.2">
      <c r="A774" s="3" t="s">
        <v>818</v>
      </c>
      <c r="C774">
        <v>1</v>
      </c>
      <c r="D774">
        <v>1</v>
      </c>
      <c r="J774">
        <v>6</v>
      </c>
      <c r="AY774">
        <f t="shared" si="24"/>
        <v>43</v>
      </c>
      <c r="AZ774">
        <f t="shared" si="25"/>
        <v>2</v>
      </c>
    </row>
    <row r="775" spans="1:52" ht="55.2">
      <c r="A775" s="3" t="s">
        <v>819</v>
      </c>
      <c r="C775">
        <v>1</v>
      </c>
      <c r="D775">
        <v>1</v>
      </c>
      <c r="J775">
        <v>6</v>
      </c>
      <c r="AY775">
        <f t="shared" si="24"/>
        <v>43</v>
      </c>
      <c r="AZ775">
        <f t="shared" si="25"/>
        <v>2</v>
      </c>
    </row>
    <row r="776" spans="1:52" ht="55.2">
      <c r="A776" s="3" t="s">
        <v>820</v>
      </c>
      <c r="C776">
        <v>1</v>
      </c>
      <c r="D776">
        <v>1</v>
      </c>
      <c r="J776">
        <v>6</v>
      </c>
      <c r="AY776">
        <f t="shared" si="24"/>
        <v>43</v>
      </c>
      <c r="AZ776">
        <f t="shared" si="25"/>
        <v>2</v>
      </c>
    </row>
    <row r="777" spans="1:52" ht="55.2">
      <c r="A777" s="3" t="s">
        <v>821</v>
      </c>
      <c r="C777">
        <v>1</v>
      </c>
      <c r="D777">
        <v>1</v>
      </c>
      <c r="J777">
        <v>6</v>
      </c>
      <c r="AY777">
        <f t="shared" si="24"/>
        <v>43</v>
      </c>
      <c r="AZ777">
        <f t="shared" si="25"/>
        <v>2</v>
      </c>
    </row>
    <row r="778" spans="1:52" ht="55.2">
      <c r="A778" s="3" t="s">
        <v>822</v>
      </c>
      <c r="C778">
        <v>1</v>
      </c>
      <c r="D778">
        <v>1</v>
      </c>
      <c r="J778">
        <v>6</v>
      </c>
      <c r="AY778">
        <f t="shared" si="24"/>
        <v>43</v>
      </c>
      <c r="AZ778">
        <f t="shared" si="25"/>
        <v>2</v>
      </c>
    </row>
    <row r="779" spans="1:52" ht="55.2">
      <c r="A779" s="3" t="s">
        <v>823</v>
      </c>
      <c r="C779">
        <v>1</v>
      </c>
      <c r="D779">
        <v>1</v>
      </c>
      <c r="J779">
        <v>6</v>
      </c>
      <c r="AY779">
        <f t="shared" si="24"/>
        <v>43</v>
      </c>
      <c r="AZ779">
        <f t="shared" si="25"/>
        <v>2</v>
      </c>
    </row>
    <row r="780" spans="1:52" ht="55.2">
      <c r="A780" s="3" t="s">
        <v>824</v>
      </c>
      <c r="C780">
        <v>1</v>
      </c>
      <c r="D780">
        <v>1</v>
      </c>
      <c r="J780">
        <v>6</v>
      </c>
      <c r="AY780">
        <f t="shared" si="24"/>
        <v>43</v>
      </c>
      <c r="AZ780">
        <f t="shared" si="25"/>
        <v>2</v>
      </c>
    </row>
    <row r="781" spans="1:52" ht="55.2">
      <c r="A781" s="3" t="s">
        <v>825</v>
      </c>
      <c r="C781">
        <v>1</v>
      </c>
      <c r="D781">
        <v>1</v>
      </c>
      <c r="AT781">
        <v>2</v>
      </c>
      <c r="AY781">
        <f t="shared" si="24"/>
        <v>43</v>
      </c>
      <c r="AZ781">
        <f t="shared" si="25"/>
        <v>2</v>
      </c>
    </row>
    <row r="782" spans="1:52" ht="55.2">
      <c r="A782" s="3" t="s">
        <v>826</v>
      </c>
      <c r="C782">
        <v>1</v>
      </c>
      <c r="D782">
        <v>1</v>
      </c>
      <c r="AT782">
        <v>2</v>
      </c>
      <c r="AY782">
        <f t="shared" si="24"/>
        <v>43</v>
      </c>
      <c r="AZ782">
        <f t="shared" si="25"/>
        <v>2</v>
      </c>
    </row>
    <row r="783" spans="1:52" ht="55.2">
      <c r="A783" s="3" t="s">
        <v>827</v>
      </c>
      <c r="C783">
        <v>1</v>
      </c>
      <c r="D783">
        <v>1</v>
      </c>
      <c r="AT783">
        <v>2</v>
      </c>
      <c r="AY783">
        <f t="shared" si="24"/>
        <v>43</v>
      </c>
      <c r="AZ783">
        <f t="shared" si="25"/>
        <v>2</v>
      </c>
    </row>
    <row r="784" spans="1:52" ht="55.2">
      <c r="A784" s="3" t="s">
        <v>828</v>
      </c>
      <c r="C784">
        <v>1</v>
      </c>
      <c r="D784">
        <v>1</v>
      </c>
      <c r="AT784">
        <v>2</v>
      </c>
      <c r="AY784">
        <f t="shared" si="24"/>
        <v>43</v>
      </c>
      <c r="AZ784">
        <f t="shared" si="25"/>
        <v>2</v>
      </c>
    </row>
    <row r="785" spans="1:52" ht="55.2">
      <c r="A785" s="3" t="s">
        <v>829</v>
      </c>
      <c r="C785">
        <v>1</v>
      </c>
      <c r="D785">
        <v>1</v>
      </c>
      <c r="AT785">
        <v>2</v>
      </c>
      <c r="AY785">
        <f t="shared" si="24"/>
        <v>43</v>
      </c>
      <c r="AZ785">
        <f t="shared" si="25"/>
        <v>2</v>
      </c>
    </row>
    <row r="786" spans="1:52" ht="55.2">
      <c r="A786" s="3" t="s">
        <v>830</v>
      </c>
      <c r="C786">
        <v>1</v>
      </c>
      <c r="D786">
        <v>1</v>
      </c>
      <c r="AT786">
        <v>2</v>
      </c>
      <c r="AY786">
        <f t="shared" si="24"/>
        <v>43</v>
      </c>
      <c r="AZ786">
        <f t="shared" si="25"/>
        <v>2</v>
      </c>
    </row>
    <row r="787" spans="1:52" ht="55.2">
      <c r="A787" s="3" t="s">
        <v>831</v>
      </c>
      <c r="C787">
        <v>1</v>
      </c>
      <c r="D787">
        <v>1</v>
      </c>
      <c r="AT787">
        <v>2</v>
      </c>
      <c r="AY787">
        <f t="shared" si="24"/>
        <v>43</v>
      </c>
      <c r="AZ787">
        <f t="shared" si="25"/>
        <v>2</v>
      </c>
    </row>
    <row r="788" spans="1:52" ht="55.2">
      <c r="A788" s="3" t="s">
        <v>832</v>
      </c>
      <c r="C788">
        <v>1</v>
      </c>
      <c r="D788">
        <v>1</v>
      </c>
      <c r="AT788">
        <v>2</v>
      </c>
      <c r="AY788">
        <f t="shared" si="24"/>
        <v>43</v>
      </c>
      <c r="AZ788">
        <f t="shared" si="25"/>
        <v>2</v>
      </c>
    </row>
    <row r="789" spans="1:52" ht="55.2">
      <c r="A789" s="3" t="s">
        <v>833</v>
      </c>
      <c r="C789">
        <v>1</v>
      </c>
      <c r="D789">
        <v>1</v>
      </c>
      <c r="AT789">
        <v>2</v>
      </c>
      <c r="AY789">
        <f t="shared" si="24"/>
        <v>43</v>
      </c>
      <c r="AZ789">
        <f t="shared" si="25"/>
        <v>2</v>
      </c>
    </row>
    <row r="790" spans="1:52" ht="55.2">
      <c r="A790" s="3" t="s">
        <v>834</v>
      </c>
      <c r="C790">
        <v>1</v>
      </c>
      <c r="D790">
        <v>1</v>
      </c>
      <c r="AT790">
        <v>2</v>
      </c>
      <c r="AY790">
        <f t="shared" si="24"/>
        <v>43</v>
      </c>
      <c r="AZ790">
        <f t="shared" si="25"/>
        <v>2</v>
      </c>
    </row>
    <row r="791" spans="1:52" ht="55.2">
      <c r="A791" s="3" t="s">
        <v>835</v>
      </c>
      <c r="C791">
        <v>1</v>
      </c>
      <c r="D791">
        <v>1</v>
      </c>
      <c r="AT791">
        <v>2</v>
      </c>
      <c r="AY791">
        <f t="shared" si="24"/>
        <v>43</v>
      </c>
      <c r="AZ791">
        <f t="shared" si="25"/>
        <v>2</v>
      </c>
    </row>
    <row r="792" spans="1:52" ht="55.2">
      <c r="A792" s="3" t="s">
        <v>836</v>
      </c>
      <c r="C792">
        <v>1</v>
      </c>
      <c r="D792">
        <v>1</v>
      </c>
      <c r="AT792">
        <v>2</v>
      </c>
      <c r="AY792">
        <f t="shared" si="24"/>
        <v>43</v>
      </c>
      <c r="AZ792">
        <f t="shared" si="25"/>
        <v>2</v>
      </c>
    </row>
    <row r="793" spans="1:52" ht="55.2">
      <c r="A793" s="3" t="s">
        <v>837</v>
      </c>
      <c r="C793">
        <v>1</v>
      </c>
      <c r="D793">
        <v>1</v>
      </c>
      <c r="AT793">
        <v>2</v>
      </c>
      <c r="AY793">
        <f t="shared" si="24"/>
        <v>43</v>
      </c>
      <c r="AZ793">
        <f t="shared" si="25"/>
        <v>2</v>
      </c>
    </row>
    <row r="794" spans="1:52" ht="55.2">
      <c r="A794" s="3" t="s">
        <v>838</v>
      </c>
      <c r="C794">
        <v>1</v>
      </c>
      <c r="D794">
        <v>1</v>
      </c>
      <c r="AT794">
        <v>2</v>
      </c>
      <c r="AY794">
        <f t="shared" si="24"/>
        <v>43</v>
      </c>
      <c r="AZ794">
        <f t="shared" si="25"/>
        <v>2</v>
      </c>
    </row>
    <row r="795" spans="1:52" ht="55.2">
      <c r="A795" s="3" t="s">
        <v>839</v>
      </c>
      <c r="C795">
        <v>1</v>
      </c>
      <c r="D795">
        <v>1</v>
      </c>
      <c r="AT795">
        <v>2</v>
      </c>
      <c r="AY795">
        <f t="shared" si="24"/>
        <v>43</v>
      </c>
      <c r="AZ795">
        <f t="shared" si="25"/>
        <v>2</v>
      </c>
    </row>
    <row r="796" spans="1:52" ht="55.2">
      <c r="A796" s="3" t="s">
        <v>840</v>
      </c>
      <c r="C796">
        <v>1</v>
      </c>
      <c r="D796">
        <v>1</v>
      </c>
      <c r="AT796">
        <v>2</v>
      </c>
      <c r="AY796">
        <f t="shared" si="24"/>
        <v>43</v>
      </c>
      <c r="AZ796">
        <f t="shared" si="25"/>
        <v>2</v>
      </c>
    </row>
    <row r="797" spans="1:52" ht="55.2">
      <c r="A797" s="3" t="s">
        <v>841</v>
      </c>
      <c r="C797">
        <v>1</v>
      </c>
      <c r="D797">
        <v>1</v>
      </c>
      <c r="AT797">
        <v>2</v>
      </c>
      <c r="AY797">
        <f t="shared" si="24"/>
        <v>43</v>
      </c>
      <c r="AZ797">
        <f t="shared" si="25"/>
        <v>2</v>
      </c>
    </row>
    <row r="798" spans="1:52" ht="55.2">
      <c r="A798" s="3" t="s">
        <v>842</v>
      </c>
      <c r="C798">
        <v>1</v>
      </c>
      <c r="D798">
        <v>1</v>
      </c>
      <c r="AT798">
        <v>2</v>
      </c>
      <c r="AY798">
        <f t="shared" si="24"/>
        <v>43</v>
      </c>
      <c r="AZ798">
        <f t="shared" si="25"/>
        <v>2</v>
      </c>
    </row>
    <row r="799" spans="1:52" ht="55.2">
      <c r="A799" s="3" t="s">
        <v>843</v>
      </c>
      <c r="C799">
        <v>1</v>
      </c>
      <c r="D799">
        <v>1</v>
      </c>
      <c r="AT799">
        <v>2</v>
      </c>
      <c r="AY799">
        <f t="shared" si="24"/>
        <v>43</v>
      </c>
      <c r="AZ799">
        <f t="shared" si="25"/>
        <v>2</v>
      </c>
    </row>
    <row r="800" spans="1:52" ht="55.2">
      <c r="A800" s="3" t="s">
        <v>844</v>
      </c>
      <c r="C800">
        <v>1</v>
      </c>
      <c r="D800">
        <v>1</v>
      </c>
      <c r="AT800">
        <v>2</v>
      </c>
      <c r="AY800">
        <f t="shared" si="24"/>
        <v>43</v>
      </c>
      <c r="AZ800">
        <f t="shared" si="25"/>
        <v>2</v>
      </c>
    </row>
    <row r="801" spans="1:52" ht="55.2">
      <c r="A801" s="3" t="s">
        <v>845</v>
      </c>
      <c r="C801">
        <v>1</v>
      </c>
      <c r="D801">
        <v>1</v>
      </c>
      <c r="AT801">
        <v>2</v>
      </c>
      <c r="AY801">
        <f t="shared" ref="AY801:AY864" si="26">COUNTBLANK(F801:AW801)</f>
        <v>43</v>
      </c>
      <c r="AZ801">
        <f t="shared" ref="AZ801:AZ864" si="27">COUNTBLANK(B801:E801)</f>
        <v>2</v>
      </c>
    </row>
    <row r="802" spans="1:52" ht="55.2">
      <c r="A802" s="3" t="s">
        <v>846</v>
      </c>
      <c r="C802">
        <v>1</v>
      </c>
      <c r="D802">
        <v>1</v>
      </c>
      <c r="AT802">
        <v>2</v>
      </c>
      <c r="AY802">
        <f t="shared" si="26"/>
        <v>43</v>
      </c>
      <c r="AZ802">
        <f t="shared" si="27"/>
        <v>2</v>
      </c>
    </row>
    <row r="803" spans="1:52" ht="55.2">
      <c r="A803" s="3" t="s">
        <v>847</v>
      </c>
      <c r="C803">
        <v>1</v>
      </c>
      <c r="D803">
        <v>1</v>
      </c>
      <c r="AT803">
        <v>2</v>
      </c>
      <c r="AY803">
        <f t="shared" si="26"/>
        <v>43</v>
      </c>
      <c r="AZ803">
        <f t="shared" si="27"/>
        <v>2</v>
      </c>
    </row>
    <row r="804" spans="1:52" ht="55.2">
      <c r="A804" s="3" t="s">
        <v>848</v>
      </c>
      <c r="C804">
        <v>1</v>
      </c>
      <c r="D804">
        <v>1</v>
      </c>
      <c r="AT804">
        <v>2</v>
      </c>
      <c r="AY804">
        <f t="shared" si="26"/>
        <v>43</v>
      </c>
      <c r="AZ804">
        <f t="shared" si="27"/>
        <v>2</v>
      </c>
    </row>
    <row r="805" spans="1:52" ht="55.2">
      <c r="A805" s="3" t="s">
        <v>849</v>
      </c>
      <c r="C805">
        <v>1</v>
      </c>
      <c r="D805">
        <v>1</v>
      </c>
      <c r="AT805">
        <v>2</v>
      </c>
      <c r="AY805">
        <f t="shared" si="26"/>
        <v>43</v>
      </c>
      <c r="AZ805">
        <f t="shared" si="27"/>
        <v>2</v>
      </c>
    </row>
    <row r="806" spans="1:52" ht="55.2">
      <c r="A806" s="3" t="s">
        <v>850</v>
      </c>
      <c r="C806">
        <v>1</v>
      </c>
      <c r="D806">
        <v>1</v>
      </c>
      <c r="AT806">
        <v>2</v>
      </c>
      <c r="AY806">
        <f t="shared" si="26"/>
        <v>43</v>
      </c>
      <c r="AZ806">
        <f t="shared" si="27"/>
        <v>2</v>
      </c>
    </row>
    <row r="807" spans="1:52" ht="55.2">
      <c r="A807" s="3" t="s">
        <v>851</v>
      </c>
      <c r="C807">
        <v>1</v>
      </c>
      <c r="D807">
        <v>1</v>
      </c>
      <c r="AT807">
        <v>2</v>
      </c>
      <c r="AY807">
        <f t="shared" si="26"/>
        <v>43</v>
      </c>
      <c r="AZ807">
        <f t="shared" si="27"/>
        <v>2</v>
      </c>
    </row>
    <row r="808" spans="1:52" ht="55.2">
      <c r="A808" s="3" t="s">
        <v>852</v>
      </c>
      <c r="C808">
        <v>1</v>
      </c>
      <c r="D808">
        <v>1</v>
      </c>
      <c r="AT808">
        <v>2</v>
      </c>
      <c r="AY808">
        <f t="shared" si="26"/>
        <v>43</v>
      </c>
      <c r="AZ808">
        <f t="shared" si="27"/>
        <v>2</v>
      </c>
    </row>
    <row r="809" spans="1:52" ht="55.2">
      <c r="A809" s="3" t="s">
        <v>853</v>
      </c>
      <c r="C809">
        <v>1</v>
      </c>
      <c r="D809">
        <v>1</v>
      </c>
      <c r="AT809">
        <v>2</v>
      </c>
      <c r="AY809">
        <f t="shared" si="26"/>
        <v>43</v>
      </c>
      <c r="AZ809">
        <f t="shared" si="27"/>
        <v>2</v>
      </c>
    </row>
    <row r="810" spans="1:52" ht="55.2">
      <c r="A810" s="3" t="s">
        <v>854</v>
      </c>
      <c r="C810">
        <v>1</v>
      </c>
      <c r="D810">
        <v>1</v>
      </c>
      <c r="AT810">
        <v>2</v>
      </c>
      <c r="AY810">
        <f t="shared" si="26"/>
        <v>43</v>
      </c>
      <c r="AZ810">
        <f t="shared" si="27"/>
        <v>2</v>
      </c>
    </row>
    <row r="811" spans="1:52" ht="55.2">
      <c r="A811" s="3" t="s">
        <v>855</v>
      </c>
      <c r="C811">
        <v>1</v>
      </c>
      <c r="D811">
        <v>1</v>
      </c>
      <c r="AT811">
        <v>2</v>
      </c>
      <c r="AY811">
        <f t="shared" si="26"/>
        <v>43</v>
      </c>
      <c r="AZ811">
        <f t="shared" si="27"/>
        <v>2</v>
      </c>
    </row>
    <row r="812" spans="1:52" ht="55.2">
      <c r="A812" s="3" t="s">
        <v>856</v>
      </c>
      <c r="C812">
        <v>1</v>
      </c>
      <c r="D812">
        <v>1</v>
      </c>
      <c r="AT812">
        <v>2</v>
      </c>
      <c r="AY812">
        <f t="shared" si="26"/>
        <v>43</v>
      </c>
      <c r="AZ812">
        <f t="shared" si="27"/>
        <v>2</v>
      </c>
    </row>
    <row r="813" spans="1:52" ht="55.2">
      <c r="A813" s="3" t="s">
        <v>857</v>
      </c>
      <c r="C813">
        <v>1</v>
      </c>
      <c r="D813">
        <v>1</v>
      </c>
      <c r="AT813">
        <v>2</v>
      </c>
      <c r="AY813">
        <f t="shared" si="26"/>
        <v>43</v>
      </c>
      <c r="AZ813">
        <f t="shared" si="27"/>
        <v>2</v>
      </c>
    </row>
    <row r="814" spans="1:52" ht="55.2">
      <c r="A814" s="3" t="s">
        <v>858</v>
      </c>
      <c r="C814">
        <v>1</v>
      </c>
      <c r="D814">
        <v>1</v>
      </c>
      <c r="AT814">
        <v>2</v>
      </c>
      <c r="AY814">
        <f t="shared" si="26"/>
        <v>43</v>
      </c>
      <c r="AZ814">
        <f t="shared" si="27"/>
        <v>2</v>
      </c>
    </row>
    <row r="815" spans="1:52" ht="55.2">
      <c r="A815" s="3" t="s">
        <v>859</v>
      </c>
      <c r="C815">
        <v>1</v>
      </c>
      <c r="D815">
        <v>1</v>
      </c>
      <c r="AT815">
        <v>2</v>
      </c>
      <c r="AY815">
        <f t="shared" si="26"/>
        <v>43</v>
      </c>
      <c r="AZ815">
        <f t="shared" si="27"/>
        <v>2</v>
      </c>
    </row>
    <row r="816" spans="1:52" ht="55.2">
      <c r="A816" s="3" t="s">
        <v>860</v>
      </c>
      <c r="C816">
        <v>1</v>
      </c>
      <c r="D816">
        <v>1</v>
      </c>
      <c r="AT816">
        <v>2</v>
      </c>
      <c r="AY816">
        <f t="shared" si="26"/>
        <v>43</v>
      </c>
      <c r="AZ816">
        <f t="shared" si="27"/>
        <v>2</v>
      </c>
    </row>
    <row r="817" spans="1:52" ht="55.2">
      <c r="A817" s="3" t="s">
        <v>861</v>
      </c>
      <c r="C817">
        <v>1</v>
      </c>
      <c r="D817">
        <v>1</v>
      </c>
      <c r="AT817">
        <v>2</v>
      </c>
      <c r="AY817">
        <f t="shared" si="26"/>
        <v>43</v>
      </c>
      <c r="AZ817">
        <f t="shared" si="27"/>
        <v>2</v>
      </c>
    </row>
    <row r="818" spans="1:52" ht="55.2">
      <c r="A818" s="3" t="s">
        <v>862</v>
      </c>
      <c r="C818">
        <v>1</v>
      </c>
      <c r="D818">
        <v>1</v>
      </c>
      <c r="AT818">
        <v>2</v>
      </c>
      <c r="AY818">
        <f t="shared" si="26"/>
        <v>43</v>
      </c>
      <c r="AZ818">
        <f t="shared" si="27"/>
        <v>2</v>
      </c>
    </row>
    <row r="819" spans="1:52" ht="55.2">
      <c r="A819" s="3" t="s">
        <v>863</v>
      </c>
      <c r="C819">
        <v>1</v>
      </c>
      <c r="D819">
        <v>1</v>
      </c>
      <c r="AT819">
        <v>2</v>
      </c>
      <c r="AY819">
        <f t="shared" si="26"/>
        <v>43</v>
      </c>
      <c r="AZ819">
        <f t="shared" si="27"/>
        <v>2</v>
      </c>
    </row>
    <row r="820" spans="1:52" ht="55.2">
      <c r="A820" s="3" t="s">
        <v>864</v>
      </c>
      <c r="C820">
        <v>1</v>
      </c>
      <c r="D820">
        <v>1</v>
      </c>
      <c r="AT820">
        <v>2</v>
      </c>
      <c r="AY820">
        <f t="shared" si="26"/>
        <v>43</v>
      </c>
      <c r="AZ820">
        <f t="shared" si="27"/>
        <v>2</v>
      </c>
    </row>
    <row r="821" spans="1:52" ht="55.2">
      <c r="A821" s="3" t="s">
        <v>865</v>
      </c>
      <c r="C821">
        <v>1</v>
      </c>
      <c r="D821">
        <v>1</v>
      </c>
      <c r="AT821">
        <v>2</v>
      </c>
      <c r="AY821">
        <f t="shared" si="26"/>
        <v>43</v>
      </c>
      <c r="AZ821">
        <f t="shared" si="27"/>
        <v>2</v>
      </c>
    </row>
    <row r="822" spans="1:52" ht="55.2">
      <c r="A822" s="3" t="s">
        <v>866</v>
      </c>
      <c r="C822">
        <v>1</v>
      </c>
      <c r="D822">
        <v>1</v>
      </c>
      <c r="AT822">
        <v>2</v>
      </c>
      <c r="AY822">
        <f t="shared" si="26"/>
        <v>43</v>
      </c>
      <c r="AZ822">
        <f t="shared" si="27"/>
        <v>2</v>
      </c>
    </row>
    <row r="823" spans="1:52" ht="55.2">
      <c r="A823" s="3" t="s">
        <v>867</v>
      </c>
      <c r="C823">
        <v>1</v>
      </c>
      <c r="D823">
        <v>1</v>
      </c>
      <c r="J823">
        <v>7</v>
      </c>
      <c r="AY823">
        <f t="shared" si="26"/>
        <v>43</v>
      </c>
      <c r="AZ823">
        <f t="shared" si="27"/>
        <v>2</v>
      </c>
    </row>
    <row r="824" spans="1:52" ht="55.2">
      <c r="A824" s="3" t="s">
        <v>868</v>
      </c>
      <c r="C824">
        <v>1</v>
      </c>
      <c r="D824">
        <v>1</v>
      </c>
      <c r="J824">
        <v>7</v>
      </c>
      <c r="AY824">
        <f t="shared" si="26"/>
        <v>43</v>
      </c>
      <c r="AZ824">
        <f t="shared" si="27"/>
        <v>2</v>
      </c>
    </row>
    <row r="825" spans="1:52" ht="55.2">
      <c r="A825" s="3" t="s">
        <v>869</v>
      </c>
      <c r="C825">
        <v>1</v>
      </c>
      <c r="D825">
        <v>1</v>
      </c>
      <c r="J825">
        <v>7</v>
      </c>
      <c r="AY825">
        <f t="shared" si="26"/>
        <v>43</v>
      </c>
      <c r="AZ825">
        <f t="shared" si="27"/>
        <v>2</v>
      </c>
    </row>
    <row r="826" spans="1:52" ht="55.2">
      <c r="A826" s="3" t="s">
        <v>870</v>
      </c>
      <c r="C826">
        <v>1</v>
      </c>
      <c r="D826">
        <v>1</v>
      </c>
      <c r="J826">
        <v>7</v>
      </c>
      <c r="AY826">
        <f t="shared" si="26"/>
        <v>43</v>
      </c>
      <c r="AZ826">
        <f t="shared" si="27"/>
        <v>2</v>
      </c>
    </row>
    <row r="827" spans="1:52" ht="55.2">
      <c r="A827" s="3" t="s">
        <v>871</v>
      </c>
      <c r="C827">
        <v>1</v>
      </c>
      <c r="D827">
        <v>1</v>
      </c>
      <c r="J827">
        <v>7</v>
      </c>
      <c r="AY827">
        <f t="shared" si="26"/>
        <v>43</v>
      </c>
      <c r="AZ827">
        <f t="shared" si="27"/>
        <v>2</v>
      </c>
    </row>
    <row r="828" spans="1:52" ht="55.2">
      <c r="A828" s="3" t="s">
        <v>872</v>
      </c>
      <c r="C828">
        <v>1</v>
      </c>
      <c r="D828">
        <v>1</v>
      </c>
      <c r="J828">
        <v>7</v>
      </c>
      <c r="AY828">
        <f t="shared" si="26"/>
        <v>43</v>
      </c>
      <c r="AZ828">
        <f t="shared" si="27"/>
        <v>2</v>
      </c>
    </row>
    <row r="829" spans="1:52" ht="55.2">
      <c r="A829" s="3" t="s">
        <v>873</v>
      </c>
      <c r="C829">
        <v>1</v>
      </c>
      <c r="D829">
        <v>1</v>
      </c>
      <c r="J829">
        <v>7</v>
      </c>
      <c r="AY829">
        <f t="shared" si="26"/>
        <v>43</v>
      </c>
      <c r="AZ829">
        <f t="shared" si="27"/>
        <v>2</v>
      </c>
    </row>
    <row r="830" spans="1:52" ht="55.2">
      <c r="A830" s="3" t="s">
        <v>874</v>
      </c>
      <c r="C830">
        <v>1</v>
      </c>
      <c r="D830">
        <v>1</v>
      </c>
      <c r="J830">
        <v>7</v>
      </c>
      <c r="AY830">
        <f t="shared" si="26"/>
        <v>43</v>
      </c>
      <c r="AZ830">
        <f t="shared" si="27"/>
        <v>2</v>
      </c>
    </row>
    <row r="831" spans="1:52" ht="55.2">
      <c r="A831" s="3" t="s">
        <v>875</v>
      </c>
      <c r="C831">
        <v>1</v>
      </c>
      <c r="D831">
        <v>1</v>
      </c>
      <c r="J831">
        <v>7</v>
      </c>
      <c r="AY831">
        <f t="shared" si="26"/>
        <v>43</v>
      </c>
      <c r="AZ831">
        <f t="shared" si="27"/>
        <v>2</v>
      </c>
    </row>
    <row r="832" spans="1:52" ht="55.2">
      <c r="A832" s="3" t="s">
        <v>876</v>
      </c>
      <c r="C832">
        <v>1</v>
      </c>
      <c r="D832">
        <v>1</v>
      </c>
      <c r="J832">
        <v>7</v>
      </c>
      <c r="AY832">
        <f t="shared" si="26"/>
        <v>43</v>
      </c>
      <c r="AZ832">
        <f t="shared" si="27"/>
        <v>2</v>
      </c>
    </row>
    <row r="833" spans="1:52" ht="55.2">
      <c r="A833" s="3" t="s">
        <v>877</v>
      </c>
      <c r="C833">
        <v>1</v>
      </c>
      <c r="D833">
        <v>1</v>
      </c>
      <c r="J833">
        <v>7</v>
      </c>
      <c r="AY833">
        <f t="shared" si="26"/>
        <v>43</v>
      </c>
      <c r="AZ833">
        <f t="shared" si="27"/>
        <v>2</v>
      </c>
    </row>
    <row r="834" spans="1:52" ht="55.2">
      <c r="A834" s="3" t="s">
        <v>878</v>
      </c>
      <c r="C834">
        <v>1</v>
      </c>
      <c r="D834">
        <v>1</v>
      </c>
      <c r="J834">
        <v>7</v>
      </c>
      <c r="AY834">
        <f t="shared" si="26"/>
        <v>43</v>
      </c>
      <c r="AZ834">
        <f t="shared" si="27"/>
        <v>2</v>
      </c>
    </row>
    <row r="835" spans="1:52" ht="55.2">
      <c r="A835" s="3" t="s">
        <v>879</v>
      </c>
      <c r="C835">
        <v>1</v>
      </c>
      <c r="D835">
        <v>1</v>
      </c>
      <c r="J835">
        <v>7</v>
      </c>
      <c r="AY835">
        <f t="shared" si="26"/>
        <v>43</v>
      </c>
      <c r="AZ835">
        <f t="shared" si="27"/>
        <v>2</v>
      </c>
    </row>
    <row r="836" spans="1:52" ht="55.2">
      <c r="A836" s="3" t="s">
        <v>880</v>
      </c>
      <c r="C836">
        <v>1</v>
      </c>
      <c r="D836">
        <v>1</v>
      </c>
      <c r="J836">
        <v>7</v>
      </c>
      <c r="AY836">
        <f t="shared" si="26"/>
        <v>43</v>
      </c>
      <c r="AZ836">
        <f t="shared" si="27"/>
        <v>2</v>
      </c>
    </row>
    <row r="837" spans="1:52" ht="55.2">
      <c r="A837" s="3" t="s">
        <v>881</v>
      </c>
      <c r="C837">
        <v>1</v>
      </c>
      <c r="D837">
        <v>1</v>
      </c>
      <c r="J837">
        <v>7</v>
      </c>
      <c r="AY837">
        <f t="shared" si="26"/>
        <v>43</v>
      </c>
      <c r="AZ837">
        <f t="shared" si="27"/>
        <v>2</v>
      </c>
    </row>
    <row r="838" spans="1:52" ht="55.2">
      <c r="A838" s="3" t="s">
        <v>882</v>
      </c>
      <c r="C838">
        <v>1</v>
      </c>
      <c r="D838">
        <v>1</v>
      </c>
      <c r="J838">
        <v>7</v>
      </c>
      <c r="AY838">
        <f t="shared" si="26"/>
        <v>43</v>
      </c>
      <c r="AZ838">
        <f t="shared" si="27"/>
        <v>2</v>
      </c>
    </row>
    <row r="839" spans="1:52" ht="55.2">
      <c r="A839" s="3" t="s">
        <v>883</v>
      </c>
      <c r="C839">
        <v>1</v>
      </c>
      <c r="D839">
        <v>1</v>
      </c>
      <c r="J839">
        <v>7</v>
      </c>
      <c r="AY839">
        <f t="shared" si="26"/>
        <v>43</v>
      </c>
      <c r="AZ839">
        <f t="shared" si="27"/>
        <v>2</v>
      </c>
    </row>
    <row r="840" spans="1:52" ht="55.2">
      <c r="A840" s="3" t="s">
        <v>884</v>
      </c>
      <c r="C840">
        <v>1</v>
      </c>
      <c r="D840">
        <v>1</v>
      </c>
      <c r="J840">
        <v>7</v>
      </c>
      <c r="AY840">
        <f t="shared" si="26"/>
        <v>43</v>
      </c>
      <c r="AZ840">
        <f t="shared" si="27"/>
        <v>2</v>
      </c>
    </row>
    <row r="841" spans="1:52" ht="55.2">
      <c r="A841" s="3" t="s">
        <v>885</v>
      </c>
      <c r="C841">
        <v>1</v>
      </c>
      <c r="D841">
        <v>1</v>
      </c>
      <c r="J841">
        <v>7</v>
      </c>
      <c r="AY841">
        <f t="shared" si="26"/>
        <v>43</v>
      </c>
      <c r="AZ841">
        <f t="shared" si="27"/>
        <v>2</v>
      </c>
    </row>
    <row r="842" spans="1:52" ht="55.2">
      <c r="A842" s="3" t="s">
        <v>886</v>
      </c>
      <c r="C842">
        <v>1</v>
      </c>
      <c r="D842">
        <v>1</v>
      </c>
      <c r="J842">
        <v>7</v>
      </c>
      <c r="AY842">
        <f t="shared" si="26"/>
        <v>43</v>
      </c>
      <c r="AZ842">
        <f t="shared" si="27"/>
        <v>2</v>
      </c>
    </row>
    <row r="843" spans="1:52" ht="55.2">
      <c r="A843" s="3" t="s">
        <v>887</v>
      </c>
      <c r="C843">
        <v>1</v>
      </c>
      <c r="D843">
        <v>1</v>
      </c>
      <c r="J843">
        <v>7</v>
      </c>
      <c r="AY843">
        <f t="shared" si="26"/>
        <v>43</v>
      </c>
      <c r="AZ843">
        <f t="shared" si="27"/>
        <v>2</v>
      </c>
    </row>
    <row r="844" spans="1:52" ht="55.2">
      <c r="A844" s="3" t="s">
        <v>888</v>
      </c>
      <c r="C844">
        <v>1</v>
      </c>
      <c r="D844">
        <v>1</v>
      </c>
      <c r="J844">
        <v>7</v>
      </c>
      <c r="AY844">
        <f t="shared" si="26"/>
        <v>43</v>
      </c>
      <c r="AZ844">
        <f t="shared" si="27"/>
        <v>2</v>
      </c>
    </row>
    <row r="845" spans="1:52" ht="55.2">
      <c r="A845" s="3" t="s">
        <v>889</v>
      </c>
      <c r="C845">
        <v>1</v>
      </c>
      <c r="D845">
        <v>1</v>
      </c>
      <c r="J845">
        <v>7</v>
      </c>
      <c r="AY845">
        <f t="shared" si="26"/>
        <v>43</v>
      </c>
      <c r="AZ845">
        <f t="shared" si="27"/>
        <v>2</v>
      </c>
    </row>
    <row r="846" spans="1:52" ht="55.2">
      <c r="A846" s="3" t="s">
        <v>890</v>
      </c>
      <c r="C846">
        <v>1</v>
      </c>
      <c r="D846">
        <v>1</v>
      </c>
      <c r="J846">
        <v>7</v>
      </c>
      <c r="AY846">
        <f t="shared" si="26"/>
        <v>43</v>
      </c>
      <c r="AZ846">
        <f t="shared" si="27"/>
        <v>2</v>
      </c>
    </row>
    <row r="847" spans="1:52" ht="55.2">
      <c r="A847" s="3" t="s">
        <v>891</v>
      </c>
      <c r="C847">
        <v>1</v>
      </c>
      <c r="D847">
        <v>1</v>
      </c>
      <c r="J847">
        <v>7</v>
      </c>
      <c r="AY847">
        <f t="shared" si="26"/>
        <v>43</v>
      </c>
      <c r="AZ847">
        <f t="shared" si="27"/>
        <v>2</v>
      </c>
    </row>
    <row r="848" spans="1:52" ht="55.2">
      <c r="A848" s="3" t="s">
        <v>892</v>
      </c>
      <c r="C848">
        <v>1</v>
      </c>
      <c r="J848">
        <v>7</v>
      </c>
      <c r="AY848">
        <f t="shared" si="26"/>
        <v>43</v>
      </c>
      <c r="AZ848">
        <f t="shared" si="27"/>
        <v>3</v>
      </c>
    </row>
    <row r="849" spans="1:52" ht="55.2">
      <c r="A849" s="3" t="s">
        <v>893</v>
      </c>
      <c r="C849">
        <v>1</v>
      </c>
      <c r="J849">
        <v>7</v>
      </c>
      <c r="AY849">
        <f t="shared" si="26"/>
        <v>43</v>
      </c>
      <c r="AZ849">
        <f t="shared" si="27"/>
        <v>3</v>
      </c>
    </row>
    <row r="850" spans="1:52" ht="55.2">
      <c r="A850" s="3" t="s">
        <v>894</v>
      </c>
      <c r="C850">
        <v>1</v>
      </c>
      <c r="J850">
        <v>7</v>
      </c>
      <c r="AY850">
        <f t="shared" si="26"/>
        <v>43</v>
      </c>
      <c r="AZ850">
        <f t="shared" si="27"/>
        <v>3</v>
      </c>
    </row>
    <row r="851" spans="1:52" ht="55.2">
      <c r="A851" s="3" t="s">
        <v>895</v>
      </c>
      <c r="C851">
        <v>1</v>
      </c>
      <c r="J851">
        <v>7</v>
      </c>
      <c r="AY851">
        <f t="shared" si="26"/>
        <v>43</v>
      </c>
      <c r="AZ851">
        <f t="shared" si="27"/>
        <v>3</v>
      </c>
    </row>
    <row r="852" spans="1:52" ht="55.2">
      <c r="A852" s="3" t="s">
        <v>896</v>
      </c>
      <c r="C852">
        <v>1</v>
      </c>
      <c r="J852">
        <v>7</v>
      </c>
      <c r="AY852">
        <f t="shared" si="26"/>
        <v>43</v>
      </c>
      <c r="AZ852">
        <f t="shared" si="27"/>
        <v>3</v>
      </c>
    </row>
    <row r="853" spans="1:52" ht="55.2">
      <c r="A853" s="3" t="s">
        <v>897</v>
      </c>
      <c r="C853">
        <v>1</v>
      </c>
      <c r="J853">
        <v>7</v>
      </c>
      <c r="AY853">
        <f t="shared" si="26"/>
        <v>43</v>
      </c>
      <c r="AZ853">
        <f t="shared" si="27"/>
        <v>3</v>
      </c>
    </row>
    <row r="854" spans="1:52" ht="55.2">
      <c r="A854" s="3" t="s">
        <v>898</v>
      </c>
      <c r="C854">
        <v>1</v>
      </c>
      <c r="J854">
        <v>7</v>
      </c>
      <c r="AY854">
        <f t="shared" si="26"/>
        <v>43</v>
      </c>
      <c r="AZ854">
        <f t="shared" si="27"/>
        <v>3</v>
      </c>
    </row>
    <row r="855" spans="1:52" ht="55.2">
      <c r="A855" s="3" t="s">
        <v>899</v>
      </c>
      <c r="C855">
        <v>1</v>
      </c>
      <c r="J855">
        <v>7</v>
      </c>
      <c r="AY855">
        <f t="shared" si="26"/>
        <v>43</v>
      </c>
      <c r="AZ855">
        <f t="shared" si="27"/>
        <v>3</v>
      </c>
    </row>
    <row r="856" spans="1:52" ht="55.2">
      <c r="A856" s="3" t="s">
        <v>900</v>
      </c>
      <c r="C856">
        <v>1</v>
      </c>
      <c r="J856">
        <v>7</v>
      </c>
      <c r="AY856">
        <f t="shared" si="26"/>
        <v>43</v>
      </c>
      <c r="AZ856">
        <f t="shared" si="27"/>
        <v>3</v>
      </c>
    </row>
    <row r="857" spans="1:52" ht="55.2">
      <c r="A857" s="3" t="s">
        <v>901</v>
      </c>
      <c r="C857">
        <v>1</v>
      </c>
      <c r="J857">
        <v>7</v>
      </c>
      <c r="AY857">
        <f t="shared" si="26"/>
        <v>43</v>
      </c>
      <c r="AZ857">
        <f t="shared" si="27"/>
        <v>3</v>
      </c>
    </row>
    <row r="858" spans="1:52" ht="55.2">
      <c r="A858" s="3" t="s">
        <v>902</v>
      </c>
      <c r="C858">
        <v>1</v>
      </c>
      <c r="J858">
        <v>7</v>
      </c>
      <c r="AY858">
        <f t="shared" si="26"/>
        <v>43</v>
      </c>
      <c r="AZ858">
        <f t="shared" si="27"/>
        <v>3</v>
      </c>
    </row>
    <row r="859" spans="1:52" ht="55.2">
      <c r="A859" s="3" t="s">
        <v>903</v>
      </c>
      <c r="C859">
        <v>1</v>
      </c>
      <c r="J859">
        <v>7</v>
      </c>
      <c r="AY859">
        <f t="shared" si="26"/>
        <v>43</v>
      </c>
      <c r="AZ859">
        <f t="shared" si="27"/>
        <v>3</v>
      </c>
    </row>
    <row r="860" spans="1:52" ht="55.2">
      <c r="A860" s="3" t="s">
        <v>904</v>
      </c>
      <c r="C860">
        <v>1</v>
      </c>
      <c r="J860">
        <v>7</v>
      </c>
      <c r="AY860">
        <f t="shared" si="26"/>
        <v>43</v>
      </c>
      <c r="AZ860">
        <f t="shared" si="27"/>
        <v>3</v>
      </c>
    </row>
    <row r="861" spans="1:52" ht="55.2">
      <c r="A861" s="3" t="s">
        <v>905</v>
      </c>
      <c r="C861">
        <v>1</v>
      </c>
      <c r="J861">
        <v>7</v>
      </c>
      <c r="AY861">
        <f t="shared" si="26"/>
        <v>43</v>
      </c>
      <c r="AZ861">
        <f t="shared" si="27"/>
        <v>3</v>
      </c>
    </row>
    <row r="862" spans="1:52" ht="55.2">
      <c r="A862" s="3" t="s">
        <v>906</v>
      </c>
      <c r="C862">
        <v>1</v>
      </c>
      <c r="J862">
        <v>7</v>
      </c>
      <c r="AY862">
        <f t="shared" si="26"/>
        <v>43</v>
      </c>
      <c r="AZ862">
        <f t="shared" si="27"/>
        <v>3</v>
      </c>
    </row>
    <row r="863" spans="1:52" ht="55.2">
      <c r="A863" s="3" t="s">
        <v>907</v>
      </c>
      <c r="C863">
        <v>1</v>
      </c>
      <c r="J863">
        <v>7</v>
      </c>
      <c r="AY863">
        <f t="shared" si="26"/>
        <v>43</v>
      </c>
      <c r="AZ863">
        <f t="shared" si="27"/>
        <v>3</v>
      </c>
    </row>
    <row r="864" spans="1:52" ht="55.2">
      <c r="A864" s="3" t="s">
        <v>908</v>
      </c>
      <c r="C864">
        <v>1</v>
      </c>
      <c r="J864">
        <v>7</v>
      </c>
      <c r="AY864">
        <f t="shared" si="26"/>
        <v>43</v>
      </c>
      <c r="AZ864">
        <f t="shared" si="27"/>
        <v>3</v>
      </c>
    </row>
    <row r="865" spans="1:52" ht="55.2">
      <c r="A865" s="3" t="s">
        <v>909</v>
      </c>
      <c r="C865">
        <v>1</v>
      </c>
      <c r="J865">
        <v>7</v>
      </c>
      <c r="AY865">
        <f t="shared" ref="AY865:AY928" si="28">COUNTBLANK(F865:AW865)</f>
        <v>43</v>
      </c>
      <c r="AZ865">
        <f t="shared" ref="AZ865:AZ928" si="29">COUNTBLANK(B865:E865)</f>
        <v>3</v>
      </c>
    </row>
    <row r="866" spans="1:52" ht="55.2">
      <c r="A866" s="3" t="s">
        <v>910</v>
      </c>
      <c r="C866">
        <v>1</v>
      </c>
      <c r="J866">
        <v>7</v>
      </c>
      <c r="AY866">
        <f t="shared" si="28"/>
        <v>43</v>
      </c>
      <c r="AZ866">
        <f t="shared" si="29"/>
        <v>3</v>
      </c>
    </row>
    <row r="867" spans="1:52" ht="55.2">
      <c r="A867" s="3" t="s">
        <v>911</v>
      </c>
      <c r="C867">
        <v>1</v>
      </c>
      <c r="J867">
        <v>7</v>
      </c>
      <c r="AY867">
        <f t="shared" si="28"/>
        <v>43</v>
      </c>
      <c r="AZ867">
        <f t="shared" si="29"/>
        <v>3</v>
      </c>
    </row>
    <row r="868" spans="1:52" ht="55.2">
      <c r="A868" s="3" t="s">
        <v>912</v>
      </c>
      <c r="C868">
        <v>1</v>
      </c>
      <c r="J868">
        <v>7</v>
      </c>
      <c r="AY868">
        <f t="shared" si="28"/>
        <v>43</v>
      </c>
      <c r="AZ868">
        <f t="shared" si="29"/>
        <v>3</v>
      </c>
    </row>
    <row r="869" spans="1:52" ht="55.2">
      <c r="A869" s="3" t="s">
        <v>913</v>
      </c>
      <c r="C869">
        <v>1</v>
      </c>
      <c r="J869">
        <v>7</v>
      </c>
      <c r="AY869">
        <f t="shared" si="28"/>
        <v>43</v>
      </c>
      <c r="AZ869">
        <f t="shared" si="29"/>
        <v>3</v>
      </c>
    </row>
    <row r="870" spans="1:52" ht="55.2">
      <c r="A870" s="3" t="s">
        <v>914</v>
      </c>
      <c r="C870">
        <v>1</v>
      </c>
      <c r="J870">
        <v>7</v>
      </c>
      <c r="AY870">
        <f t="shared" si="28"/>
        <v>43</v>
      </c>
      <c r="AZ870">
        <f t="shared" si="29"/>
        <v>3</v>
      </c>
    </row>
    <row r="871" spans="1:52" ht="55.2">
      <c r="A871" s="3" t="s">
        <v>915</v>
      </c>
      <c r="C871">
        <v>1</v>
      </c>
      <c r="J871">
        <v>7</v>
      </c>
      <c r="AY871">
        <f t="shared" si="28"/>
        <v>43</v>
      </c>
      <c r="AZ871">
        <f t="shared" si="29"/>
        <v>3</v>
      </c>
    </row>
    <row r="872" spans="1:52" ht="55.2">
      <c r="A872" s="3" t="s">
        <v>916</v>
      </c>
      <c r="C872">
        <v>1</v>
      </c>
      <c r="J872">
        <v>7</v>
      </c>
      <c r="AY872">
        <f t="shared" si="28"/>
        <v>43</v>
      </c>
      <c r="AZ872">
        <f t="shared" si="29"/>
        <v>3</v>
      </c>
    </row>
    <row r="873" spans="1:52" ht="55.2">
      <c r="A873" s="3" t="s">
        <v>917</v>
      </c>
      <c r="C873">
        <v>1</v>
      </c>
      <c r="J873">
        <v>7</v>
      </c>
      <c r="AY873">
        <f t="shared" si="28"/>
        <v>43</v>
      </c>
      <c r="AZ873">
        <f t="shared" si="29"/>
        <v>3</v>
      </c>
    </row>
    <row r="874" spans="1:52" ht="55.2">
      <c r="A874" s="3" t="s">
        <v>918</v>
      </c>
      <c r="C874">
        <v>1</v>
      </c>
      <c r="J874">
        <v>7</v>
      </c>
      <c r="AY874">
        <f t="shared" si="28"/>
        <v>43</v>
      </c>
      <c r="AZ874">
        <f t="shared" si="29"/>
        <v>3</v>
      </c>
    </row>
    <row r="875" spans="1:52" ht="55.2">
      <c r="A875" s="3" t="s">
        <v>919</v>
      </c>
      <c r="C875">
        <v>1</v>
      </c>
      <c r="J875">
        <v>7</v>
      </c>
      <c r="AY875">
        <f t="shared" si="28"/>
        <v>43</v>
      </c>
      <c r="AZ875">
        <f t="shared" si="29"/>
        <v>3</v>
      </c>
    </row>
    <row r="876" spans="1:52" ht="55.2">
      <c r="A876" s="3" t="s">
        <v>920</v>
      </c>
      <c r="C876">
        <v>1</v>
      </c>
      <c r="J876">
        <v>7</v>
      </c>
      <c r="AY876">
        <f t="shared" si="28"/>
        <v>43</v>
      </c>
      <c r="AZ876">
        <f t="shared" si="29"/>
        <v>3</v>
      </c>
    </row>
    <row r="877" spans="1:52" ht="55.2">
      <c r="A877" s="3" t="s">
        <v>921</v>
      </c>
      <c r="C877">
        <v>1</v>
      </c>
      <c r="J877">
        <v>7</v>
      </c>
      <c r="AY877">
        <f t="shared" si="28"/>
        <v>43</v>
      </c>
      <c r="AZ877">
        <f t="shared" si="29"/>
        <v>3</v>
      </c>
    </row>
    <row r="878" spans="1:52" ht="55.2">
      <c r="A878" s="3" t="s">
        <v>922</v>
      </c>
      <c r="C878">
        <v>1</v>
      </c>
      <c r="J878">
        <v>7</v>
      </c>
      <c r="AY878">
        <f t="shared" si="28"/>
        <v>43</v>
      </c>
      <c r="AZ878">
        <f t="shared" si="29"/>
        <v>3</v>
      </c>
    </row>
    <row r="879" spans="1:52" ht="55.2">
      <c r="A879" s="3" t="s">
        <v>923</v>
      </c>
      <c r="C879">
        <v>1</v>
      </c>
      <c r="J879">
        <v>7</v>
      </c>
      <c r="AY879">
        <f t="shared" si="28"/>
        <v>43</v>
      </c>
      <c r="AZ879">
        <f t="shared" si="29"/>
        <v>3</v>
      </c>
    </row>
    <row r="880" spans="1:52" ht="55.2">
      <c r="A880" s="3" t="s">
        <v>924</v>
      </c>
      <c r="C880">
        <v>1</v>
      </c>
      <c r="J880">
        <v>7</v>
      </c>
      <c r="AY880">
        <f t="shared" si="28"/>
        <v>43</v>
      </c>
      <c r="AZ880">
        <f t="shared" si="29"/>
        <v>3</v>
      </c>
    </row>
    <row r="881" spans="1:52" ht="55.2">
      <c r="A881" s="3" t="s">
        <v>925</v>
      </c>
      <c r="C881">
        <v>1</v>
      </c>
      <c r="J881">
        <v>7</v>
      </c>
      <c r="AY881">
        <f t="shared" si="28"/>
        <v>43</v>
      </c>
      <c r="AZ881">
        <f t="shared" si="29"/>
        <v>3</v>
      </c>
    </row>
    <row r="882" spans="1:52" ht="55.2">
      <c r="A882" s="3" t="s">
        <v>926</v>
      </c>
      <c r="C882">
        <v>1</v>
      </c>
      <c r="J882">
        <v>7</v>
      </c>
      <c r="AY882">
        <f t="shared" si="28"/>
        <v>43</v>
      </c>
      <c r="AZ882">
        <f t="shared" si="29"/>
        <v>3</v>
      </c>
    </row>
    <row r="883" spans="1:52" ht="55.2">
      <c r="A883" s="3" t="s">
        <v>927</v>
      </c>
      <c r="C883">
        <v>1</v>
      </c>
      <c r="J883">
        <v>7</v>
      </c>
      <c r="AY883">
        <f t="shared" si="28"/>
        <v>43</v>
      </c>
      <c r="AZ883">
        <f t="shared" si="29"/>
        <v>3</v>
      </c>
    </row>
    <row r="884" spans="1:52" ht="55.2">
      <c r="A884" s="3" t="s">
        <v>928</v>
      </c>
      <c r="C884">
        <v>1</v>
      </c>
      <c r="J884">
        <v>7</v>
      </c>
      <c r="AY884">
        <f t="shared" si="28"/>
        <v>43</v>
      </c>
      <c r="AZ884">
        <f t="shared" si="29"/>
        <v>3</v>
      </c>
    </row>
    <row r="885" spans="1:52" ht="55.2">
      <c r="A885" s="3" t="s">
        <v>929</v>
      </c>
      <c r="C885">
        <v>1</v>
      </c>
      <c r="J885">
        <v>7</v>
      </c>
      <c r="AY885">
        <f t="shared" si="28"/>
        <v>43</v>
      </c>
      <c r="AZ885">
        <f t="shared" si="29"/>
        <v>3</v>
      </c>
    </row>
    <row r="886" spans="1:52" ht="55.2">
      <c r="A886" s="3" t="s">
        <v>930</v>
      </c>
      <c r="C886">
        <v>1</v>
      </c>
      <c r="J886">
        <v>7</v>
      </c>
      <c r="AY886">
        <f t="shared" si="28"/>
        <v>43</v>
      </c>
      <c r="AZ886">
        <f t="shared" si="29"/>
        <v>3</v>
      </c>
    </row>
    <row r="887" spans="1:52" ht="55.2">
      <c r="A887" s="3" t="s">
        <v>931</v>
      </c>
      <c r="C887">
        <v>1</v>
      </c>
      <c r="J887">
        <v>7</v>
      </c>
      <c r="AY887">
        <f t="shared" si="28"/>
        <v>43</v>
      </c>
      <c r="AZ887">
        <f t="shared" si="29"/>
        <v>3</v>
      </c>
    </row>
    <row r="888" spans="1:52" ht="55.2">
      <c r="A888" s="3" t="s">
        <v>932</v>
      </c>
      <c r="C888">
        <v>1</v>
      </c>
      <c r="J888">
        <v>7</v>
      </c>
      <c r="AY888">
        <f t="shared" si="28"/>
        <v>43</v>
      </c>
      <c r="AZ888">
        <f t="shared" si="29"/>
        <v>3</v>
      </c>
    </row>
    <row r="889" spans="1:52" ht="55.2">
      <c r="A889" s="3" t="s">
        <v>933</v>
      </c>
      <c r="C889">
        <v>1</v>
      </c>
      <c r="J889">
        <v>7</v>
      </c>
      <c r="AY889">
        <f t="shared" si="28"/>
        <v>43</v>
      </c>
      <c r="AZ889">
        <f t="shared" si="29"/>
        <v>3</v>
      </c>
    </row>
    <row r="890" spans="1:52" ht="55.2">
      <c r="A890" s="3" t="s">
        <v>934</v>
      </c>
      <c r="C890">
        <v>1</v>
      </c>
      <c r="J890">
        <v>7</v>
      </c>
      <c r="AY890">
        <f t="shared" si="28"/>
        <v>43</v>
      </c>
      <c r="AZ890">
        <f t="shared" si="29"/>
        <v>3</v>
      </c>
    </row>
    <row r="891" spans="1:52" ht="55.2">
      <c r="A891" s="3" t="s">
        <v>935</v>
      </c>
      <c r="C891">
        <v>1</v>
      </c>
      <c r="J891">
        <v>7</v>
      </c>
      <c r="AY891">
        <f t="shared" si="28"/>
        <v>43</v>
      </c>
      <c r="AZ891">
        <f t="shared" si="29"/>
        <v>3</v>
      </c>
    </row>
    <row r="892" spans="1:52" ht="55.2">
      <c r="A892" s="3" t="s">
        <v>936</v>
      </c>
      <c r="C892">
        <v>1</v>
      </c>
      <c r="J892">
        <v>7</v>
      </c>
      <c r="AY892">
        <f t="shared" si="28"/>
        <v>43</v>
      </c>
      <c r="AZ892">
        <f t="shared" si="29"/>
        <v>3</v>
      </c>
    </row>
    <row r="893" spans="1:52" ht="55.2">
      <c r="A893" s="3" t="s">
        <v>937</v>
      </c>
      <c r="C893">
        <v>1</v>
      </c>
      <c r="J893">
        <v>7</v>
      </c>
      <c r="AY893">
        <f t="shared" si="28"/>
        <v>43</v>
      </c>
      <c r="AZ893">
        <f t="shared" si="29"/>
        <v>3</v>
      </c>
    </row>
    <row r="894" spans="1:52" ht="55.2">
      <c r="A894" s="3" t="s">
        <v>938</v>
      </c>
      <c r="C894">
        <v>1</v>
      </c>
      <c r="J894">
        <v>7</v>
      </c>
      <c r="AY894">
        <f t="shared" si="28"/>
        <v>43</v>
      </c>
      <c r="AZ894">
        <f t="shared" si="29"/>
        <v>3</v>
      </c>
    </row>
    <row r="895" spans="1:52" ht="55.2">
      <c r="A895" s="3" t="s">
        <v>939</v>
      </c>
      <c r="C895">
        <v>1</v>
      </c>
      <c r="J895">
        <v>7</v>
      </c>
      <c r="AY895">
        <f t="shared" si="28"/>
        <v>43</v>
      </c>
      <c r="AZ895">
        <f t="shared" si="29"/>
        <v>3</v>
      </c>
    </row>
    <row r="896" spans="1:52" ht="55.2">
      <c r="A896" s="3" t="s">
        <v>940</v>
      </c>
      <c r="C896">
        <v>1</v>
      </c>
      <c r="J896">
        <v>7</v>
      </c>
      <c r="AY896">
        <f t="shared" si="28"/>
        <v>43</v>
      </c>
      <c r="AZ896">
        <f t="shared" si="29"/>
        <v>3</v>
      </c>
    </row>
    <row r="897" spans="1:52" ht="55.2">
      <c r="A897" s="3" t="s">
        <v>941</v>
      </c>
      <c r="C897">
        <v>1</v>
      </c>
      <c r="J897">
        <v>7</v>
      </c>
      <c r="AY897">
        <f t="shared" si="28"/>
        <v>43</v>
      </c>
      <c r="AZ897">
        <f t="shared" si="29"/>
        <v>3</v>
      </c>
    </row>
    <row r="898" spans="1:52" ht="55.2">
      <c r="A898" s="3" t="s">
        <v>942</v>
      </c>
      <c r="C898">
        <v>1</v>
      </c>
      <c r="J898">
        <v>7</v>
      </c>
      <c r="AY898">
        <f t="shared" si="28"/>
        <v>43</v>
      </c>
      <c r="AZ898">
        <f t="shared" si="29"/>
        <v>3</v>
      </c>
    </row>
    <row r="899" spans="1:52" ht="55.2">
      <c r="A899" s="3" t="s">
        <v>943</v>
      </c>
      <c r="C899">
        <v>1</v>
      </c>
      <c r="J899">
        <v>7</v>
      </c>
      <c r="AY899">
        <f t="shared" si="28"/>
        <v>43</v>
      </c>
      <c r="AZ899">
        <f t="shared" si="29"/>
        <v>3</v>
      </c>
    </row>
    <row r="900" spans="1:52" ht="55.2">
      <c r="A900" s="3" t="s">
        <v>944</v>
      </c>
      <c r="C900">
        <v>1</v>
      </c>
      <c r="J900">
        <v>7</v>
      </c>
      <c r="AY900">
        <f t="shared" si="28"/>
        <v>43</v>
      </c>
      <c r="AZ900">
        <f t="shared" si="29"/>
        <v>3</v>
      </c>
    </row>
    <row r="901" spans="1:52" ht="55.2">
      <c r="A901" s="3" t="s">
        <v>945</v>
      </c>
      <c r="C901">
        <v>1</v>
      </c>
      <c r="J901">
        <v>7</v>
      </c>
      <c r="AY901">
        <f t="shared" si="28"/>
        <v>43</v>
      </c>
      <c r="AZ901">
        <f t="shared" si="29"/>
        <v>3</v>
      </c>
    </row>
    <row r="902" spans="1:52" ht="55.2">
      <c r="A902" s="3" t="s">
        <v>946</v>
      </c>
      <c r="C902">
        <v>1</v>
      </c>
      <c r="J902">
        <v>7</v>
      </c>
      <c r="AY902">
        <f t="shared" si="28"/>
        <v>43</v>
      </c>
      <c r="AZ902">
        <f t="shared" si="29"/>
        <v>3</v>
      </c>
    </row>
    <row r="903" spans="1:52" ht="55.2">
      <c r="A903" s="3" t="s">
        <v>947</v>
      </c>
      <c r="C903">
        <v>1</v>
      </c>
      <c r="J903">
        <v>7</v>
      </c>
      <c r="AY903">
        <f t="shared" si="28"/>
        <v>43</v>
      </c>
      <c r="AZ903">
        <f t="shared" si="29"/>
        <v>3</v>
      </c>
    </row>
    <row r="904" spans="1:52" ht="55.2">
      <c r="A904" s="3" t="s">
        <v>948</v>
      </c>
      <c r="C904">
        <v>1</v>
      </c>
      <c r="J904">
        <v>7</v>
      </c>
      <c r="AY904">
        <f t="shared" si="28"/>
        <v>43</v>
      </c>
      <c r="AZ904">
        <f t="shared" si="29"/>
        <v>3</v>
      </c>
    </row>
    <row r="905" spans="1:52" ht="55.2">
      <c r="A905" s="3" t="s">
        <v>949</v>
      </c>
      <c r="C905">
        <v>1</v>
      </c>
      <c r="J905">
        <v>7</v>
      </c>
      <c r="AY905">
        <f t="shared" si="28"/>
        <v>43</v>
      </c>
      <c r="AZ905">
        <f t="shared" si="29"/>
        <v>3</v>
      </c>
    </row>
    <row r="906" spans="1:52" ht="55.2">
      <c r="A906" s="3" t="s">
        <v>950</v>
      </c>
      <c r="C906">
        <v>1</v>
      </c>
      <c r="J906">
        <v>7</v>
      </c>
      <c r="AY906">
        <f t="shared" si="28"/>
        <v>43</v>
      </c>
      <c r="AZ906">
        <f t="shared" si="29"/>
        <v>3</v>
      </c>
    </row>
    <row r="907" spans="1:52" ht="55.2">
      <c r="A907" s="3" t="s">
        <v>951</v>
      </c>
      <c r="C907">
        <v>1</v>
      </c>
      <c r="J907">
        <v>7</v>
      </c>
      <c r="AY907">
        <f t="shared" si="28"/>
        <v>43</v>
      </c>
      <c r="AZ907">
        <f t="shared" si="29"/>
        <v>3</v>
      </c>
    </row>
    <row r="908" spans="1:52" ht="55.2">
      <c r="A908" s="3" t="s">
        <v>952</v>
      </c>
      <c r="C908">
        <v>1</v>
      </c>
      <c r="J908">
        <v>7</v>
      </c>
      <c r="AY908">
        <f t="shared" si="28"/>
        <v>43</v>
      </c>
      <c r="AZ908">
        <f t="shared" si="29"/>
        <v>3</v>
      </c>
    </row>
    <row r="909" spans="1:52" ht="55.2">
      <c r="A909" s="3" t="s">
        <v>953</v>
      </c>
      <c r="C909">
        <v>1</v>
      </c>
      <c r="J909">
        <v>7</v>
      </c>
      <c r="AY909">
        <f t="shared" si="28"/>
        <v>43</v>
      </c>
      <c r="AZ909">
        <f t="shared" si="29"/>
        <v>3</v>
      </c>
    </row>
    <row r="910" spans="1:52" ht="55.2">
      <c r="A910" s="3" t="s">
        <v>954</v>
      </c>
      <c r="C910">
        <v>1</v>
      </c>
      <c r="J910">
        <v>7</v>
      </c>
      <c r="AY910">
        <f t="shared" si="28"/>
        <v>43</v>
      </c>
      <c r="AZ910">
        <f t="shared" si="29"/>
        <v>3</v>
      </c>
    </row>
    <row r="911" spans="1:52" ht="55.2">
      <c r="A911" s="3" t="s">
        <v>955</v>
      </c>
      <c r="C911">
        <v>1</v>
      </c>
      <c r="J911">
        <v>7</v>
      </c>
      <c r="AY911">
        <f t="shared" si="28"/>
        <v>43</v>
      </c>
      <c r="AZ911">
        <f t="shared" si="29"/>
        <v>3</v>
      </c>
    </row>
    <row r="912" spans="1:52" ht="55.2">
      <c r="A912" s="3" t="s">
        <v>956</v>
      </c>
      <c r="C912">
        <v>1</v>
      </c>
      <c r="J912">
        <v>7</v>
      </c>
      <c r="AY912">
        <f t="shared" si="28"/>
        <v>43</v>
      </c>
      <c r="AZ912">
        <f t="shared" si="29"/>
        <v>3</v>
      </c>
    </row>
    <row r="913" spans="1:52" ht="55.2">
      <c r="A913" s="3" t="s">
        <v>957</v>
      </c>
      <c r="C913">
        <v>1</v>
      </c>
      <c r="J913">
        <v>7</v>
      </c>
      <c r="AY913">
        <f t="shared" si="28"/>
        <v>43</v>
      </c>
      <c r="AZ913">
        <f t="shared" si="29"/>
        <v>3</v>
      </c>
    </row>
    <row r="914" spans="1:52" ht="55.2">
      <c r="A914" s="3" t="s">
        <v>958</v>
      </c>
      <c r="C914">
        <v>1</v>
      </c>
      <c r="J914">
        <v>7</v>
      </c>
      <c r="AY914">
        <f t="shared" si="28"/>
        <v>43</v>
      </c>
      <c r="AZ914">
        <f t="shared" si="29"/>
        <v>3</v>
      </c>
    </row>
    <row r="915" spans="1:52" ht="55.2">
      <c r="A915" s="3" t="s">
        <v>959</v>
      </c>
      <c r="C915">
        <v>1</v>
      </c>
      <c r="J915">
        <v>7</v>
      </c>
      <c r="AY915">
        <f t="shared" si="28"/>
        <v>43</v>
      </c>
      <c r="AZ915">
        <f t="shared" si="29"/>
        <v>3</v>
      </c>
    </row>
    <row r="916" spans="1:52" ht="55.2">
      <c r="A916" s="3" t="s">
        <v>960</v>
      </c>
      <c r="C916">
        <v>1</v>
      </c>
      <c r="J916">
        <v>7</v>
      </c>
      <c r="AY916">
        <f t="shared" si="28"/>
        <v>43</v>
      </c>
      <c r="AZ916">
        <f t="shared" si="29"/>
        <v>3</v>
      </c>
    </row>
    <row r="917" spans="1:52" ht="55.2">
      <c r="A917" s="3" t="s">
        <v>961</v>
      </c>
      <c r="C917">
        <v>1</v>
      </c>
      <c r="J917">
        <v>7</v>
      </c>
      <c r="AY917">
        <f t="shared" si="28"/>
        <v>43</v>
      </c>
      <c r="AZ917">
        <f t="shared" si="29"/>
        <v>3</v>
      </c>
    </row>
    <row r="918" spans="1:52" ht="55.2">
      <c r="A918" s="3" t="s">
        <v>962</v>
      </c>
      <c r="C918">
        <v>1</v>
      </c>
      <c r="J918">
        <v>7</v>
      </c>
      <c r="AY918">
        <f t="shared" si="28"/>
        <v>43</v>
      </c>
      <c r="AZ918">
        <f t="shared" si="29"/>
        <v>3</v>
      </c>
    </row>
    <row r="919" spans="1:52" ht="55.2">
      <c r="A919" s="3" t="s">
        <v>963</v>
      </c>
      <c r="C919">
        <v>1</v>
      </c>
      <c r="AT919">
        <v>3</v>
      </c>
      <c r="AY919">
        <f t="shared" si="28"/>
        <v>43</v>
      </c>
      <c r="AZ919">
        <f t="shared" si="29"/>
        <v>3</v>
      </c>
    </row>
    <row r="920" spans="1:52" ht="55.2">
      <c r="A920" s="3" t="s">
        <v>964</v>
      </c>
      <c r="C920">
        <v>1</v>
      </c>
      <c r="AT920">
        <v>3</v>
      </c>
      <c r="AY920">
        <f t="shared" si="28"/>
        <v>43</v>
      </c>
      <c r="AZ920">
        <f t="shared" si="29"/>
        <v>3</v>
      </c>
    </row>
    <row r="921" spans="1:52" ht="55.2">
      <c r="A921" s="3" t="s">
        <v>965</v>
      </c>
      <c r="C921">
        <v>1</v>
      </c>
      <c r="AT921">
        <v>3</v>
      </c>
      <c r="AY921">
        <f t="shared" si="28"/>
        <v>43</v>
      </c>
      <c r="AZ921">
        <f t="shared" si="29"/>
        <v>3</v>
      </c>
    </row>
    <row r="922" spans="1:52" ht="55.2">
      <c r="A922" s="3" t="s">
        <v>966</v>
      </c>
      <c r="C922">
        <v>1</v>
      </c>
      <c r="AT922">
        <v>3</v>
      </c>
      <c r="AY922">
        <f t="shared" si="28"/>
        <v>43</v>
      </c>
      <c r="AZ922">
        <f t="shared" si="29"/>
        <v>3</v>
      </c>
    </row>
    <row r="923" spans="1:52" ht="55.2">
      <c r="A923" s="3" t="s">
        <v>967</v>
      </c>
      <c r="C923">
        <v>1</v>
      </c>
      <c r="AT923">
        <v>3</v>
      </c>
      <c r="AY923">
        <f t="shared" si="28"/>
        <v>43</v>
      </c>
      <c r="AZ923">
        <f t="shared" si="29"/>
        <v>3</v>
      </c>
    </row>
    <row r="924" spans="1:52" ht="55.2">
      <c r="A924" s="3" t="s">
        <v>968</v>
      </c>
      <c r="C924">
        <v>1</v>
      </c>
      <c r="AT924">
        <v>3</v>
      </c>
      <c r="AY924">
        <f t="shared" si="28"/>
        <v>43</v>
      </c>
      <c r="AZ924">
        <f t="shared" si="29"/>
        <v>3</v>
      </c>
    </row>
    <row r="925" spans="1:52" ht="55.2">
      <c r="A925" s="3" t="s">
        <v>969</v>
      </c>
      <c r="C925">
        <v>1</v>
      </c>
      <c r="AT925">
        <v>3</v>
      </c>
      <c r="AY925">
        <f t="shared" si="28"/>
        <v>43</v>
      </c>
      <c r="AZ925">
        <f t="shared" si="29"/>
        <v>3</v>
      </c>
    </row>
    <row r="926" spans="1:52" ht="55.2">
      <c r="A926" s="3" t="s">
        <v>970</v>
      </c>
      <c r="C926">
        <v>1</v>
      </c>
      <c r="AT926">
        <v>3</v>
      </c>
      <c r="AY926">
        <f t="shared" si="28"/>
        <v>43</v>
      </c>
      <c r="AZ926">
        <f t="shared" si="29"/>
        <v>3</v>
      </c>
    </row>
    <row r="927" spans="1:52" ht="55.2">
      <c r="A927" s="3" t="s">
        <v>971</v>
      </c>
      <c r="C927">
        <v>1</v>
      </c>
      <c r="AT927">
        <v>3</v>
      </c>
      <c r="AY927">
        <f t="shared" si="28"/>
        <v>43</v>
      </c>
      <c r="AZ927">
        <f t="shared" si="29"/>
        <v>3</v>
      </c>
    </row>
    <row r="928" spans="1:52" ht="55.2">
      <c r="A928" s="3" t="s">
        <v>972</v>
      </c>
      <c r="C928">
        <v>1</v>
      </c>
      <c r="AT928">
        <v>3</v>
      </c>
      <c r="AY928">
        <f t="shared" si="28"/>
        <v>43</v>
      </c>
      <c r="AZ928">
        <f t="shared" si="29"/>
        <v>3</v>
      </c>
    </row>
    <row r="929" spans="1:52" ht="55.2">
      <c r="A929" s="3" t="s">
        <v>973</v>
      </c>
      <c r="C929">
        <v>1</v>
      </c>
      <c r="AT929">
        <v>3</v>
      </c>
      <c r="AY929">
        <f t="shared" ref="AY929:AY992" si="30">COUNTBLANK(F929:AW929)</f>
        <v>43</v>
      </c>
      <c r="AZ929">
        <f t="shared" ref="AZ929:AZ992" si="31">COUNTBLANK(B929:E929)</f>
        <v>3</v>
      </c>
    </row>
    <row r="930" spans="1:52" ht="55.2">
      <c r="A930" s="3" t="s">
        <v>974</v>
      </c>
      <c r="C930">
        <v>1</v>
      </c>
      <c r="AT930">
        <v>3</v>
      </c>
      <c r="AY930">
        <f t="shared" si="30"/>
        <v>43</v>
      </c>
      <c r="AZ930">
        <f t="shared" si="31"/>
        <v>3</v>
      </c>
    </row>
    <row r="931" spans="1:52" ht="55.2">
      <c r="A931" s="3" t="s">
        <v>975</v>
      </c>
      <c r="C931">
        <v>1</v>
      </c>
      <c r="J931">
        <v>8</v>
      </c>
      <c r="AY931">
        <f t="shared" si="30"/>
        <v>43</v>
      </c>
      <c r="AZ931">
        <f t="shared" si="31"/>
        <v>3</v>
      </c>
    </row>
    <row r="932" spans="1:52" ht="55.2">
      <c r="A932" s="3" t="s">
        <v>976</v>
      </c>
      <c r="C932">
        <v>1</v>
      </c>
      <c r="J932">
        <v>8</v>
      </c>
      <c r="AY932">
        <f t="shared" si="30"/>
        <v>43</v>
      </c>
      <c r="AZ932">
        <f t="shared" si="31"/>
        <v>3</v>
      </c>
    </row>
    <row r="933" spans="1:52" ht="55.2">
      <c r="A933" s="3" t="s">
        <v>977</v>
      </c>
      <c r="C933">
        <v>1</v>
      </c>
      <c r="J933">
        <v>8</v>
      </c>
      <c r="AY933">
        <f t="shared" si="30"/>
        <v>43</v>
      </c>
      <c r="AZ933">
        <f t="shared" si="31"/>
        <v>3</v>
      </c>
    </row>
    <row r="934" spans="1:52" ht="55.2">
      <c r="A934" s="3" t="s">
        <v>978</v>
      </c>
      <c r="C934">
        <v>1</v>
      </c>
      <c r="AV934">
        <v>1</v>
      </c>
      <c r="AY934">
        <f t="shared" si="30"/>
        <v>43</v>
      </c>
      <c r="AZ934">
        <f t="shared" si="31"/>
        <v>3</v>
      </c>
    </row>
    <row r="935" spans="1:52" ht="55.2">
      <c r="A935" s="3" t="s">
        <v>979</v>
      </c>
      <c r="C935">
        <v>1</v>
      </c>
      <c r="AV935">
        <v>1</v>
      </c>
      <c r="AY935">
        <f t="shared" si="30"/>
        <v>43</v>
      </c>
      <c r="AZ935">
        <f t="shared" si="31"/>
        <v>3</v>
      </c>
    </row>
    <row r="936" spans="1:52" ht="55.2">
      <c r="A936" s="3" t="s">
        <v>980</v>
      </c>
      <c r="C936">
        <v>1</v>
      </c>
      <c r="AV936">
        <v>1</v>
      </c>
      <c r="AY936">
        <f t="shared" si="30"/>
        <v>43</v>
      </c>
      <c r="AZ936">
        <f t="shared" si="31"/>
        <v>3</v>
      </c>
    </row>
    <row r="937" spans="1:52" ht="55.2">
      <c r="A937" s="3" t="s">
        <v>981</v>
      </c>
      <c r="C937">
        <v>1</v>
      </c>
      <c r="AV937">
        <v>1</v>
      </c>
      <c r="AY937">
        <f t="shared" si="30"/>
        <v>43</v>
      </c>
      <c r="AZ937">
        <f t="shared" si="31"/>
        <v>3</v>
      </c>
    </row>
    <row r="938" spans="1:52" ht="55.2">
      <c r="A938" s="3" t="s">
        <v>982</v>
      </c>
      <c r="C938">
        <v>1</v>
      </c>
      <c r="AV938">
        <v>1</v>
      </c>
      <c r="AY938">
        <f t="shared" si="30"/>
        <v>43</v>
      </c>
      <c r="AZ938">
        <f t="shared" si="31"/>
        <v>3</v>
      </c>
    </row>
    <row r="939" spans="1:52" ht="55.2">
      <c r="A939" s="3" t="s">
        <v>983</v>
      </c>
      <c r="C939">
        <v>1</v>
      </c>
      <c r="AV939">
        <v>1</v>
      </c>
      <c r="AY939">
        <f t="shared" si="30"/>
        <v>43</v>
      </c>
      <c r="AZ939">
        <f t="shared" si="31"/>
        <v>3</v>
      </c>
    </row>
    <row r="940" spans="1:52" ht="55.2">
      <c r="A940" s="3" t="s">
        <v>984</v>
      </c>
      <c r="C940">
        <v>1</v>
      </c>
      <c r="AV940">
        <v>1</v>
      </c>
      <c r="AY940">
        <f t="shared" si="30"/>
        <v>43</v>
      </c>
      <c r="AZ940">
        <f t="shared" si="31"/>
        <v>3</v>
      </c>
    </row>
    <row r="941" spans="1:52" ht="55.2">
      <c r="A941" s="3" t="s">
        <v>985</v>
      </c>
      <c r="C941">
        <v>1</v>
      </c>
      <c r="AV941">
        <v>1</v>
      </c>
      <c r="AY941">
        <f t="shared" si="30"/>
        <v>43</v>
      </c>
      <c r="AZ941">
        <f t="shared" si="31"/>
        <v>3</v>
      </c>
    </row>
    <row r="942" spans="1:52" ht="55.2">
      <c r="A942" s="3" t="s">
        <v>986</v>
      </c>
      <c r="C942">
        <v>1</v>
      </c>
      <c r="AV942">
        <v>1</v>
      </c>
      <c r="AY942">
        <f t="shared" si="30"/>
        <v>43</v>
      </c>
      <c r="AZ942">
        <f t="shared" si="31"/>
        <v>3</v>
      </c>
    </row>
    <row r="943" spans="1:52" ht="55.2">
      <c r="A943" s="3" t="s">
        <v>987</v>
      </c>
      <c r="C943">
        <v>1</v>
      </c>
      <c r="AV943">
        <v>1</v>
      </c>
      <c r="AY943">
        <f t="shared" si="30"/>
        <v>43</v>
      </c>
      <c r="AZ943">
        <f t="shared" si="31"/>
        <v>3</v>
      </c>
    </row>
    <row r="944" spans="1:52" ht="55.2">
      <c r="A944" s="3" t="s">
        <v>988</v>
      </c>
      <c r="C944">
        <v>1</v>
      </c>
      <c r="AV944">
        <v>1</v>
      </c>
      <c r="AY944">
        <f t="shared" si="30"/>
        <v>43</v>
      </c>
      <c r="AZ944">
        <f t="shared" si="31"/>
        <v>3</v>
      </c>
    </row>
    <row r="945" spans="1:52" ht="55.2">
      <c r="A945" s="3" t="s">
        <v>989</v>
      </c>
      <c r="C945">
        <v>1</v>
      </c>
      <c r="AV945">
        <v>1</v>
      </c>
      <c r="AY945">
        <f t="shared" si="30"/>
        <v>43</v>
      </c>
      <c r="AZ945">
        <f t="shared" si="31"/>
        <v>3</v>
      </c>
    </row>
    <row r="946" spans="1:52" ht="55.2">
      <c r="A946" s="3" t="s">
        <v>990</v>
      </c>
      <c r="C946">
        <v>1</v>
      </c>
      <c r="AV946">
        <v>1</v>
      </c>
      <c r="AY946">
        <f t="shared" si="30"/>
        <v>43</v>
      </c>
      <c r="AZ946">
        <f t="shared" si="31"/>
        <v>3</v>
      </c>
    </row>
    <row r="947" spans="1:52" ht="55.2">
      <c r="A947" s="3" t="s">
        <v>991</v>
      </c>
      <c r="C947">
        <v>1</v>
      </c>
      <c r="AV947">
        <v>1</v>
      </c>
      <c r="AY947">
        <f t="shared" si="30"/>
        <v>43</v>
      </c>
      <c r="AZ947">
        <f t="shared" si="31"/>
        <v>3</v>
      </c>
    </row>
    <row r="948" spans="1:52" ht="55.2">
      <c r="A948" s="3" t="s">
        <v>992</v>
      </c>
      <c r="C948">
        <v>1</v>
      </c>
      <c r="AV948">
        <v>1</v>
      </c>
      <c r="AY948">
        <f t="shared" si="30"/>
        <v>43</v>
      </c>
      <c r="AZ948">
        <f t="shared" si="31"/>
        <v>3</v>
      </c>
    </row>
    <row r="949" spans="1:52" ht="55.2">
      <c r="A949" s="3" t="s">
        <v>993</v>
      </c>
      <c r="C949">
        <v>1</v>
      </c>
      <c r="AV949">
        <v>1</v>
      </c>
      <c r="AY949">
        <f t="shared" si="30"/>
        <v>43</v>
      </c>
      <c r="AZ949">
        <f t="shared" si="31"/>
        <v>3</v>
      </c>
    </row>
    <row r="950" spans="1:52" ht="55.2">
      <c r="A950" s="3" t="s">
        <v>994</v>
      </c>
      <c r="C950">
        <v>1</v>
      </c>
      <c r="AV950">
        <v>1</v>
      </c>
      <c r="AY950">
        <f t="shared" si="30"/>
        <v>43</v>
      </c>
      <c r="AZ950">
        <f t="shared" si="31"/>
        <v>3</v>
      </c>
    </row>
    <row r="951" spans="1:52" ht="55.2">
      <c r="A951" s="3" t="s">
        <v>995</v>
      </c>
      <c r="C951">
        <v>1</v>
      </c>
      <c r="AV951">
        <v>1</v>
      </c>
      <c r="AY951">
        <f t="shared" si="30"/>
        <v>43</v>
      </c>
      <c r="AZ951">
        <f t="shared" si="31"/>
        <v>3</v>
      </c>
    </row>
    <row r="952" spans="1:52" ht="55.2">
      <c r="A952" s="3" t="s">
        <v>996</v>
      </c>
      <c r="C952">
        <v>1</v>
      </c>
      <c r="AV952">
        <v>1</v>
      </c>
      <c r="AY952">
        <f t="shared" si="30"/>
        <v>43</v>
      </c>
      <c r="AZ952">
        <f t="shared" si="31"/>
        <v>3</v>
      </c>
    </row>
    <row r="953" spans="1:52" ht="55.2">
      <c r="A953" s="3" t="s">
        <v>997</v>
      </c>
      <c r="C953">
        <v>1</v>
      </c>
      <c r="AV953">
        <v>1</v>
      </c>
      <c r="AY953">
        <f t="shared" si="30"/>
        <v>43</v>
      </c>
      <c r="AZ953">
        <f t="shared" si="31"/>
        <v>3</v>
      </c>
    </row>
    <row r="954" spans="1:52" ht="55.2">
      <c r="A954" s="3" t="s">
        <v>998</v>
      </c>
      <c r="C954">
        <v>1</v>
      </c>
      <c r="AV954">
        <v>1</v>
      </c>
      <c r="AY954">
        <f t="shared" si="30"/>
        <v>43</v>
      </c>
      <c r="AZ954">
        <f t="shared" si="31"/>
        <v>3</v>
      </c>
    </row>
    <row r="955" spans="1:52" ht="55.2">
      <c r="A955" s="3" t="s">
        <v>999</v>
      </c>
      <c r="C955">
        <v>1</v>
      </c>
      <c r="AV955">
        <v>1</v>
      </c>
      <c r="AY955">
        <f t="shared" si="30"/>
        <v>43</v>
      </c>
      <c r="AZ955">
        <f t="shared" si="31"/>
        <v>3</v>
      </c>
    </row>
    <row r="956" spans="1:52" ht="55.2">
      <c r="A956" s="3" t="s">
        <v>1000</v>
      </c>
      <c r="C956">
        <v>1</v>
      </c>
      <c r="AV956">
        <v>1</v>
      </c>
      <c r="AY956">
        <f t="shared" si="30"/>
        <v>43</v>
      </c>
      <c r="AZ956">
        <f t="shared" si="31"/>
        <v>3</v>
      </c>
    </row>
    <row r="957" spans="1:52" ht="55.2">
      <c r="A957" s="3" t="s">
        <v>1001</v>
      </c>
      <c r="C957">
        <v>1</v>
      </c>
      <c r="AV957">
        <v>1</v>
      </c>
      <c r="AY957">
        <f t="shared" si="30"/>
        <v>43</v>
      </c>
      <c r="AZ957">
        <f t="shared" si="31"/>
        <v>3</v>
      </c>
    </row>
    <row r="958" spans="1:52" ht="55.2">
      <c r="A958" s="3" t="s">
        <v>1002</v>
      </c>
      <c r="C958">
        <v>1</v>
      </c>
      <c r="AV958">
        <v>1</v>
      </c>
      <c r="AY958">
        <f t="shared" si="30"/>
        <v>43</v>
      </c>
      <c r="AZ958">
        <f t="shared" si="31"/>
        <v>3</v>
      </c>
    </row>
    <row r="959" spans="1:52" ht="55.2">
      <c r="A959" s="3" t="s">
        <v>1003</v>
      </c>
      <c r="C959">
        <v>1</v>
      </c>
      <c r="AV959">
        <v>1</v>
      </c>
      <c r="AY959">
        <f t="shared" si="30"/>
        <v>43</v>
      </c>
      <c r="AZ959">
        <f t="shared" si="31"/>
        <v>3</v>
      </c>
    </row>
    <row r="960" spans="1:52" ht="55.2">
      <c r="A960" s="3" t="s">
        <v>1004</v>
      </c>
      <c r="C960">
        <v>1</v>
      </c>
      <c r="AV960">
        <v>1</v>
      </c>
      <c r="AY960">
        <f t="shared" si="30"/>
        <v>43</v>
      </c>
      <c r="AZ960">
        <f t="shared" si="31"/>
        <v>3</v>
      </c>
    </row>
    <row r="961" spans="1:52" ht="55.2">
      <c r="A961" s="3" t="s">
        <v>1005</v>
      </c>
      <c r="C961">
        <v>1</v>
      </c>
      <c r="AV961">
        <v>1</v>
      </c>
      <c r="AY961">
        <f t="shared" si="30"/>
        <v>43</v>
      </c>
      <c r="AZ961">
        <f t="shared" si="31"/>
        <v>3</v>
      </c>
    </row>
    <row r="962" spans="1:52" ht="55.2">
      <c r="A962" s="3" t="s">
        <v>1006</v>
      </c>
      <c r="C962">
        <v>1</v>
      </c>
      <c r="AV962">
        <v>1</v>
      </c>
      <c r="AY962">
        <f t="shared" si="30"/>
        <v>43</v>
      </c>
      <c r="AZ962">
        <f t="shared" si="31"/>
        <v>3</v>
      </c>
    </row>
    <row r="963" spans="1:52" ht="55.2">
      <c r="A963" s="3" t="s">
        <v>1007</v>
      </c>
      <c r="C963">
        <v>1</v>
      </c>
      <c r="AV963">
        <v>1</v>
      </c>
      <c r="AY963">
        <f t="shared" si="30"/>
        <v>43</v>
      </c>
      <c r="AZ963">
        <f t="shared" si="31"/>
        <v>3</v>
      </c>
    </row>
    <row r="964" spans="1:52" ht="55.2">
      <c r="A964" s="3" t="s">
        <v>1008</v>
      </c>
      <c r="C964">
        <v>1</v>
      </c>
      <c r="J964">
        <v>9</v>
      </c>
      <c r="AY964">
        <f t="shared" si="30"/>
        <v>43</v>
      </c>
      <c r="AZ964">
        <f t="shared" si="31"/>
        <v>3</v>
      </c>
    </row>
    <row r="965" spans="1:52" ht="55.2">
      <c r="A965" s="3" t="s">
        <v>1009</v>
      </c>
      <c r="C965">
        <v>1</v>
      </c>
      <c r="J965">
        <v>9</v>
      </c>
      <c r="AY965">
        <f t="shared" si="30"/>
        <v>43</v>
      </c>
      <c r="AZ965">
        <f t="shared" si="31"/>
        <v>3</v>
      </c>
    </row>
    <row r="966" spans="1:52" ht="55.2">
      <c r="A966" s="3" t="s">
        <v>1010</v>
      </c>
      <c r="C966">
        <v>1</v>
      </c>
      <c r="J966">
        <v>9</v>
      </c>
      <c r="AY966">
        <f t="shared" si="30"/>
        <v>43</v>
      </c>
      <c r="AZ966">
        <f t="shared" si="31"/>
        <v>3</v>
      </c>
    </row>
    <row r="967" spans="1:52" ht="55.2">
      <c r="A967" s="3" t="s">
        <v>1011</v>
      </c>
      <c r="C967">
        <v>1</v>
      </c>
      <c r="J967">
        <v>9</v>
      </c>
      <c r="AY967">
        <f t="shared" si="30"/>
        <v>43</v>
      </c>
      <c r="AZ967">
        <f t="shared" si="31"/>
        <v>3</v>
      </c>
    </row>
    <row r="968" spans="1:52" ht="55.2">
      <c r="A968" s="3" t="s">
        <v>1012</v>
      </c>
      <c r="C968">
        <v>1</v>
      </c>
      <c r="J968">
        <v>9</v>
      </c>
      <c r="AY968">
        <f t="shared" si="30"/>
        <v>43</v>
      </c>
      <c r="AZ968">
        <f t="shared" si="31"/>
        <v>3</v>
      </c>
    </row>
    <row r="969" spans="1:52" ht="55.2">
      <c r="A969" s="3" t="s">
        <v>1013</v>
      </c>
      <c r="C969">
        <v>1</v>
      </c>
      <c r="J969">
        <v>9</v>
      </c>
      <c r="AY969">
        <f t="shared" si="30"/>
        <v>43</v>
      </c>
      <c r="AZ969">
        <f t="shared" si="31"/>
        <v>3</v>
      </c>
    </row>
    <row r="970" spans="1:52" ht="55.2">
      <c r="A970" s="3" t="s">
        <v>1014</v>
      </c>
      <c r="C970">
        <v>1</v>
      </c>
      <c r="J970">
        <v>9</v>
      </c>
      <c r="AY970">
        <f t="shared" si="30"/>
        <v>43</v>
      </c>
      <c r="AZ970">
        <f t="shared" si="31"/>
        <v>3</v>
      </c>
    </row>
    <row r="971" spans="1:52" ht="55.2">
      <c r="A971" s="3" t="s">
        <v>1015</v>
      </c>
      <c r="C971">
        <v>1</v>
      </c>
      <c r="J971">
        <v>9</v>
      </c>
      <c r="AY971">
        <f t="shared" si="30"/>
        <v>43</v>
      </c>
      <c r="AZ971">
        <f t="shared" si="31"/>
        <v>3</v>
      </c>
    </row>
    <row r="972" spans="1:52" ht="55.2">
      <c r="A972" s="3" t="s">
        <v>1016</v>
      </c>
      <c r="C972">
        <v>1</v>
      </c>
      <c r="J972">
        <v>9</v>
      </c>
      <c r="AY972">
        <f t="shared" si="30"/>
        <v>43</v>
      </c>
      <c r="AZ972">
        <f t="shared" si="31"/>
        <v>3</v>
      </c>
    </row>
    <row r="973" spans="1:52" ht="55.2">
      <c r="A973" s="3" t="s">
        <v>1017</v>
      </c>
      <c r="C973">
        <v>1</v>
      </c>
      <c r="J973">
        <v>9</v>
      </c>
      <c r="AY973">
        <f t="shared" si="30"/>
        <v>43</v>
      </c>
      <c r="AZ973">
        <f t="shared" si="31"/>
        <v>3</v>
      </c>
    </row>
    <row r="974" spans="1:52" ht="55.2">
      <c r="A974" s="3" t="s">
        <v>1018</v>
      </c>
      <c r="C974">
        <v>1</v>
      </c>
      <c r="J974">
        <v>9</v>
      </c>
      <c r="AY974">
        <f t="shared" si="30"/>
        <v>43</v>
      </c>
      <c r="AZ974">
        <f t="shared" si="31"/>
        <v>3</v>
      </c>
    </row>
    <row r="975" spans="1:52" ht="55.2">
      <c r="A975" s="3" t="s">
        <v>1019</v>
      </c>
      <c r="C975">
        <v>1</v>
      </c>
      <c r="J975">
        <v>9</v>
      </c>
      <c r="AY975">
        <f t="shared" si="30"/>
        <v>43</v>
      </c>
      <c r="AZ975">
        <f t="shared" si="31"/>
        <v>3</v>
      </c>
    </row>
    <row r="976" spans="1:52" ht="55.2">
      <c r="A976" s="3" t="s">
        <v>1020</v>
      </c>
      <c r="C976">
        <v>1</v>
      </c>
      <c r="J976">
        <v>9</v>
      </c>
      <c r="AY976">
        <f t="shared" si="30"/>
        <v>43</v>
      </c>
      <c r="AZ976">
        <f t="shared" si="31"/>
        <v>3</v>
      </c>
    </row>
    <row r="977" spans="1:52" ht="55.2">
      <c r="A977" s="3" t="s">
        <v>1021</v>
      </c>
      <c r="C977">
        <v>1</v>
      </c>
      <c r="J977">
        <v>9</v>
      </c>
      <c r="AY977">
        <f t="shared" si="30"/>
        <v>43</v>
      </c>
      <c r="AZ977">
        <f t="shared" si="31"/>
        <v>3</v>
      </c>
    </row>
    <row r="978" spans="1:52" ht="55.2">
      <c r="A978" s="3" t="s">
        <v>1022</v>
      </c>
      <c r="C978">
        <v>1</v>
      </c>
      <c r="J978">
        <v>9</v>
      </c>
      <c r="AY978">
        <f t="shared" si="30"/>
        <v>43</v>
      </c>
      <c r="AZ978">
        <f t="shared" si="31"/>
        <v>3</v>
      </c>
    </row>
    <row r="979" spans="1:52" ht="55.2">
      <c r="A979" s="3" t="s">
        <v>1023</v>
      </c>
      <c r="B979">
        <v>2</v>
      </c>
      <c r="C979">
        <v>1</v>
      </c>
      <c r="J979">
        <v>9</v>
      </c>
      <c r="AY979">
        <f t="shared" si="30"/>
        <v>43</v>
      </c>
      <c r="AZ979">
        <f t="shared" si="31"/>
        <v>2</v>
      </c>
    </row>
    <row r="980" spans="1:52" ht="55.2">
      <c r="A980" s="3" t="s">
        <v>1024</v>
      </c>
      <c r="B980">
        <v>2</v>
      </c>
      <c r="C980">
        <v>1</v>
      </c>
      <c r="J980">
        <v>9</v>
      </c>
      <c r="AY980">
        <f t="shared" si="30"/>
        <v>43</v>
      </c>
      <c r="AZ980">
        <f t="shared" si="31"/>
        <v>2</v>
      </c>
    </row>
    <row r="981" spans="1:52" ht="55.2">
      <c r="A981" s="3" t="s">
        <v>1025</v>
      </c>
      <c r="B981">
        <v>2</v>
      </c>
      <c r="C981">
        <v>1</v>
      </c>
      <c r="J981">
        <v>9</v>
      </c>
      <c r="AY981">
        <f t="shared" si="30"/>
        <v>43</v>
      </c>
      <c r="AZ981">
        <f t="shared" si="31"/>
        <v>2</v>
      </c>
    </row>
    <row r="982" spans="1:52" ht="55.2">
      <c r="A982" s="3" t="s">
        <v>1026</v>
      </c>
      <c r="B982">
        <v>2</v>
      </c>
      <c r="C982">
        <v>1</v>
      </c>
      <c r="J982">
        <v>9</v>
      </c>
      <c r="AY982">
        <f t="shared" si="30"/>
        <v>43</v>
      </c>
      <c r="AZ982">
        <f t="shared" si="31"/>
        <v>2</v>
      </c>
    </row>
    <row r="983" spans="1:52" ht="55.2">
      <c r="A983" s="3" t="s">
        <v>1027</v>
      </c>
      <c r="B983">
        <v>2</v>
      </c>
      <c r="C983">
        <v>1</v>
      </c>
      <c r="J983">
        <v>9</v>
      </c>
      <c r="AY983">
        <f t="shared" si="30"/>
        <v>43</v>
      </c>
      <c r="AZ983">
        <f t="shared" si="31"/>
        <v>2</v>
      </c>
    </row>
    <row r="984" spans="1:52" ht="55.2">
      <c r="A984" s="3" t="s">
        <v>1028</v>
      </c>
      <c r="B984">
        <v>2</v>
      </c>
      <c r="C984">
        <v>1</v>
      </c>
      <c r="J984">
        <v>9</v>
      </c>
      <c r="AY984">
        <f t="shared" si="30"/>
        <v>43</v>
      </c>
      <c r="AZ984">
        <f t="shared" si="31"/>
        <v>2</v>
      </c>
    </row>
    <row r="985" spans="1:52" ht="55.2">
      <c r="A985" s="3" t="s">
        <v>1029</v>
      </c>
      <c r="B985">
        <v>2</v>
      </c>
      <c r="C985">
        <v>1</v>
      </c>
      <c r="J985">
        <v>9</v>
      </c>
      <c r="AY985">
        <f t="shared" si="30"/>
        <v>43</v>
      </c>
      <c r="AZ985">
        <f t="shared" si="31"/>
        <v>2</v>
      </c>
    </row>
    <row r="986" spans="1:52" ht="55.2">
      <c r="A986" s="3" t="s">
        <v>1030</v>
      </c>
      <c r="B986">
        <v>2</v>
      </c>
      <c r="C986">
        <v>1</v>
      </c>
      <c r="J986">
        <v>9</v>
      </c>
      <c r="AY986">
        <f t="shared" si="30"/>
        <v>43</v>
      </c>
      <c r="AZ986">
        <f t="shared" si="31"/>
        <v>2</v>
      </c>
    </row>
    <row r="987" spans="1:52" ht="55.2">
      <c r="A987" s="3" t="s">
        <v>1031</v>
      </c>
      <c r="B987">
        <v>2</v>
      </c>
      <c r="C987">
        <v>1</v>
      </c>
      <c r="J987">
        <v>9</v>
      </c>
      <c r="AY987">
        <f t="shared" si="30"/>
        <v>43</v>
      </c>
      <c r="AZ987">
        <f t="shared" si="31"/>
        <v>2</v>
      </c>
    </row>
    <row r="988" spans="1:52" ht="55.2">
      <c r="A988" s="3" t="s">
        <v>1032</v>
      </c>
      <c r="B988">
        <v>2</v>
      </c>
      <c r="C988">
        <v>1</v>
      </c>
      <c r="J988">
        <v>9</v>
      </c>
      <c r="AY988">
        <f t="shared" si="30"/>
        <v>43</v>
      </c>
      <c r="AZ988">
        <f t="shared" si="31"/>
        <v>2</v>
      </c>
    </row>
    <row r="989" spans="1:52" ht="55.2">
      <c r="A989" s="3" t="s">
        <v>1033</v>
      </c>
      <c r="B989">
        <v>2</v>
      </c>
      <c r="C989">
        <v>1</v>
      </c>
      <c r="J989">
        <v>9</v>
      </c>
      <c r="AY989">
        <f t="shared" si="30"/>
        <v>43</v>
      </c>
      <c r="AZ989">
        <f t="shared" si="31"/>
        <v>2</v>
      </c>
    </row>
    <row r="990" spans="1:52" ht="55.2">
      <c r="A990" s="3" t="s">
        <v>1034</v>
      </c>
      <c r="B990">
        <v>2</v>
      </c>
      <c r="C990">
        <v>1</v>
      </c>
      <c r="M990">
        <v>3</v>
      </c>
      <c r="AY990">
        <f t="shared" si="30"/>
        <v>43</v>
      </c>
      <c r="AZ990">
        <f t="shared" si="31"/>
        <v>2</v>
      </c>
    </row>
    <row r="991" spans="1:52" ht="55.2">
      <c r="A991" s="3" t="s">
        <v>1035</v>
      </c>
      <c r="B991">
        <v>2</v>
      </c>
      <c r="C991">
        <v>1</v>
      </c>
      <c r="M991">
        <v>3</v>
      </c>
      <c r="AY991">
        <f t="shared" si="30"/>
        <v>43</v>
      </c>
      <c r="AZ991">
        <f t="shared" si="31"/>
        <v>2</v>
      </c>
    </row>
    <row r="992" spans="1:52" ht="55.2">
      <c r="A992" s="3" t="s">
        <v>1036</v>
      </c>
      <c r="B992">
        <v>2</v>
      </c>
      <c r="C992">
        <v>1</v>
      </c>
      <c r="M992">
        <v>3</v>
      </c>
      <c r="AY992">
        <f t="shared" si="30"/>
        <v>43</v>
      </c>
      <c r="AZ992">
        <f t="shared" si="31"/>
        <v>2</v>
      </c>
    </row>
    <row r="993" spans="1:52" ht="55.2">
      <c r="A993" s="3" t="s">
        <v>1037</v>
      </c>
      <c r="B993">
        <v>2</v>
      </c>
      <c r="C993">
        <v>1</v>
      </c>
      <c r="M993">
        <v>3</v>
      </c>
      <c r="AY993">
        <f t="shared" ref="AY993:AY1056" si="32">COUNTBLANK(F993:AW993)</f>
        <v>43</v>
      </c>
      <c r="AZ993">
        <f t="shared" ref="AZ993:AZ1056" si="33">COUNTBLANK(B993:E993)</f>
        <v>2</v>
      </c>
    </row>
    <row r="994" spans="1:52" ht="55.2">
      <c r="A994" s="3" t="s">
        <v>1038</v>
      </c>
      <c r="B994">
        <v>2</v>
      </c>
      <c r="C994">
        <v>1</v>
      </c>
      <c r="M994">
        <v>3</v>
      </c>
      <c r="AY994">
        <f t="shared" si="32"/>
        <v>43</v>
      </c>
      <c r="AZ994">
        <f t="shared" si="33"/>
        <v>2</v>
      </c>
    </row>
    <row r="995" spans="1:52" ht="55.2">
      <c r="A995" s="3" t="s">
        <v>1039</v>
      </c>
      <c r="B995">
        <v>2</v>
      </c>
      <c r="C995">
        <v>1</v>
      </c>
      <c r="M995">
        <v>3</v>
      </c>
      <c r="AY995">
        <f t="shared" si="32"/>
        <v>43</v>
      </c>
      <c r="AZ995">
        <f t="shared" si="33"/>
        <v>2</v>
      </c>
    </row>
    <row r="996" spans="1:52" ht="55.2">
      <c r="A996" s="3" t="s">
        <v>1040</v>
      </c>
      <c r="B996">
        <v>2</v>
      </c>
      <c r="C996">
        <v>1</v>
      </c>
      <c r="M996">
        <v>3</v>
      </c>
      <c r="AY996">
        <f t="shared" si="32"/>
        <v>43</v>
      </c>
      <c r="AZ996">
        <f t="shared" si="33"/>
        <v>2</v>
      </c>
    </row>
    <row r="997" spans="1:52" ht="55.2">
      <c r="A997" s="3" t="s">
        <v>1041</v>
      </c>
      <c r="B997">
        <v>2</v>
      </c>
      <c r="C997">
        <v>1</v>
      </c>
      <c r="M997">
        <v>3</v>
      </c>
      <c r="AY997">
        <f t="shared" si="32"/>
        <v>43</v>
      </c>
      <c r="AZ997">
        <f t="shared" si="33"/>
        <v>2</v>
      </c>
    </row>
    <row r="998" spans="1:52" ht="55.2">
      <c r="A998" s="3" t="s">
        <v>1042</v>
      </c>
      <c r="B998">
        <v>2</v>
      </c>
      <c r="C998">
        <v>1</v>
      </c>
      <c r="M998">
        <v>3</v>
      </c>
      <c r="AY998">
        <f t="shared" si="32"/>
        <v>43</v>
      </c>
      <c r="AZ998">
        <f t="shared" si="33"/>
        <v>2</v>
      </c>
    </row>
    <row r="999" spans="1:52" ht="55.2">
      <c r="A999" s="3" t="s">
        <v>1043</v>
      </c>
      <c r="B999">
        <v>2</v>
      </c>
      <c r="C999">
        <v>1</v>
      </c>
      <c r="M999">
        <v>3</v>
      </c>
      <c r="AY999">
        <f t="shared" si="32"/>
        <v>43</v>
      </c>
      <c r="AZ999">
        <f t="shared" si="33"/>
        <v>2</v>
      </c>
    </row>
    <row r="1000" spans="1:52" ht="55.2">
      <c r="A1000" s="3" t="s">
        <v>1044</v>
      </c>
      <c r="B1000">
        <v>2</v>
      </c>
      <c r="C1000">
        <v>1</v>
      </c>
      <c r="M1000">
        <v>3</v>
      </c>
      <c r="AY1000">
        <f t="shared" si="32"/>
        <v>43</v>
      </c>
      <c r="AZ1000">
        <f t="shared" si="33"/>
        <v>2</v>
      </c>
    </row>
    <row r="1001" spans="1:52" ht="55.2">
      <c r="A1001" s="3" t="s">
        <v>1045</v>
      </c>
      <c r="B1001">
        <v>2</v>
      </c>
      <c r="C1001">
        <v>1</v>
      </c>
      <c r="M1001">
        <v>3</v>
      </c>
      <c r="AY1001">
        <f t="shared" si="32"/>
        <v>43</v>
      </c>
      <c r="AZ1001">
        <f t="shared" si="33"/>
        <v>2</v>
      </c>
    </row>
    <row r="1002" spans="1:52" ht="55.2">
      <c r="A1002" s="3" t="s">
        <v>1046</v>
      </c>
      <c r="B1002">
        <v>2</v>
      </c>
      <c r="C1002">
        <v>1</v>
      </c>
      <c r="M1002">
        <v>3</v>
      </c>
      <c r="AY1002">
        <f t="shared" si="32"/>
        <v>43</v>
      </c>
      <c r="AZ1002">
        <f t="shared" si="33"/>
        <v>2</v>
      </c>
    </row>
    <row r="1003" spans="1:52" ht="55.2">
      <c r="A1003" s="3" t="s">
        <v>1047</v>
      </c>
      <c r="B1003">
        <v>2</v>
      </c>
      <c r="C1003">
        <v>1</v>
      </c>
      <c r="M1003">
        <v>3</v>
      </c>
      <c r="AY1003">
        <f t="shared" si="32"/>
        <v>43</v>
      </c>
      <c r="AZ1003">
        <f t="shared" si="33"/>
        <v>2</v>
      </c>
    </row>
    <row r="1004" spans="1:52" ht="55.2">
      <c r="A1004" s="3" t="s">
        <v>1048</v>
      </c>
      <c r="B1004">
        <v>2</v>
      </c>
      <c r="C1004">
        <v>1</v>
      </c>
      <c r="M1004">
        <v>3</v>
      </c>
      <c r="AY1004">
        <f t="shared" si="32"/>
        <v>43</v>
      </c>
      <c r="AZ1004">
        <f t="shared" si="33"/>
        <v>2</v>
      </c>
    </row>
    <row r="1005" spans="1:52" ht="55.2">
      <c r="A1005" s="3" t="s">
        <v>1049</v>
      </c>
      <c r="B1005">
        <v>2</v>
      </c>
      <c r="C1005">
        <v>1</v>
      </c>
      <c r="M1005">
        <v>3</v>
      </c>
      <c r="AY1005">
        <f t="shared" si="32"/>
        <v>43</v>
      </c>
      <c r="AZ1005">
        <f t="shared" si="33"/>
        <v>2</v>
      </c>
    </row>
    <row r="1006" spans="1:52" ht="55.2">
      <c r="A1006" s="3" t="s">
        <v>1050</v>
      </c>
      <c r="B1006">
        <v>2</v>
      </c>
      <c r="C1006">
        <v>1</v>
      </c>
      <c r="M1006">
        <v>3</v>
      </c>
      <c r="AY1006">
        <f t="shared" si="32"/>
        <v>43</v>
      </c>
      <c r="AZ1006">
        <f t="shared" si="33"/>
        <v>2</v>
      </c>
    </row>
    <row r="1007" spans="1:52" ht="55.2">
      <c r="A1007" s="3" t="s">
        <v>1051</v>
      </c>
      <c r="B1007">
        <v>2</v>
      </c>
      <c r="C1007">
        <v>1</v>
      </c>
      <c r="M1007">
        <v>3</v>
      </c>
      <c r="AY1007">
        <f t="shared" si="32"/>
        <v>43</v>
      </c>
      <c r="AZ1007">
        <f t="shared" si="33"/>
        <v>2</v>
      </c>
    </row>
    <row r="1008" spans="1:52" ht="55.2">
      <c r="A1008" s="3" t="s">
        <v>1052</v>
      </c>
      <c r="B1008">
        <v>2</v>
      </c>
      <c r="C1008">
        <v>1</v>
      </c>
      <c r="M1008">
        <v>3</v>
      </c>
      <c r="AY1008">
        <f t="shared" si="32"/>
        <v>43</v>
      </c>
      <c r="AZ1008">
        <f t="shared" si="33"/>
        <v>2</v>
      </c>
    </row>
    <row r="1009" spans="1:52" ht="55.2">
      <c r="A1009" s="3" t="s">
        <v>1053</v>
      </c>
      <c r="B1009">
        <v>2</v>
      </c>
      <c r="C1009">
        <v>1</v>
      </c>
      <c r="M1009">
        <v>3</v>
      </c>
      <c r="AY1009">
        <f t="shared" si="32"/>
        <v>43</v>
      </c>
      <c r="AZ1009">
        <f t="shared" si="33"/>
        <v>2</v>
      </c>
    </row>
    <row r="1010" spans="1:52" ht="55.2">
      <c r="A1010" s="3" t="s">
        <v>1054</v>
      </c>
      <c r="B1010">
        <v>2</v>
      </c>
      <c r="C1010">
        <v>1</v>
      </c>
      <c r="M1010">
        <v>3</v>
      </c>
      <c r="AY1010">
        <f t="shared" si="32"/>
        <v>43</v>
      </c>
      <c r="AZ1010">
        <f t="shared" si="33"/>
        <v>2</v>
      </c>
    </row>
    <row r="1011" spans="1:52" ht="55.2">
      <c r="A1011" s="3" t="s">
        <v>1055</v>
      </c>
      <c r="B1011">
        <v>2</v>
      </c>
      <c r="C1011">
        <v>1</v>
      </c>
      <c r="M1011">
        <v>3</v>
      </c>
      <c r="AY1011">
        <f t="shared" si="32"/>
        <v>43</v>
      </c>
      <c r="AZ1011">
        <f t="shared" si="33"/>
        <v>2</v>
      </c>
    </row>
    <row r="1012" spans="1:52" ht="55.2">
      <c r="A1012" s="3" t="s">
        <v>1056</v>
      </c>
      <c r="B1012">
        <v>2</v>
      </c>
      <c r="C1012">
        <v>1</v>
      </c>
      <c r="M1012">
        <v>3</v>
      </c>
      <c r="AY1012">
        <f t="shared" si="32"/>
        <v>43</v>
      </c>
      <c r="AZ1012">
        <f t="shared" si="33"/>
        <v>2</v>
      </c>
    </row>
    <row r="1013" spans="1:52" ht="55.2">
      <c r="A1013" s="3" t="s">
        <v>1057</v>
      </c>
      <c r="B1013">
        <v>2</v>
      </c>
      <c r="C1013">
        <v>1</v>
      </c>
      <c r="M1013">
        <v>3</v>
      </c>
      <c r="AY1013">
        <f t="shared" si="32"/>
        <v>43</v>
      </c>
      <c r="AZ1013">
        <f t="shared" si="33"/>
        <v>2</v>
      </c>
    </row>
    <row r="1014" spans="1:52" ht="55.2">
      <c r="A1014" s="3" t="s">
        <v>1058</v>
      </c>
      <c r="B1014">
        <v>2</v>
      </c>
      <c r="C1014">
        <v>1</v>
      </c>
      <c r="M1014">
        <v>3</v>
      </c>
      <c r="AY1014">
        <f t="shared" si="32"/>
        <v>43</v>
      </c>
      <c r="AZ1014">
        <f t="shared" si="33"/>
        <v>2</v>
      </c>
    </row>
    <row r="1015" spans="1:52" ht="55.2">
      <c r="A1015" s="3" t="s">
        <v>1059</v>
      </c>
      <c r="B1015">
        <v>2</v>
      </c>
      <c r="C1015">
        <v>1</v>
      </c>
      <c r="M1015">
        <v>3</v>
      </c>
      <c r="AY1015">
        <f t="shared" si="32"/>
        <v>43</v>
      </c>
      <c r="AZ1015">
        <f t="shared" si="33"/>
        <v>2</v>
      </c>
    </row>
    <row r="1016" spans="1:52" ht="55.2">
      <c r="A1016" s="3" t="s">
        <v>1060</v>
      </c>
      <c r="B1016">
        <v>2</v>
      </c>
      <c r="C1016">
        <v>1</v>
      </c>
      <c r="M1016">
        <v>3</v>
      </c>
      <c r="AY1016">
        <f t="shared" si="32"/>
        <v>43</v>
      </c>
      <c r="AZ1016">
        <f t="shared" si="33"/>
        <v>2</v>
      </c>
    </row>
    <row r="1017" spans="1:52" ht="55.2">
      <c r="A1017" s="3" t="s">
        <v>1061</v>
      </c>
      <c r="B1017">
        <v>2</v>
      </c>
      <c r="C1017">
        <v>1</v>
      </c>
      <c r="M1017">
        <v>3</v>
      </c>
      <c r="AY1017">
        <f t="shared" si="32"/>
        <v>43</v>
      </c>
      <c r="AZ1017">
        <f t="shared" si="33"/>
        <v>2</v>
      </c>
    </row>
    <row r="1018" spans="1:52" ht="55.2">
      <c r="A1018" s="3" t="s">
        <v>1062</v>
      </c>
      <c r="B1018">
        <v>2</v>
      </c>
      <c r="C1018">
        <v>1</v>
      </c>
      <c r="M1018">
        <v>3</v>
      </c>
      <c r="AY1018">
        <f t="shared" si="32"/>
        <v>43</v>
      </c>
      <c r="AZ1018">
        <f t="shared" si="33"/>
        <v>2</v>
      </c>
    </row>
    <row r="1019" spans="1:52" ht="55.2">
      <c r="A1019" s="3" t="s">
        <v>1063</v>
      </c>
      <c r="B1019">
        <v>2</v>
      </c>
      <c r="C1019">
        <v>1</v>
      </c>
      <c r="M1019">
        <v>3</v>
      </c>
      <c r="AY1019">
        <f t="shared" si="32"/>
        <v>43</v>
      </c>
      <c r="AZ1019">
        <f t="shared" si="33"/>
        <v>2</v>
      </c>
    </row>
    <row r="1020" spans="1:52" ht="55.2">
      <c r="A1020" s="3" t="s">
        <v>1064</v>
      </c>
      <c r="B1020">
        <v>2</v>
      </c>
      <c r="C1020">
        <v>1</v>
      </c>
      <c r="M1020">
        <v>3</v>
      </c>
      <c r="AY1020">
        <f t="shared" si="32"/>
        <v>43</v>
      </c>
      <c r="AZ1020">
        <f t="shared" si="33"/>
        <v>2</v>
      </c>
    </row>
    <row r="1021" spans="1:52" ht="55.2">
      <c r="A1021" s="3" t="s">
        <v>1065</v>
      </c>
      <c r="B1021">
        <v>2</v>
      </c>
      <c r="C1021">
        <v>1</v>
      </c>
      <c r="M1021">
        <v>3</v>
      </c>
      <c r="AY1021">
        <f t="shared" si="32"/>
        <v>43</v>
      </c>
      <c r="AZ1021">
        <f t="shared" si="33"/>
        <v>2</v>
      </c>
    </row>
    <row r="1022" spans="1:52" ht="55.2">
      <c r="A1022" s="3" t="s">
        <v>1066</v>
      </c>
      <c r="B1022">
        <v>2</v>
      </c>
      <c r="C1022">
        <v>1</v>
      </c>
      <c r="M1022">
        <v>3</v>
      </c>
      <c r="AY1022">
        <f t="shared" si="32"/>
        <v>43</v>
      </c>
      <c r="AZ1022">
        <f t="shared" si="33"/>
        <v>2</v>
      </c>
    </row>
    <row r="1023" spans="1:52" ht="55.2">
      <c r="A1023" s="3" t="s">
        <v>1067</v>
      </c>
      <c r="B1023">
        <v>2</v>
      </c>
      <c r="C1023">
        <v>1</v>
      </c>
      <c r="M1023">
        <v>3</v>
      </c>
      <c r="AY1023">
        <f t="shared" si="32"/>
        <v>43</v>
      </c>
      <c r="AZ1023">
        <f t="shared" si="33"/>
        <v>2</v>
      </c>
    </row>
    <row r="1024" spans="1:52" ht="55.2">
      <c r="A1024" s="3" t="s">
        <v>1068</v>
      </c>
      <c r="B1024">
        <v>2</v>
      </c>
      <c r="C1024">
        <v>1</v>
      </c>
      <c r="M1024">
        <v>3</v>
      </c>
      <c r="AY1024">
        <f t="shared" si="32"/>
        <v>43</v>
      </c>
      <c r="AZ1024">
        <f t="shared" si="33"/>
        <v>2</v>
      </c>
    </row>
    <row r="1025" spans="1:52" ht="55.2">
      <c r="A1025" s="3" t="s">
        <v>1069</v>
      </c>
      <c r="B1025">
        <v>2</v>
      </c>
      <c r="C1025">
        <v>1</v>
      </c>
      <c r="M1025">
        <v>3</v>
      </c>
      <c r="AY1025">
        <f t="shared" si="32"/>
        <v>43</v>
      </c>
      <c r="AZ1025">
        <f t="shared" si="33"/>
        <v>2</v>
      </c>
    </row>
    <row r="1026" spans="1:52" ht="55.2">
      <c r="A1026" s="3" t="s">
        <v>1070</v>
      </c>
      <c r="B1026">
        <v>2</v>
      </c>
      <c r="C1026">
        <v>1</v>
      </c>
      <c r="M1026">
        <v>3</v>
      </c>
      <c r="AY1026">
        <f t="shared" si="32"/>
        <v>43</v>
      </c>
      <c r="AZ1026">
        <f t="shared" si="33"/>
        <v>2</v>
      </c>
    </row>
    <row r="1027" spans="1:52" ht="55.2">
      <c r="A1027" s="3" t="s">
        <v>1071</v>
      </c>
      <c r="B1027">
        <v>2</v>
      </c>
      <c r="C1027">
        <v>1</v>
      </c>
      <c r="M1027">
        <v>3</v>
      </c>
      <c r="AY1027">
        <f t="shared" si="32"/>
        <v>43</v>
      </c>
      <c r="AZ1027">
        <f t="shared" si="33"/>
        <v>2</v>
      </c>
    </row>
    <row r="1028" spans="1:52" ht="55.2">
      <c r="A1028" s="3" t="s">
        <v>1072</v>
      </c>
      <c r="B1028">
        <v>2</v>
      </c>
      <c r="C1028">
        <v>1</v>
      </c>
      <c r="M1028">
        <v>3</v>
      </c>
      <c r="AY1028">
        <f t="shared" si="32"/>
        <v>43</v>
      </c>
      <c r="AZ1028">
        <f t="shared" si="33"/>
        <v>2</v>
      </c>
    </row>
    <row r="1029" spans="1:52" ht="55.2">
      <c r="A1029" s="3" t="s">
        <v>1073</v>
      </c>
      <c r="B1029">
        <v>2</v>
      </c>
      <c r="C1029">
        <v>1</v>
      </c>
      <c r="M1029">
        <v>3</v>
      </c>
      <c r="AY1029">
        <f t="shared" si="32"/>
        <v>43</v>
      </c>
      <c r="AZ1029">
        <f t="shared" si="33"/>
        <v>2</v>
      </c>
    </row>
    <row r="1030" spans="1:52" ht="55.2">
      <c r="A1030" s="3" t="s">
        <v>1074</v>
      </c>
      <c r="B1030">
        <v>2</v>
      </c>
      <c r="C1030">
        <v>1</v>
      </c>
      <c r="M1030">
        <v>3</v>
      </c>
      <c r="AY1030">
        <f t="shared" si="32"/>
        <v>43</v>
      </c>
      <c r="AZ1030">
        <f t="shared" si="33"/>
        <v>2</v>
      </c>
    </row>
    <row r="1031" spans="1:52" ht="55.2">
      <c r="A1031" s="3" t="s">
        <v>1075</v>
      </c>
      <c r="B1031">
        <v>2</v>
      </c>
      <c r="C1031">
        <v>1</v>
      </c>
      <c r="M1031">
        <v>3</v>
      </c>
      <c r="AY1031">
        <f t="shared" si="32"/>
        <v>43</v>
      </c>
      <c r="AZ1031">
        <f t="shared" si="33"/>
        <v>2</v>
      </c>
    </row>
    <row r="1032" spans="1:52" ht="55.2">
      <c r="A1032" s="3" t="s">
        <v>1076</v>
      </c>
      <c r="B1032">
        <v>2</v>
      </c>
      <c r="C1032">
        <v>1</v>
      </c>
      <c r="M1032">
        <v>3</v>
      </c>
      <c r="AY1032">
        <f t="shared" si="32"/>
        <v>43</v>
      </c>
      <c r="AZ1032">
        <f t="shared" si="33"/>
        <v>2</v>
      </c>
    </row>
    <row r="1033" spans="1:52" ht="55.2">
      <c r="A1033" s="3" t="s">
        <v>1077</v>
      </c>
      <c r="B1033">
        <v>2</v>
      </c>
      <c r="C1033">
        <v>1</v>
      </c>
      <c r="M1033">
        <v>3</v>
      </c>
      <c r="AY1033">
        <f t="shared" si="32"/>
        <v>43</v>
      </c>
      <c r="AZ1033">
        <f t="shared" si="33"/>
        <v>2</v>
      </c>
    </row>
    <row r="1034" spans="1:52" ht="55.2">
      <c r="A1034" s="3" t="s">
        <v>1078</v>
      </c>
      <c r="B1034">
        <v>2</v>
      </c>
      <c r="C1034">
        <v>1</v>
      </c>
      <c r="M1034">
        <v>3</v>
      </c>
      <c r="AY1034">
        <f t="shared" si="32"/>
        <v>43</v>
      </c>
      <c r="AZ1034">
        <f t="shared" si="33"/>
        <v>2</v>
      </c>
    </row>
    <row r="1035" spans="1:52" ht="55.2">
      <c r="A1035" s="3" t="s">
        <v>1079</v>
      </c>
      <c r="B1035">
        <v>2</v>
      </c>
      <c r="C1035">
        <v>1</v>
      </c>
      <c r="M1035">
        <v>3</v>
      </c>
      <c r="AY1035">
        <f t="shared" si="32"/>
        <v>43</v>
      </c>
      <c r="AZ1035">
        <f t="shared" si="33"/>
        <v>2</v>
      </c>
    </row>
    <row r="1036" spans="1:52" ht="55.2">
      <c r="A1036" s="3" t="s">
        <v>1080</v>
      </c>
      <c r="B1036">
        <v>2</v>
      </c>
      <c r="C1036">
        <v>1</v>
      </c>
      <c r="M1036">
        <v>3</v>
      </c>
      <c r="AY1036">
        <f t="shared" si="32"/>
        <v>43</v>
      </c>
      <c r="AZ1036">
        <f t="shared" si="33"/>
        <v>2</v>
      </c>
    </row>
    <row r="1037" spans="1:52" ht="55.2">
      <c r="A1037" s="3" t="s">
        <v>1081</v>
      </c>
      <c r="B1037">
        <v>2</v>
      </c>
      <c r="C1037">
        <v>1</v>
      </c>
      <c r="M1037">
        <v>3</v>
      </c>
      <c r="AY1037">
        <f t="shared" si="32"/>
        <v>43</v>
      </c>
      <c r="AZ1037">
        <f t="shared" si="33"/>
        <v>2</v>
      </c>
    </row>
    <row r="1038" spans="1:52" ht="55.2">
      <c r="A1038" s="3" t="s">
        <v>1082</v>
      </c>
      <c r="B1038">
        <v>2</v>
      </c>
      <c r="C1038">
        <v>1</v>
      </c>
      <c r="M1038">
        <v>3</v>
      </c>
      <c r="AY1038">
        <f t="shared" si="32"/>
        <v>43</v>
      </c>
      <c r="AZ1038">
        <f t="shared" si="33"/>
        <v>2</v>
      </c>
    </row>
    <row r="1039" spans="1:52" ht="55.2">
      <c r="A1039" s="3" t="s">
        <v>1083</v>
      </c>
      <c r="B1039">
        <v>2</v>
      </c>
      <c r="C1039">
        <v>1</v>
      </c>
      <c r="M1039">
        <v>3</v>
      </c>
      <c r="AY1039">
        <f t="shared" si="32"/>
        <v>43</v>
      </c>
      <c r="AZ1039">
        <f t="shared" si="33"/>
        <v>2</v>
      </c>
    </row>
    <row r="1040" spans="1:52" ht="55.2">
      <c r="A1040" s="3" t="s">
        <v>1084</v>
      </c>
      <c r="B1040">
        <v>2</v>
      </c>
      <c r="C1040">
        <v>1</v>
      </c>
      <c r="M1040">
        <v>3</v>
      </c>
      <c r="AY1040">
        <f t="shared" si="32"/>
        <v>43</v>
      </c>
      <c r="AZ1040">
        <f t="shared" si="33"/>
        <v>2</v>
      </c>
    </row>
    <row r="1041" spans="1:52" ht="55.2">
      <c r="A1041" s="3" t="s">
        <v>1085</v>
      </c>
      <c r="B1041">
        <v>2</v>
      </c>
      <c r="C1041">
        <v>1</v>
      </c>
      <c r="M1041">
        <v>3</v>
      </c>
      <c r="AY1041">
        <f t="shared" si="32"/>
        <v>43</v>
      </c>
      <c r="AZ1041">
        <f t="shared" si="33"/>
        <v>2</v>
      </c>
    </row>
    <row r="1042" spans="1:52" ht="55.2">
      <c r="A1042" s="3" t="s">
        <v>1086</v>
      </c>
      <c r="B1042">
        <v>2</v>
      </c>
      <c r="C1042">
        <v>1</v>
      </c>
      <c r="J1042">
        <v>10</v>
      </c>
      <c r="AY1042">
        <f t="shared" si="32"/>
        <v>43</v>
      </c>
      <c r="AZ1042">
        <f t="shared" si="33"/>
        <v>2</v>
      </c>
    </row>
    <row r="1043" spans="1:52" ht="55.2">
      <c r="A1043" s="3" t="s">
        <v>1087</v>
      </c>
      <c r="B1043">
        <v>2</v>
      </c>
      <c r="C1043">
        <v>1</v>
      </c>
      <c r="J1043">
        <v>10</v>
      </c>
      <c r="AY1043">
        <f t="shared" si="32"/>
        <v>43</v>
      </c>
      <c r="AZ1043">
        <f t="shared" si="33"/>
        <v>2</v>
      </c>
    </row>
    <row r="1044" spans="1:52" ht="55.2">
      <c r="A1044" s="3" t="s">
        <v>1088</v>
      </c>
      <c r="B1044">
        <v>2</v>
      </c>
      <c r="C1044">
        <v>1</v>
      </c>
      <c r="J1044">
        <v>10</v>
      </c>
      <c r="AY1044">
        <f t="shared" si="32"/>
        <v>43</v>
      </c>
      <c r="AZ1044">
        <f t="shared" si="33"/>
        <v>2</v>
      </c>
    </row>
    <row r="1045" spans="1:52" ht="55.2">
      <c r="A1045" s="3" t="s">
        <v>1089</v>
      </c>
      <c r="B1045">
        <v>2</v>
      </c>
      <c r="C1045">
        <v>1</v>
      </c>
      <c r="J1045">
        <v>10</v>
      </c>
      <c r="AY1045">
        <f t="shared" si="32"/>
        <v>43</v>
      </c>
      <c r="AZ1045">
        <f t="shared" si="33"/>
        <v>2</v>
      </c>
    </row>
    <row r="1046" spans="1:52" ht="55.2">
      <c r="A1046" s="3" t="s">
        <v>1090</v>
      </c>
      <c r="B1046">
        <v>2</v>
      </c>
      <c r="C1046">
        <v>1</v>
      </c>
      <c r="J1046">
        <v>10</v>
      </c>
      <c r="AY1046">
        <f t="shared" si="32"/>
        <v>43</v>
      </c>
      <c r="AZ1046">
        <f t="shared" si="33"/>
        <v>2</v>
      </c>
    </row>
    <row r="1047" spans="1:52" ht="55.2">
      <c r="A1047" s="3" t="s">
        <v>1091</v>
      </c>
      <c r="B1047">
        <v>2</v>
      </c>
      <c r="C1047">
        <v>1</v>
      </c>
      <c r="J1047">
        <v>10</v>
      </c>
      <c r="AY1047">
        <f t="shared" si="32"/>
        <v>43</v>
      </c>
      <c r="AZ1047">
        <f t="shared" si="33"/>
        <v>2</v>
      </c>
    </row>
    <row r="1048" spans="1:52" ht="55.2">
      <c r="A1048" s="3" t="s">
        <v>1092</v>
      </c>
      <c r="B1048">
        <v>2</v>
      </c>
      <c r="C1048">
        <v>1</v>
      </c>
      <c r="J1048">
        <v>10</v>
      </c>
      <c r="AY1048">
        <f t="shared" si="32"/>
        <v>43</v>
      </c>
      <c r="AZ1048">
        <f t="shared" si="33"/>
        <v>2</v>
      </c>
    </row>
    <row r="1049" spans="1:52" ht="55.2">
      <c r="A1049" s="3" t="s">
        <v>1093</v>
      </c>
      <c r="B1049">
        <v>2</v>
      </c>
      <c r="C1049">
        <v>1</v>
      </c>
      <c r="J1049">
        <v>10</v>
      </c>
      <c r="AY1049">
        <f t="shared" si="32"/>
        <v>43</v>
      </c>
      <c r="AZ1049">
        <f t="shared" si="33"/>
        <v>2</v>
      </c>
    </row>
    <row r="1050" spans="1:52" ht="55.2">
      <c r="A1050" s="3" t="s">
        <v>1094</v>
      </c>
      <c r="B1050">
        <v>2</v>
      </c>
      <c r="C1050">
        <v>1</v>
      </c>
      <c r="J1050">
        <v>10</v>
      </c>
      <c r="AY1050">
        <f t="shared" si="32"/>
        <v>43</v>
      </c>
      <c r="AZ1050">
        <f t="shared" si="33"/>
        <v>2</v>
      </c>
    </row>
    <row r="1051" spans="1:52" ht="55.2">
      <c r="A1051" s="3" t="s">
        <v>1095</v>
      </c>
      <c r="B1051">
        <v>2</v>
      </c>
      <c r="C1051">
        <v>1</v>
      </c>
      <c r="J1051">
        <v>10</v>
      </c>
      <c r="AY1051">
        <f t="shared" si="32"/>
        <v>43</v>
      </c>
      <c r="AZ1051">
        <f t="shared" si="33"/>
        <v>2</v>
      </c>
    </row>
    <row r="1052" spans="1:52" ht="55.2">
      <c r="A1052" s="3" t="s">
        <v>1096</v>
      </c>
      <c r="B1052">
        <v>2</v>
      </c>
      <c r="C1052">
        <v>1</v>
      </c>
      <c r="J1052">
        <v>10</v>
      </c>
      <c r="AY1052">
        <f t="shared" si="32"/>
        <v>43</v>
      </c>
      <c r="AZ1052">
        <f t="shared" si="33"/>
        <v>2</v>
      </c>
    </row>
    <row r="1053" spans="1:52" ht="55.2">
      <c r="A1053" s="3" t="s">
        <v>1097</v>
      </c>
      <c r="B1053">
        <v>2</v>
      </c>
      <c r="C1053">
        <v>1</v>
      </c>
      <c r="J1053">
        <v>10</v>
      </c>
      <c r="AY1053">
        <f t="shared" si="32"/>
        <v>43</v>
      </c>
      <c r="AZ1053">
        <f t="shared" si="33"/>
        <v>2</v>
      </c>
    </row>
    <row r="1054" spans="1:52" ht="55.2">
      <c r="A1054" s="3" t="s">
        <v>1098</v>
      </c>
      <c r="B1054">
        <v>2</v>
      </c>
      <c r="J1054">
        <v>10</v>
      </c>
      <c r="AY1054">
        <f t="shared" si="32"/>
        <v>43</v>
      </c>
      <c r="AZ1054">
        <f t="shared" si="33"/>
        <v>3</v>
      </c>
    </row>
    <row r="1055" spans="1:52" ht="55.2">
      <c r="A1055" s="3" t="s">
        <v>1099</v>
      </c>
      <c r="B1055">
        <v>2</v>
      </c>
      <c r="J1055">
        <v>10</v>
      </c>
      <c r="AY1055">
        <f t="shared" si="32"/>
        <v>43</v>
      </c>
      <c r="AZ1055">
        <f t="shared" si="33"/>
        <v>3</v>
      </c>
    </row>
    <row r="1056" spans="1:52" ht="55.2">
      <c r="A1056" s="3" t="s">
        <v>1100</v>
      </c>
      <c r="B1056">
        <v>2</v>
      </c>
      <c r="J1056">
        <v>10</v>
      </c>
      <c r="AY1056">
        <f t="shared" si="32"/>
        <v>43</v>
      </c>
      <c r="AZ1056">
        <f t="shared" si="33"/>
        <v>3</v>
      </c>
    </row>
    <row r="1057" spans="1:52" ht="55.2">
      <c r="A1057" s="3" t="s">
        <v>1101</v>
      </c>
      <c r="B1057">
        <v>2</v>
      </c>
      <c r="J1057">
        <v>10</v>
      </c>
      <c r="AY1057">
        <f t="shared" ref="AY1057:AY1120" si="34">COUNTBLANK(F1057:AW1057)</f>
        <v>43</v>
      </c>
      <c r="AZ1057">
        <f t="shared" ref="AZ1057:AZ1120" si="35">COUNTBLANK(B1057:E1057)</f>
        <v>3</v>
      </c>
    </row>
    <row r="1058" spans="1:52" ht="55.2">
      <c r="A1058" s="3" t="s">
        <v>1102</v>
      </c>
      <c r="B1058">
        <v>2</v>
      </c>
      <c r="J1058">
        <v>10</v>
      </c>
      <c r="AY1058">
        <f t="shared" si="34"/>
        <v>43</v>
      </c>
      <c r="AZ1058">
        <f t="shared" si="35"/>
        <v>3</v>
      </c>
    </row>
    <row r="1059" spans="1:52" ht="55.2">
      <c r="A1059" s="3" t="s">
        <v>1103</v>
      </c>
      <c r="B1059">
        <v>2</v>
      </c>
      <c r="J1059">
        <v>10</v>
      </c>
      <c r="AY1059">
        <f t="shared" si="34"/>
        <v>43</v>
      </c>
      <c r="AZ1059">
        <f t="shared" si="35"/>
        <v>3</v>
      </c>
    </row>
    <row r="1060" spans="1:52" ht="55.2">
      <c r="A1060" s="3" t="s">
        <v>1104</v>
      </c>
      <c r="B1060">
        <v>2</v>
      </c>
      <c r="J1060">
        <v>10</v>
      </c>
      <c r="AY1060">
        <f t="shared" si="34"/>
        <v>43</v>
      </c>
      <c r="AZ1060">
        <f t="shared" si="35"/>
        <v>3</v>
      </c>
    </row>
    <row r="1061" spans="1:52" ht="55.2">
      <c r="A1061" s="3" t="s">
        <v>1105</v>
      </c>
      <c r="B1061">
        <v>2</v>
      </c>
      <c r="J1061">
        <v>10</v>
      </c>
      <c r="AY1061">
        <f t="shared" si="34"/>
        <v>43</v>
      </c>
      <c r="AZ1061">
        <f t="shared" si="35"/>
        <v>3</v>
      </c>
    </row>
    <row r="1062" spans="1:52" ht="55.2">
      <c r="A1062" s="3" t="s">
        <v>1106</v>
      </c>
      <c r="B1062">
        <v>2</v>
      </c>
      <c r="J1062">
        <v>10</v>
      </c>
      <c r="AY1062">
        <f t="shared" si="34"/>
        <v>43</v>
      </c>
      <c r="AZ1062">
        <f t="shared" si="35"/>
        <v>3</v>
      </c>
    </row>
    <row r="1063" spans="1:52" ht="55.2">
      <c r="A1063" s="3" t="s">
        <v>1107</v>
      </c>
      <c r="B1063">
        <v>2</v>
      </c>
      <c r="J1063">
        <v>10</v>
      </c>
      <c r="AY1063">
        <f t="shared" si="34"/>
        <v>43</v>
      </c>
      <c r="AZ1063">
        <f t="shared" si="35"/>
        <v>3</v>
      </c>
    </row>
    <row r="1064" spans="1:52" ht="55.2">
      <c r="A1064" s="3" t="s">
        <v>1108</v>
      </c>
      <c r="B1064">
        <v>2</v>
      </c>
      <c r="J1064">
        <v>10</v>
      </c>
      <c r="AY1064">
        <f t="shared" si="34"/>
        <v>43</v>
      </c>
      <c r="AZ1064">
        <f t="shared" si="35"/>
        <v>3</v>
      </c>
    </row>
    <row r="1065" spans="1:52" ht="55.2">
      <c r="A1065" s="3" t="s">
        <v>1109</v>
      </c>
      <c r="B1065">
        <v>2</v>
      </c>
      <c r="J1065">
        <v>10</v>
      </c>
      <c r="AY1065">
        <f t="shared" si="34"/>
        <v>43</v>
      </c>
      <c r="AZ1065">
        <f t="shared" si="35"/>
        <v>3</v>
      </c>
    </row>
    <row r="1066" spans="1:52" ht="55.2">
      <c r="A1066" s="3" t="s">
        <v>1110</v>
      </c>
      <c r="B1066">
        <v>2</v>
      </c>
      <c r="J1066">
        <v>10</v>
      </c>
      <c r="AY1066">
        <f t="shared" si="34"/>
        <v>43</v>
      </c>
      <c r="AZ1066">
        <f t="shared" si="35"/>
        <v>3</v>
      </c>
    </row>
    <row r="1067" spans="1:52" ht="55.2">
      <c r="A1067" s="3" t="s">
        <v>1111</v>
      </c>
      <c r="B1067">
        <v>2</v>
      </c>
      <c r="J1067">
        <v>10</v>
      </c>
      <c r="AY1067">
        <f t="shared" si="34"/>
        <v>43</v>
      </c>
      <c r="AZ1067">
        <f t="shared" si="35"/>
        <v>3</v>
      </c>
    </row>
    <row r="1068" spans="1:52" ht="55.2">
      <c r="A1068" s="3" t="s">
        <v>1112</v>
      </c>
      <c r="B1068">
        <v>2</v>
      </c>
      <c r="J1068">
        <v>10</v>
      </c>
      <c r="AY1068">
        <f t="shared" si="34"/>
        <v>43</v>
      </c>
      <c r="AZ1068">
        <f t="shared" si="35"/>
        <v>3</v>
      </c>
    </row>
    <row r="1069" spans="1:52" ht="55.2">
      <c r="A1069" s="3" t="s">
        <v>1113</v>
      </c>
      <c r="B1069">
        <v>2</v>
      </c>
      <c r="J1069">
        <v>10</v>
      </c>
      <c r="AY1069">
        <f t="shared" si="34"/>
        <v>43</v>
      </c>
      <c r="AZ1069">
        <f t="shared" si="35"/>
        <v>3</v>
      </c>
    </row>
    <row r="1070" spans="1:52" ht="55.2">
      <c r="A1070" s="3" t="s">
        <v>1114</v>
      </c>
      <c r="B1070">
        <v>2</v>
      </c>
      <c r="J1070">
        <v>10</v>
      </c>
      <c r="AY1070">
        <f t="shared" si="34"/>
        <v>43</v>
      </c>
      <c r="AZ1070">
        <f t="shared" si="35"/>
        <v>3</v>
      </c>
    </row>
    <row r="1071" spans="1:52" ht="55.2">
      <c r="A1071" s="3" t="s">
        <v>1115</v>
      </c>
      <c r="B1071">
        <v>2</v>
      </c>
      <c r="J1071">
        <v>10</v>
      </c>
      <c r="AY1071">
        <f t="shared" si="34"/>
        <v>43</v>
      </c>
      <c r="AZ1071">
        <f t="shared" si="35"/>
        <v>3</v>
      </c>
    </row>
    <row r="1072" spans="1:52" ht="55.2">
      <c r="A1072" s="3" t="s">
        <v>1116</v>
      </c>
      <c r="B1072">
        <v>2</v>
      </c>
      <c r="J1072">
        <v>10</v>
      </c>
      <c r="AY1072">
        <f t="shared" si="34"/>
        <v>43</v>
      </c>
      <c r="AZ1072">
        <f t="shared" si="35"/>
        <v>3</v>
      </c>
    </row>
    <row r="1073" spans="1:52" ht="55.2">
      <c r="A1073" s="3" t="s">
        <v>1117</v>
      </c>
      <c r="B1073">
        <v>2</v>
      </c>
      <c r="J1073">
        <v>10</v>
      </c>
      <c r="AY1073">
        <f t="shared" si="34"/>
        <v>43</v>
      </c>
      <c r="AZ1073">
        <f t="shared" si="35"/>
        <v>3</v>
      </c>
    </row>
    <row r="1074" spans="1:52" ht="55.2">
      <c r="A1074" s="3" t="s">
        <v>1118</v>
      </c>
      <c r="B1074">
        <v>2</v>
      </c>
      <c r="J1074">
        <v>10</v>
      </c>
      <c r="AY1074">
        <f t="shared" si="34"/>
        <v>43</v>
      </c>
      <c r="AZ1074">
        <f t="shared" si="35"/>
        <v>3</v>
      </c>
    </row>
    <row r="1075" spans="1:52" ht="55.2">
      <c r="A1075" s="3" t="s">
        <v>1119</v>
      </c>
      <c r="B1075">
        <v>2</v>
      </c>
      <c r="J1075">
        <v>10</v>
      </c>
      <c r="AY1075">
        <f t="shared" si="34"/>
        <v>43</v>
      </c>
      <c r="AZ1075">
        <f t="shared" si="35"/>
        <v>3</v>
      </c>
    </row>
    <row r="1076" spans="1:52" ht="55.2">
      <c r="A1076" s="3" t="s">
        <v>1120</v>
      </c>
      <c r="B1076">
        <v>2</v>
      </c>
      <c r="J1076">
        <v>10</v>
      </c>
      <c r="AY1076">
        <f t="shared" si="34"/>
        <v>43</v>
      </c>
      <c r="AZ1076">
        <f t="shared" si="35"/>
        <v>3</v>
      </c>
    </row>
    <row r="1077" spans="1:52" ht="55.2">
      <c r="A1077" s="3" t="s">
        <v>1121</v>
      </c>
      <c r="B1077">
        <v>2</v>
      </c>
      <c r="J1077">
        <v>10</v>
      </c>
      <c r="AY1077">
        <f t="shared" si="34"/>
        <v>43</v>
      </c>
      <c r="AZ1077">
        <f t="shared" si="35"/>
        <v>3</v>
      </c>
    </row>
    <row r="1078" spans="1:52" ht="55.2">
      <c r="A1078" s="3" t="s">
        <v>1122</v>
      </c>
      <c r="B1078">
        <v>2</v>
      </c>
      <c r="J1078">
        <v>10</v>
      </c>
      <c r="AY1078">
        <f t="shared" si="34"/>
        <v>43</v>
      </c>
      <c r="AZ1078">
        <f t="shared" si="35"/>
        <v>3</v>
      </c>
    </row>
    <row r="1079" spans="1:52" ht="55.2">
      <c r="A1079" s="3" t="s">
        <v>1123</v>
      </c>
      <c r="B1079">
        <v>2</v>
      </c>
      <c r="J1079">
        <v>10</v>
      </c>
      <c r="AY1079">
        <f t="shared" si="34"/>
        <v>43</v>
      </c>
      <c r="AZ1079">
        <f t="shared" si="35"/>
        <v>3</v>
      </c>
    </row>
    <row r="1080" spans="1:52" ht="55.2">
      <c r="A1080" s="3" t="s">
        <v>1124</v>
      </c>
      <c r="B1080">
        <v>2</v>
      </c>
      <c r="J1080">
        <v>10</v>
      </c>
      <c r="AY1080">
        <f t="shared" si="34"/>
        <v>43</v>
      </c>
      <c r="AZ1080">
        <f t="shared" si="35"/>
        <v>3</v>
      </c>
    </row>
    <row r="1081" spans="1:52" ht="55.2">
      <c r="A1081" s="3" t="s">
        <v>1125</v>
      </c>
      <c r="B1081">
        <v>2</v>
      </c>
      <c r="J1081">
        <v>10</v>
      </c>
      <c r="AY1081">
        <f t="shared" si="34"/>
        <v>43</v>
      </c>
      <c r="AZ1081">
        <f t="shared" si="35"/>
        <v>3</v>
      </c>
    </row>
    <row r="1082" spans="1:52" ht="55.2">
      <c r="A1082" s="3" t="s">
        <v>1126</v>
      </c>
      <c r="B1082">
        <v>2</v>
      </c>
      <c r="J1082">
        <v>10</v>
      </c>
      <c r="AY1082">
        <f t="shared" si="34"/>
        <v>43</v>
      </c>
      <c r="AZ1082">
        <f t="shared" si="35"/>
        <v>3</v>
      </c>
    </row>
    <row r="1083" spans="1:52" ht="55.2">
      <c r="A1083" s="3" t="s">
        <v>1127</v>
      </c>
      <c r="B1083">
        <v>2</v>
      </c>
      <c r="J1083">
        <v>10</v>
      </c>
      <c r="AY1083">
        <f t="shared" si="34"/>
        <v>43</v>
      </c>
      <c r="AZ1083">
        <f t="shared" si="35"/>
        <v>3</v>
      </c>
    </row>
    <row r="1084" spans="1:52" ht="55.2">
      <c r="A1084" s="3" t="s">
        <v>1128</v>
      </c>
      <c r="B1084">
        <v>2</v>
      </c>
      <c r="J1084">
        <v>10</v>
      </c>
      <c r="AY1084">
        <f t="shared" si="34"/>
        <v>43</v>
      </c>
      <c r="AZ1084">
        <f t="shared" si="35"/>
        <v>3</v>
      </c>
    </row>
    <row r="1085" spans="1:52" ht="55.2">
      <c r="A1085" s="3" t="s">
        <v>1129</v>
      </c>
      <c r="B1085">
        <v>2</v>
      </c>
      <c r="J1085">
        <v>10</v>
      </c>
      <c r="AY1085">
        <f t="shared" si="34"/>
        <v>43</v>
      </c>
      <c r="AZ1085">
        <f t="shared" si="35"/>
        <v>3</v>
      </c>
    </row>
    <row r="1086" spans="1:52" ht="55.2">
      <c r="A1086" s="3" t="s">
        <v>1130</v>
      </c>
      <c r="B1086">
        <v>2</v>
      </c>
      <c r="J1086">
        <v>10</v>
      </c>
      <c r="AY1086">
        <f t="shared" si="34"/>
        <v>43</v>
      </c>
      <c r="AZ1086">
        <f t="shared" si="35"/>
        <v>3</v>
      </c>
    </row>
    <row r="1087" spans="1:52" ht="55.2">
      <c r="A1087" s="3" t="s">
        <v>1131</v>
      </c>
      <c r="B1087">
        <v>2</v>
      </c>
      <c r="J1087">
        <v>10</v>
      </c>
      <c r="AY1087">
        <f t="shared" si="34"/>
        <v>43</v>
      </c>
      <c r="AZ1087">
        <f t="shared" si="35"/>
        <v>3</v>
      </c>
    </row>
    <row r="1088" spans="1:52" ht="55.2">
      <c r="A1088" s="3" t="s">
        <v>1132</v>
      </c>
      <c r="B1088">
        <v>2</v>
      </c>
      <c r="J1088">
        <v>10</v>
      </c>
      <c r="AY1088">
        <f t="shared" si="34"/>
        <v>43</v>
      </c>
      <c r="AZ1088">
        <f t="shared" si="35"/>
        <v>3</v>
      </c>
    </row>
    <row r="1089" spans="1:52" ht="55.2">
      <c r="A1089" s="3" t="s">
        <v>1133</v>
      </c>
      <c r="B1089">
        <v>2</v>
      </c>
      <c r="J1089">
        <v>10</v>
      </c>
      <c r="AY1089">
        <f t="shared" si="34"/>
        <v>43</v>
      </c>
      <c r="AZ1089">
        <f t="shared" si="35"/>
        <v>3</v>
      </c>
    </row>
    <row r="1090" spans="1:52" ht="55.2">
      <c r="A1090" s="3" t="s">
        <v>1134</v>
      </c>
      <c r="B1090">
        <v>2</v>
      </c>
      <c r="J1090">
        <v>10</v>
      </c>
      <c r="AY1090">
        <f t="shared" si="34"/>
        <v>43</v>
      </c>
      <c r="AZ1090">
        <f t="shared" si="35"/>
        <v>3</v>
      </c>
    </row>
    <row r="1091" spans="1:52" ht="55.2">
      <c r="A1091" s="3" t="s">
        <v>1135</v>
      </c>
      <c r="B1091">
        <v>2</v>
      </c>
      <c r="J1091">
        <v>10</v>
      </c>
      <c r="AY1091">
        <f t="shared" si="34"/>
        <v>43</v>
      </c>
      <c r="AZ1091">
        <f t="shared" si="35"/>
        <v>3</v>
      </c>
    </row>
    <row r="1092" spans="1:52" ht="55.2">
      <c r="A1092" s="3" t="s">
        <v>1136</v>
      </c>
      <c r="B1092">
        <v>2</v>
      </c>
      <c r="J1092">
        <v>10</v>
      </c>
      <c r="AY1092">
        <f t="shared" si="34"/>
        <v>43</v>
      </c>
      <c r="AZ1092">
        <f t="shared" si="35"/>
        <v>3</v>
      </c>
    </row>
    <row r="1093" spans="1:52" ht="55.2">
      <c r="A1093" s="3" t="s">
        <v>1137</v>
      </c>
      <c r="B1093">
        <v>2</v>
      </c>
      <c r="J1093">
        <v>10</v>
      </c>
      <c r="AY1093">
        <f t="shared" si="34"/>
        <v>43</v>
      </c>
      <c r="AZ1093">
        <f t="shared" si="35"/>
        <v>3</v>
      </c>
    </row>
    <row r="1094" spans="1:52" ht="55.2">
      <c r="A1094" s="3" t="s">
        <v>1138</v>
      </c>
      <c r="B1094">
        <v>2</v>
      </c>
      <c r="J1094">
        <v>10</v>
      </c>
      <c r="AY1094">
        <f t="shared" si="34"/>
        <v>43</v>
      </c>
      <c r="AZ1094">
        <f t="shared" si="35"/>
        <v>3</v>
      </c>
    </row>
    <row r="1095" spans="1:52" ht="55.2">
      <c r="A1095" s="3" t="s">
        <v>1139</v>
      </c>
      <c r="B1095">
        <v>2</v>
      </c>
      <c r="J1095">
        <v>10</v>
      </c>
      <c r="AY1095">
        <f t="shared" si="34"/>
        <v>43</v>
      </c>
      <c r="AZ1095">
        <f t="shared" si="35"/>
        <v>3</v>
      </c>
    </row>
    <row r="1096" spans="1:52" ht="55.2">
      <c r="A1096" s="3" t="s">
        <v>1140</v>
      </c>
      <c r="B1096">
        <v>2</v>
      </c>
      <c r="J1096">
        <v>10</v>
      </c>
      <c r="AY1096">
        <f t="shared" si="34"/>
        <v>43</v>
      </c>
      <c r="AZ1096">
        <f t="shared" si="35"/>
        <v>3</v>
      </c>
    </row>
    <row r="1097" spans="1:52" ht="55.2">
      <c r="A1097" s="3" t="s">
        <v>1141</v>
      </c>
      <c r="B1097">
        <v>2</v>
      </c>
      <c r="J1097">
        <v>10</v>
      </c>
      <c r="AY1097">
        <f t="shared" si="34"/>
        <v>43</v>
      </c>
      <c r="AZ1097">
        <f t="shared" si="35"/>
        <v>3</v>
      </c>
    </row>
    <row r="1098" spans="1:52" ht="55.2">
      <c r="A1098" s="3" t="s">
        <v>1142</v>
      </c>
      <c r="B1098">
        <v>2</v>
      </c>
      <c r="J1098">
        <v>10</v>
      </c>
      <c r="AY1098">
        <f t="shared" si="34"/>
        <v>43</v>
      </c>
      <c r="AZ1098">
        <f t="shared" si="35"/>
        <v>3</v>
      </c>
    </row>
    <row r="1099" spans="1:52" ht="55.2">
      <c r="A1099" s="3" t="s">
        <v>1143</v>
      </c>
      <c r="B1099">
        <v>2</v>
      </c>
      <c r="J1099">
        <v>10</v>
      </c>
      <c r="AY1099">
        <f t="shared" si="34"/>
        <v>43</v>
      </c>
      <c r="AZ1099">
        <f t="shared" si="35"/>
        <v>3</v>
      </c>
    </row>
    <row r="1100" spans="1:52" ht="55.2">
      <c r="A1100" s="3" t="s">
        <v>1144</v>
      </c>
      <c r="B1100">
        <v>2</v>
      </c>
      <c r="J1100">
        <v>10</v>
      </c>
      <c r="AY1100">
        <f t="shared" si="34"/>
        <v>43</v>
      </c>
      <c r="AZ1100">
        <f t="shared" si="35"/>
        <v>3</v>
      </c>
    </row>
    <row r="1101" spans="1:52" ht="55.2">
      <c r="A1101" s="3" t="s">
        <v>1145</v>
      </c>
      <c r="B1101">
        <v>2</v>
      </c>
      <c r="J1101">
        <v>10</v>
      </c>
      <c r="AY1101">
        <f t="shared" si="34"/>
        <v>43</v>
      </c>
      <c r="AZ1101">
        <f t="shared" si="35"/>
        <v>3</v>
      </c>
    </row>
    <row r="1102" spans="1:52" ht="55.2">
      <c r="A1102" s="3" t="s">
        <v>1146</v>
      </c>
      <c r="B1102">
        <v>2</v>
      </c>
      <c r="J1102">
        <v>10</v>
      </c>
      <c r="AY1102">
        <f t="shared" si="34"/>
        <v>43</v>
      </c>
      <c r="AZ1102">
        <f t="shared" si="35"/>
        <v>3</v>
      </c>
    </row>
    <row r="1103" spans="1:52" ht="55.2">
      <c r="A1103" s="3" t="s">
        <v>1147</v>
      </c>
      <c r="B1103">
        <v>2</v>
      </c>
      <c r="J1103">
        <v>10</v>
      </c>
      <c r="AY1103">
        <f t="shared" si="34"/>
        <v>43</v>
      </c>
      <c r="AZ1103">
        <f t="shared" si="35"/>
        <v>3</v>
      </c>
    </row>
    <row r="1104" spans="1:52" ht="55.2">
      <c r="A1104" s="3" t="s">
        <v>1148</v>
      </c>
      <c r="B1104">
        <v>2</v>
      </c>
      <c r="J1104">
        <v>10</v>
      </c>
      <c r="AY1104">
        <f t="shared" si="34"/>
        <v>43</v>
      </c>
      <c r="AZ1104">
        <f t="shared" si="35"/>
        <v>3</v>
      </c>
    </row>
    <row r="1105" spans="1:52" ht="55.2">
      <c r="A1105" s="3" t="s">
        <v>1149</v>
      </c>
      <c r="B1105">
        <v>2</v>
      </c>
      <c r="J1105">
        <v>10</v>
      </c>
      <c r="AY1105">
        <f t="shared" si="34"/>
        <v>43</v>
      </c>
      <c r="AZ1105">
        <f t="shared" si="35"/>
        <v>3</v>
      </c>
    </row>
    <row r="1106" spans="1:52" ht="55.2">
      <c r="A1106" s="3" t="s">
        <v>1150</v>
      </c>
      <c r="B1106">
        <v>2</v>
      </c>
      <c r="J1106">
        <v>10</v>
      </c>
      <c r="AY1106">
        <f t="shared" si="34"/>
        <v>43</v>
      </c>
      <c r="AZ1106">
        <f t="shared" si="35"/>
        <v>3</v>
      </c>
    </row>
    <row r="1107" spans="1:52" ht="55.2">
      <c r="A1107" s="3" t="s">
        <v>1151</v>
      </c>
      <c r="B1107">
        <v>2</v>
      </c>
      <c r="J1107">
        <v>10</v>
      </c>
      <c r="AY1107">
        <f t="shared" si="34"/>
        <v>43</v>
      </c>
      <c r="AZ1107">
        <f t="shared" si="35"/>
        <v>3</v>
      </c>
    </row>
    <row r="1108" spans="1:52" ht="55.2">
      <c r="A1108" s="3" t="s">
        <v>1152</v>
      </c>
      <c r="B1108">
        <v>2</v>
      </c>
      <c r="J1108">
        <v>10</v>
      </c>
      <c r="AY1108">
        <f t="shared" si="34"/>
        <v>43</v>
      </c>
      <c r="AZ1108">
        <f t="shared" si="35"/>
        <v>3</v>
      </c>
    </row>
    <row r="1109" spans="1:52" ht="55.2">
      <c r="A1109" s="3" t="s">
        <v>1153</v>
      </c>
      <c r="B1109">
        <v>2</v>
      </c>
      <c r="J1109">
        <v>10</v>
      </c>
      <c r="AY1109">
        <f t="shared" si="34"/>
        <v>43</v>
      </c>
      <c r="AZ1109">
        <f t="shared" si="35"/>
        <v>3</v>
      </c>
    </row>
    <row r="1110" spans="1:52" ht="55.2">
      <c r="A1110" s="3" t="s">
        <v>1154</v>
      </c>
      <c r="B1110">
        <v>2</v>
      </c>
      <c r="J1110">
        <v>10</v>
      </c>
      <c r="AY1110">
        <f t="shared" si="34"/>
        <v>43</v>
      </c>
      <c r="AZ1110">
        <f t="shared" si="35"/>
        <v>3</v>
      </c>
    </row>
    <row r="1111" spans="1:52" ht="55.2">
      <c r="A1111" s="3" t="s">
        <v>1155</v>
      </c>
      <c r="B1111">
        <v>2</v>
      </c>
      <c r="J1111">
        <v>10</v>
      </c>
      <c r="AY1111">
        <f t="shared" si="34"/>
        <v>43</v>
      </c>
      <c r="AZ1111">
        <f t="shared" si="35"/>
        <v>3</v>
      </c>
    </row>
    <row r="1112" spans="1:52" ht="55.2">
      <c r="A1112" s="3" t="s">
        <v>1156</v>
      </c>
      <c r="B1112">
        <v>2</v>
      </c>
      <c r="J1112">
        <v>10</v>
      </c>
      <c r="AY1112">
        <f t="shared" si="34"/>
        <v>43</v>
      </c>
      <c r="AZ1112">
        <f t="shared" si="35"/>
        <v>3</v>
      </c>
    </row>
    <row r="1113" spans="1:52" ht="55.2">
      <c r="A1113" s="3" t="s">
        <v>1157</v>
      </c>
      <c r="B1113">
        <v>2</v>
      </c>
      <c r="J1113">
        <v>10</v>
      </c>
      <c r="AY1113">
        <f t="shared" si="34"/>
        <v>43</v>
      </c>
      <c r="AZ1113">
        <f t="shared" si="35"/>
        <v>3</v>
      </c>
    </row>
    <row r="1114" spans="1:52" ht="55.2">
      <c r="A1114" s="3" t="s">
        <v>1158</v>
      </c>
      <c r="B1114">
        <v>2</v>
      </c>
      <c r="J1114">
        <v>10</v>
      </c>
      <c r="AY1114">
        <f t="shared" si="34"/>
        <v>43</v>
      </c>
      <c r="AZ1114">
        <f t="shared" si="35"/>
        <v>3</v>
      </c>
    </row>
    <row r="1115" spans="1:52" ht="55.2">
      <c r="A1115" s="3" t="s">
        <v>1159</v>
      </c>
      <c r="B1115">
        <v>2</v>
      </c>
      <c r="J1115">
        <v>10</v>
      </c>
      <c r="AY1115">
        <f t="shared" si="34"/>
        <v>43</v>
      </c>
      <c r="AZ1115">
        <f t="shared" si="35"/>
        <v>3</v>
      </c>
    </row>
    <row r="1116" spans="1:52" ht="55.2">
      <c r="A1116" s="3" t="s">
        <v>1160</v>
      </c>
      <c r="B1116">
        <v>2</v>
      </c>
      <c r="J1116">
        <v>10</v>
      </c>
      <c r="AY1116">
        <f t="shared" si="34"/>
        <v>43</v>
      </c>
      <c r="AZ1116">
        <f t="shared" si="35"/>
        <v>3</v>
      </c>
    </row>
    <row r="1117" spans="1:52" ht="55.2">
      <c r="A1117" s="3" t="s">
        <v>1161</v>
      </c>
      <c r="B1117">
        <v>2</v>
      </c>
      <c r="J1117">
        <v>10</v>
      </c>
      <c r="AY1117">
        <f t="shared" si="34"/>
        <v>43</v>
      </c>
      <c r="AZ1117">
        <f t="shared" si="35"/>
        <v>3</v>
      </c>
    </row>
    <row r="1118" spans="1:52" ht="55.2">
      <c r="A1118" s="3" t="s">
        <v>1162</v>
      </c>
      <c r="B1118">
        <v>2</v>
      </c>
      <c r="J1118">
        <v>10</v>
      </c>
      <c r="AY1118">
        <f t="shared" si="34"/>
        <v>43</v>
      </c>
      <c r="AZ1118">
        <f t="shared" si="35"/>
        <v>3</v>
      </c>
    </row>
    <row r="1119" spans="1:52" ht="55.2">
      <c r="A1119" s="3" t="s">
        <v>1163</v>
      </c>
      <c r="B1119">
        <v>2</v>
      </c>
      <c r="J1119">
        <v>10</v>
      </c>
      <c r="AY1119">
        <f t="shared" si="34"/>
        <v>43</v>
      </c>
      <c r="AZ1119">
        <f t="shared" si="35"/>
        <v>3</v>
      </c>
    </row>
    <row r="1120" spans="1:52" ht="55.2">
      <c r="A1120" s="3" t="s">
        <v>1164</v>
      </c>
      <c r="B1120">
        <v>2</v>
      </c>
      <c r="J1120">
        <v>10</v>
      </c>
      <c r="AY1120">
        <f t="shared" si="34"/>
        <v>43</v>
      </c>
      <c r="AZ1120">
        <f t="shared" si="35"/>
        <v>3</v>
      </c>
    </row>
    <row r="1121" spans="1:52" ht="55.2">
      <c r="A1121" s="3" t="s">
        <v>1165</v>
      </c>
      <c r="B1121">
        <v>2</v>
      </c>
      <c r="J1121">
        <v>10</v>
      </c>
      <c r="AY1121">
        <f t="shared" ref="AY1121:AY1184" si="36">COUNTBLANK(F1121:AW1121)</f>
        <v>43</v>
      </c>
      <c r="AZ1121">
        <f t="shared" ref="AZ1121:AZ1184" si="37">COUNTBLANK(B1121:E1121)</f>
        <v>3</v>
      </c>
    </row>
    <row r="1122" spans="1:52" ht="55.2">
      <c r="A1122" s="3" t="s">
        <v>1166</v>
      </c>
      <c r="B1122">
        <v>2</v>
      </c>
      <c r="J1122">
        <v>10</v>
      </c>
      <c r="AY1122">
        <f t="shared" si="36"/>
        <v>43</v>
      </c>
      <c r="AZ1122">
        <f t="shared" si="37"/>
        <v>3</v>
      </c>
    </row>
    <row r="1123" spans="1:52" ht="55.2">
      <c r="A1123" s="3" t="s">
        <v>1167</v>
      </c>
      <c r="B1123">
        <v>2</v>
      </c>
      <c r="J1123">
        <v>10</v>
      </c>
      <c r="AY1123">
        <f t="shared" si="36"/>
        <v>43</v>
      </c>
      <c r="AZ1123">
        <f t="shared" si="37"/>
        <v>3</v>
      </c>
    </row>
    <row r="1124" spans="1:52" ht="55.2">
      <c r="A1124" s="3" t="s">
        <v>1168</v>
      </c>
      <c r="B1124">
        <v>2</v>
      </c>
      <c r="J1124">
        <v>10</v>
      </c>
      <c r="AY1124">
        <f t="shared" si="36"/>
        <v>43</v>
      </c>
      <c r="AZ1124">
        <f t="shared" si="37"/>
        <v>3</v>
      </c>
    </row>
    <row r="1125" spans="1:52" ht="55.2">
      <c r="A1125" s="3" t="s">
        <v>1169</v>
      </c>
      <c r="B1125">
        <v>2</v>
      </c>
      <c r="J1125">
        <v>10</v>
      </c>
      <c r="AY1125">
        <f t="shared" si="36"/>
        <v>43</v>
      </c>
      <c r="AZ1125">
        <f t="shared" si="37"/>
        <v>3</v>
      </c>
    </row>
    <row r="1126" spans="1:52" ht="55.2">
      <c r="A1126" s="3" t="s">
        <v>1170</v>
      </c>
      <c r="B1126">
        <v>2</v>
      </c>
      <c r="J1126">
        <v>10</v>
      </c>
      <c r="AY1126">
        <f t="shared" si="36"/>
        <v>43</v>
      </c>
      <c r="AZ1126">
        <f t="shared" si="37"/>
        <v>3</v>
      </c>
    </row>
    <row r="1127" spans="1:52" ht="55.2">
      <c r="A1127" s="3" t="s">
        <v>1171</v>
      </c>
      <c r="B1127">
        <v>2</v>
      </c>
      <c r="J1127">
        <v>10</v>
      </c>
      <c r="AY1127">
        <f t="shared" si="36"/>
        <v>43</v>
      </c>
      <c r="AZ1127">
        <f t="shared" si="37"/>
        <v>3</v>
      </c>
    </row>
    <row r="1128" spans="1:52" ht="55.2">
      <c r="A1128" s="3" t="s">
        <v>1172</v>
      </c>
      <c r="B1128">
        <v>2</v>
      </c>
      <c r="J1128">
        <v>10</v>
      </c>
      <c r="AY1128">
        <f t="shared" si="36"/>
        <v>43</v>
      </c>
      <c r="AZ1128">
        <f t="shared" si="37"/>
        <v>3</v>
      </c>
    </row>
    <row r="1129" spans="1:52" ht="55.2">
      <c r="A1129" s="3" t="s">
        <v>1173</v>
      </c>
      <c r="B1129">
        <v>2</v>
      </c>
      <c r="J1129">
        <v>10</v>
      </c>
      <c r="AY1129">
        <f t="shared" si="36"/>
        <v>43</v>
      </c>
      <c r="AZ1129">
        <f t="shared" si="37"/>
        <v>3</v>
      </c>
    </row>
    <row r="1130" spans="1:52" ht="55.2">
      <c r="A1130" s="3" t="s">
        <v>1174</v>
      </c>
      <c r="B1130">
        <v>2</v>
      </c>
      <c r="J1130">
        <v>10</v>
      </c>
      <c r="AY1130">
        <f t="shared" si="36"/>
        <v>43</v>
      </c>
      <c r="AZ1130">
        <f t="shared" si="37"/>
        <v>3</v>
      </c>
    </row>
    <row r="1131" spans="1:52" ht="55.2">
      <c r="A1131" s="3" t="s">
        <v>1175</v>
      </c>
      <c r="B1131">
        <v>2</v>
      </c>
      <c r="J1131">
        <v>10</v>
      </c>
      <c r="AY1131">
        <f t="shared" si="36"/>
        <v>43</v>
      </c>
      <c r="AZ1131">
        <f t="shared" si="37"/>
        <v>3</v>
      </c>
    </row>
    <row r="1132" spans="1:52" ht="55.2">
      <c r="A1132" s="3" t="s">
        <v>1176</v>
      </c>
      <c r="B1132">
        <v>2</v>
      </c>
      <c r="J1132">
        <v>10</v>
      </c>
      <c r="AY1132">
        <f t="shared" si="36"/>
        <v>43</v>
      </c>
      <c r="AZ1132">
        <f t="shared" si="37"/>
        <v>3</v>
      </c>
    </row>
    <row r="1133" spans="1:52" ht="55.2">
      <c r="A1133" s="3" t="s">
        <v>1177</v>
      </c>
      <c r="B1133">
        <v>2</v>
      </c>
      <c r="E1133">
        <v>2</v>
      </c>
      <c r="J1133">
        <v>10</v>
      </c>
      <c r="AY1133">
        <f t="shared" si="36"/>
        <v>43</v>
      </c>
      <c r="AZ1133">
        <f t="shared" si="37"/>
        <v>2</v>
      </c>
    </row>
    <row r="1134" spans="1:52" ht="55.2">
      <c r="A1134" s="3" t="s">
        <v>1178</v>
      </c>
      <c r="B1134">
        <v>2</v>
      </c>
      <c r="E1134">
        <v>2</v>
      </c>
      <c r="J1134">
        <v>10</v>
      </c>
      <c r="AY1134">
        <f t="shared" si="36"/>
        <v>43</v>
      </c>
      <c r="AZ1134">
        <f t="shared" si="37"/>
        <v>2</v>
      </c>
    </row>
    <row r="1135" spans="1:52" ht="55.2">
      <c r="A1135" s="3" t="s">
        <v>1179</v>
      </c>
      <c r="B1135">
        <v>2</v>
      </c>
      <c r="E1135">
        <v>2</v>
      </c>
      <c r="J1135">
        <v>10</v>
      </c>
      <c r="AY1135">
        <f t="shared" si="36"/>
        <v>43</v>
      </c>
      <c r="AZ1135">
        <f t="shared" si="37"/>
        <v>2</v>
      </c>
    </row>
    <row r="1136" spans="1:52" ht="55.2">
      <c r="A1136" s="3" t="s">
        <v>1180</v>
      </c>
      <c r="B1136">
        <v>2</v>
      </c>
      <c r="E1136">
        <v>2</v>
      </c>
      <c r="J1136">
        <v>10</v>
      </c>
      <c r="AY1136">
        <f t="shared" si="36"/>
        <v>43</v>
      </c>
      <c r="AZ1136">
        <f t="shared" si="37"/>
        <v>2</v>
      </c>
    </row>
    <row r="1137" spans="1:52" ht="55.2">
      <c r="A1137" s="3" t="s">
        <v>1181</v>
      </c>
      <c r="B1137">
        <v>2</v>
      </c>
      <c r="E1137">
        <v>2</v>
      </c>
      <c r="J1137">
        <v>10</v>
      </c>
      <c r="AY1137">
        <f t="shared" si="36"/>
        <v>43</v>
      </c>
      <c r="AZ1137">
        <f t="shared" si="37"/>
        <v>2</v>
      </c>
    </row>
    <row r="1138" spans="1:52" ht="55.2">
      <c r="A1138" s="3" t="s">
        <v>1182</v>
      </c>
      <c r="B1138">
        <v>2</v>
      </c>
      <c r="E1138">
        <v>2</v>
      </c>
      <c r="J1138">
        <v>10</v>
      </c>
      <c r="AY1138">
        <f t="shared" si="36"/>
        <v>43</v>
      </c>
      <c r="AZ1138">
        <f t="shared" si="37"/>
        <v>2</v>
      </c>
    </row>
    <row r="1139" spans="1:52" ht="55.2">
      <c r="A1139" s="3" t="s">
        <v>1183</v>
      </c>
      <c r="B1139">
        <v>2</v>
      </c>
      <c r="E1139">
        <v>2</v>
      </c>
      <c r="J1139">
        <v>10</v>
      </c>
      <c r="AY1139">
        <f t="shared" si="36"/>
        <v>43</v>
      </c>
      <c r="AZ1139">
        <f t="shared" si="37"/>
        <v>2</v>
      </c>
    </row>
    <row r="1140" spans="1:52" ht="55.2">
      <c r="A1140" s="3" t="s">
        <v>1184</v>
      </c>
      <c r="B1140">
        <v>2</v>
      </c>
      <c r="E1140">
        <v>2</v>
      </c>
      <c r="J1140">
        <v>10</v>
      </c>
      <c r="AY1140">
        <f t="shared" si="36"/>
        <v>43</v>
      </c>
      <c r="AZ1140">
        <f t="shared" si="37"/>
        <v>2</v>
      </c>
    </row>
    <row r="1141" spans="1:52" ht="55.2">
      <c r="A1141" s="3" t="s">
        <v>1185</v>
      </c>
      <c r="B1141">
        <v>2</v>
      </c>
      <c r="E1141">
        <v>2</v>
      </c>
      <c r="J1141">
        <v>10</v>
      </c>
      <c r="AY1141">
        <f t="shared" si="36"/>
        <v>43</v>
      </c>
      <c r="AZ1141">
        <f t="shared" si="37"/>
        <v>2</v>
      </c>
    </row>
    <row r="1142" spans="1:52" ht="55.2">
      <c r="A1142" s="3" t="s">
        <v>1186</v>
      </c>
      <c r="B1142">
        <v>2</v>
      </c>
      <c r="E1142">
        <v>2</v>
      </c>
      <c r="J1142">
        <v>10</v>
      </c>
      <c r="AY1142">
        <f t="shared" si="36"/>
        <v>43</v>
      </c>
      <c r="AZ1142">
        <f t="shared" si="37"/>
        <v>2</v>
      </c>
    </row>
    <row r="1143" spans="1:52" ht="55.2">
      <c r="A1143" s="3" t="s">
        <v>1187</v>
      </c>
      <c r="B1143">
        <v>2</v>
      </c>
      <c r="E1143">
        <v>2</v>
      </c>
      <c r="J1143">
        <v>10</v>
      </c>
      <c r="AY1143">
        <f t="shared" si="36"/>
        <v>43</v>
      </c>
      <c r="AZ1143">
        <f t="shared" si="37"/>
        <v>2</v>
      </c>
    </row>
    <row r="1144" spans="1:52" ht="55.2">
      <c r="A1144" s="3" t="s">
        <v>1188</v>
      </c>
      <c r="B1144">
        <v>2</v>
      </c>
      <c r="E1144">
        <v>2</v>
      </c>
      <c r="J1144">
        <v>10</v>
      </c>
      <c r="AY1144">
        <f t="shared" si="36"/>
        <v>43</v>
      </c>
      <c r="AZ1144">
        <f t="shared" si="37"/>
        <v>2</v>
      </c>
    </row>
    <row r="1145" spans="1:52" ht="55.2">
      <c r="A1145" s="3" t="s">
        <v>1189</v>
      </c>
      <c r="B1145">
        <v>2</v>
      </c>
      <c r="E1145">
        <v>2</v>
      </c>
      <c r="J1145">
        <v>10</v>
      </c>
      <c r="AY1145">
        <f t="shared" si="36"/>
        <v>43</v>
      </c>
      <c r="AZ1145">
        <f t="shared" si="37"/>
        <v>2</v>
      </c>
    </row>
    <row r="1146" spans="1:52" ht="55.2">
      <c r="A1146" s="3" t="s">
        <v>1190</v>
      </c>
      <c r="B1146">
        <v>2</v>
      </c>
      <c r="E1146">
        <v>2</v>
      </c>
      <c r="J1146">
        <v>10</v>
      </c>
      <c r="AY1146">
        <f t="shared" si="36"/>
        <v>43</v>
      </c>
      <c r="AZ1146">
        <f t="shared" si="37"/>
        <v>2</v>
      </c>
    </row>
    <row r="1147" spans="1:52" ht="55.2">
      <c r="A1147" s="3" t="s">
        <v>1191</v>
      </c>
      <c r="B1147">
        <v>2</v>
      </c>
      <c r="E1147">
        <v>2</v>
      </c>
      <c r="J1147">
        <v>10</v>
      </c>
      <c r="AY1147">
        <f t="shared" si="36"/>
        <v>43</v>
      </c>
      <c r="AZ1147">
        <f t="shared" si="37"/>
        <v>2</v>
      </c>
    </row>
    <row r="1148" spans="1:52" ht="55.2">
      <c r="A1148" s="3" t="s">
        <v>1192</v>
      </c>
      <c r="B1148">
        <v>2</v>
      </c>
      <c r="E1148">
        <v>2</v>
      </c>
      <c r="J1148">
        <v>10</v>
      </c>
      <c r="AY1148">
        <f t="shared" si="36"/>
        <v>43</v>
      </c>
      <c r="AZ1148">
        <f t="shared" si="37"/>
        <v>2</v>
      </c>
    </row>
    <row r="1149" spans="1:52" ht="55.2">
      <c r="A1149" s="3" t="s">
        <v>1193</v>
      </c>
      <c r="B1149">
        <v>2</v>
      </c>
      <c r="E1149">
        <v>2</v>
      </c>
      <c r="J1149">
        <v>10</v>
      </c>
      <c r="AY1149">
        <f t="shared" si="36"/>
        <v>43</v>
      </c>
      <c r="AZ1149">
        <f t="shared" si="37"/>
        <v>2</v>
      </c>
    </row>
    <row r="1150" spans="1:52" ht="55.2">
      <c r="A1150" s="3" t="s">
        <v>1194</v>
      </c>
      <c r="B1150">
        <v>2</v>
      </c>
      <c r="E1150">
        <v>2</v>
      </c>
      <c r="J1150">
        <v>10</v>
      </c>
      <c r="AY1150">
        <f t="shared" si="36"/>
        <v>43</v>
      </c>
      <c r="AZ1150">
        <f t="shared" si="37"/>
        <v>2</v>
      </c>
    </row>
    <row r="1151" spans="1:52" ht="55.2">
      <c r="A1151" s="3" t="s">
        <v>1195</v>
      </c>
      <c r="B1151">
        <v>2</v>
      </c>
      <c r="E1151">
        <v>2</v>
      </c>
      <c r="J1151">
        <v>10</v>
      </c>
      <c r="AY1151">
        <f t="shared" si="36"/>
        <v>43</v>
      </c>
      <c r="AZ1151">
        <f t="shared" si="37"/>
        <v>2</v>
      </c>
    </row>
    <row r="1152" spans="1:52" ht="55.2">
      <c r="A1152" s="3" t="s">
        <v>1196</v>
      </c>
      <c r="B1152">
        <v>2</v>
      </c>
      <c r="E1152">
        <v>2</v>
      </c>
      <c r="AT1152">
        <v>4</v>
      </c>
      <c r="AY1152">
        <f t="shared" si="36"/>
        <v>43</v>
      </c>
      <c r="AZ1152">
        <f t="shared" si="37"/>
        <v>2</v>
      </c>
    </row>
    <row r="1153" spans="1:52" ht="55.2">
      <c r="A1153" s="3" t="s">
        <v>1197</v>
      </c>
      <c r="B1153">
        <v>2</v>
      </c>
      <c r="E1153">
        <v>2</v>
      </c>
      <c r="AT1153">
        <v>4</v>
      </c>
      <c r="AY1153">
        <f t="shared" si="36"/>
        <v>43</v>
      </c>
      <c r="AZ1153">
        <f t="shared" si="37"/>
        <v>2</v>
      </c>
    </row>
    <row r="1154" spans="1:52" ht="55.2">
      <c r="A1154" s="3" t="s">
        <v>1198</v>
      </c>
      <c r="B1154">
        <v>2</v>
      </c>
      <c r="E1154">
        <v>2</v>
      </c>
      <c r="AT1154">
        <v>4</v>
      </c>
      <c r="AY1154">
        <f t="shared" si="36"/>
        <v>43</v>
      </c>
      <c r="AZ1154">
        <f t="shared" si="37"/>
        <v>2</v>
      </c>
    </row>
    <row r="1155" spans="1:52" ht="55.2">
      <c r="A1155" s="3" t="s">
        <v>1199</v>
      </c>
      <c r="B1155">
        <v>2</v>
      </c>
      <c r="E1155">
        <v>2</v>
      </c>
      <c r="AT1155">
        <v>4</v>
      </c>
      <c r="AY1155">
        <f t="shared" si="36"/>
        <v>43</v>
      </c>
      <c r="AZ1155">
        <f t="shared" si="37"/>
        <v>2</v>
      </c>
    </row>
    <row r="1156" spans="1:52" ht="55.2">
      <c r="A1156" s="3" t="s">
        <v>1200</v>
      </c>
      <c r="B1156">
        <v>2</v>
      </c>
      <c r="E1156">
        <v>2</v>
      </c>
      <c r="AT1156">
        <v>4</v>
      </c>
      <c r="AY1156">
        <f t="shared" si="36"/>
        <v>43</v>
      </c>
      <c r="AZ1156">
        <f t="shared" si="37"/>
        <v>2</v>
      </c>
    </row>
    <row r="1157" spans="1:52" ht="55.2">
      <c r="A1157" s="3" t="s">
        <v>1201</v>
      </c>
      <c r="B1157">
        <v>2</v>
      </c>
      <c r="E1157">
        <v>2</v>
      </c>
      <c r="AT1157">
        <v>4</v>
      </c>
      <c r="AY1157">
        <f t="shared" si="36"/>
        <v>43</v>
      </c>
      <c r="AZ1157">
        <f t="shared" si="37"/>
        <v>2</v>
      </c>
    </row>
    <row r="1158" spans="1:52" ht="55.2">
      <c r="A1158" s="3" t="s">
        <v>1202</v>
      </c>
      <c r="B1158">
        <v>2</v>
      </c>
      <c r="E1158">
        <v>2</v>
      </c>
      <c r="AT1158">
        <v>4</v>
      </c>
      <c r="AY1158">
        <f t="shared" si="36"/>
        <v>43</v>
      </c>
      <c r="AZ1158">
        <f t="shared" si="37"/>
        <v>2</v>
      </c>
    </row>
    <row r="1159" spans="1:52" ht="55.2">
      <c r="A1159" s="3" t="s">
        <v>1203</v>
      </c>
      <c r="B1159">
        <v>2</v>
      </c>
      <c r="E1159">
        <v>2</v>
      </c>
      <c r="AT1159">
        <v>4</v>
      </c>
      <c r="AY1159">
        <f t="shared" si="36"/>
        <v>43</v>
      </c>
      <c r="AZ1159">
        <f t="shared" si="37"/>
        <v>2</v>
      </c>
    </row>
    <row r="1160" spans="1:52" ht="55.2">
      <c r="A1160" s="3" t="s">
        <v>1204</v>
      </c>
      <c r="B1160">
        <v>2</v>
      </c>
      <c r="E1160">
        <v>2</v>
      </c>
      <c r="AT1160">
        <v>4</v>
      </c>
      <c r="AY1160">
        <f t="shared" si="36"/>
        <v>43</v>
      </c>
      <c r="AZ1160">
        <f t="shared" si="37"/>
        <v>2</v>
      </c>
    </row>
    <row r="1161" spans="1:52" ht="55.2">
      <c r="A1161" s="3" t="s">
        <v>1205</v>
      </c>
      <c r="B1161">
        <v>2</v>
      </c>
      <c r="E1161">
        <v>2</v>
      </c>
      <c r="AT1161">
        <v>4</v>
      </c>
      <c r="AY1161">
        <f t="shared" si="36"/>
        <v>43</v>
      </c>
      <c r="AZ1161">
        <f t="shared" si="37"/>
        <v>2</v>
      </c>
    </row>
    <row r="1162" spans="1:52" ht="55.2">
      <c r="A1162" s="3" t="s">
        <v>1206</v>
      </c>
      <c r="B1162">
        <v>2</v>
      </c>
      <c r="E1162">
        <v>2</v>
      </c>
      <c r="AT1162">
        <v>4</v>
      </c>
      <c r="AY1162">
        <f t="shared" si="36"/>
        <v>43</v>
      </c>
      <c r="AZ1162">
        <f t="shared" si="37"/>
        <v>2</v>
      </c>
    </row>
    <row r="1163" spans="1:52" ht="55.2">
      <c r="A1163" s="3" t="s">
        <v>1207</v>
      </c>
      <c r="B1163">
        <v>2</v>
      </c>
      <c r="E1163">
        <v>2</v>
      </c>
      <c r="AT1163">
        <v>4</v>
      </c>
      <c r="AY1163">
        <f t="shared" si="36"/>
        <v>43</v>
      </c>
      <c r="AZ1163">
        <f t="shared" si="37"/>
        <v>2</v>
      </c>
    </row>
    <row r="1164" spans="1:52" ht="55.2">
      <c r="A1164" s="3" t="s">
        <v>1208</v>
      </c>
      <c r="B1164">
        <v>2</v>
      </c>
      <c r="E1164">
        <v>2</v>
      </c>
      <c r="AT1164">
        <v>4</v>
      </c>
      <c r="AY1164">
        <f t="shared" si="36"/>
        <v>43</v>
      </c>
      <c r="AZ1164">
        <f t="shared" si="37"/>
        <v>2</v>
      </c>
    </row>
    <row r="1165" spans="1:52" ht="55.2">
      <c r="A1165" s="3" t="s">
        <v>1209</v>
      </c>
      <c r="B1165">
        <v>2</v>
      </c>
      <c r="E1165">
        <v>2</v>
      </c>
      <c r="AT1165">
        <v>4</v>
      </c>
      <c r="AY1165">
        <f t="shared" si="36"/>
        <v>43</v>
      </c>
      <c r="AZ1165">
        <f t="shared" si="37"/>
        <v>2</v>
      </c>
    </row>
    <row r="1166" spans="1:52" ht="55.2">
      <c r="A1166" s="3" t="s">
        <v>1210</v>
      </c>
      <c r="B1166">
        <v>2</v>
      </c>
      <c r="E1166">
        <v>2</v>
      </c>
      <c r="AT1166">
        <v>4</v>
      </c>
      <c r="AY1166">
        <f t="shared" si="36"/>
        <v>43</v>
      </c>
      <c r="AZ1166">
        <f t="shared" si="37"/>
        <v>2</v>
      </c>
    </row>
    <row r="1167" spans="1:52" ht="55.2">
      <c r="A1167" s="3" t="s">
        <v>1211</v>
      </c>
      <c r="B1167">
        <v>2</v>
      </c>
      <c r="E1167">
        <v>2</v>
      </c>
      <c r="AT1167">
        <v>4</v>
      </c>
      <c r="AY1167">
        <f t="shared" si="36"/>
        <v>43</v>
      </c>
      <c r="AZ1167">
        <f t="shared" si="37"/>
        <v>2</v>
      </c>
    </row>
    <row r="1168" spans="1:52" ht="55.2">
      <c r="A1168" s="3" t="s">
        <v>1212</v>
      </c>
      <c r="B1168">
        <v>2</v>
      </c>
      <c r="E1168">
        <v>2</v>
      </c>
      <c r="AT1168">
        <v>4</v>
      </c>
      <c r="AY1168">
        <f t="shared" si="36"/>
        <v>43</v>
      </c>
      <c r="AZ1168">
        <f t="shared" si="37"/>
        <v>2</v>
      </c>
    </row>
    <row r="1169" spans="1:52" ht="55.2">
      <c r="A1169" s="3" t="s">
        <v>1213</v>
      </c>
      <c r="B1169">
        <v>2</v>
      </c>
      <c r="E1169">
        <v>2</v>
      </c>
      <c r="AT1169">
        <v>4</v>
      </c>
      <c r="AY1169">
        <f t="shared" si="36"/>
        <v>43</v>
      </c>
      <c r="AZ1169">
        <f t="shared" si="37"/>
        <v>2</v>
      </c>
    </row>
    <row r="1170" spans="1:52" ht="55.2">
      <c r="A1170" s="3" t="s">
        <v>1214</v>
      </c>
      <c r="B1170">
        <v>2</v>
      </c>
      <c r="E1170">
        <v>2</v>
      </c>
      <c r="AT1170">
        <v>4</v>
      </c>
      <c r="AY1170">
        <f t="shared" si="36"/>
        <v>43</v>
      </c>
      <c r="AZ1170">
        <f t="shared" si="37"/>
        <v>2</v>
      </c>
    </row>
    <row r="1171" spans="1:52" ht="55.2">
      <c r="A1171" s="3" t="s">
        <v>1215</v>
      </c>
      <c r="B1171">
        <v>2</v>
      </c>
      <c r="E1171">
        <v>2</v>
      </c>
      <c r="AT1171">
        <v>4</v>
      </c>
      <c r="AY1171">
        <f t="shared" si="36"/>
        <v>43</v>
      </c>
      <c r="AZ1171">
        <f t="shared" si="37"/>
        <v>2</v>
      </c>
    </row>
    <row r="1172" spans="1:52" ht="55.2">
      <c r="A1172" s="3" t="s">
        <v>1216</v>
      </c>
      <c r="B1172">
        <v>2</v>
      </c>
      <c r="E1172">
        <v>2</v>
      </c>
      <c r="AT1172">
        <v>4</v>
      </c>
      <c r="AY1172">
        <f t="shared" si="36"/>
        <v>43</v>
      </c>
      <c r="AZ1172">
        <f t="shared" si="37"/>
        <v>2</v>
      </c>
    </row>
    <row r="1173" spans="1:52" ht="55.2">
      <c r="A1173" s="3" t="s">
        <v>1217</v>
      </c>
      <c r="B1173">
        <v>2</v>
      </c>
      <c r="E1173">
        <v>2</v>
      </c>
      <c r="AT1173">
        <v>4</v>
      </c>
      <c r="AY1173">
        <f t="shared" si="36"/>
        <v>43</v>
      </c>
      <c r="AZ1173">
        <f t="shared" si="37"/>
        <v>2</v>
      </c>
    </row>
    <row r="1174" spans="1:52" ht="55.2">
      <c r="A1174" s="3" t="s">
        <v>1218</v>
      </c>
      <c r="B1174">
        <v>2</v>
      </c>
      <c r="E1174">
        <v>2</v>
      </c>
      <c r="AT1174">
        <v>4</v>
      </c>
      <c r="AY1174">
        <f t="shared" si="36"/>
        <v>43</v>
      </c>
      <c r="AZ1174">
        <f t="shared" si="37"/>
        <v>2</v>
      </c>
    </row>
    <row r="1175" spans="1:52" ht="55.2">
      <c r="A1175" s="3" t="s">
        <v>1219</v>
      </c>
      <c r="B1175">
        <v>2</v>
      </c>
      <c r="E1175">
        <v>2</v>
      </c>
      <c r="AT1175">
        <v>4</v>
      </c>
      <c r="AY1175">
        <f t="shared" si="36"/>
        <v>43</v>
      </c>
      <c r="AZ1175">
        <f t="shared" si="37"/>
        <v>2</v>
      </c>
    </row>
    <row r="1176" spans="1:52" ht="55.2">
      <c r="A1176" s="3" t="s">
        <v>1220</v>
      </c>
      <c r="B1176">
        <v>2</v>
      </c>
      <c r="E1176">
        <v>2</v>
      </c>
      <c r="AT1176">
        <v>4</v>
      </c>
      <c r="AY1176">
        <f t="shared" si="36"/>
        <v>43</v>
      </c>
      <c r="AZ1176">
        <f t="shared" si="37"/>
        <v>2</v>
      </c>
    </row>
    <row r="1177" spans="1:52" ht="55.2">
      <c r="A1177" s="3" t="s">
        <v>1221</v>
      </c>
      <c r="B1177">
        <v>2</v>
      </c>
      <c r="E1177">
        <v>2</v>
      </c>
      <c r="AT1177">
        <v>4</v>
      </c>
      <c r="AY1177">
        <f t="shared" si="36"/>
        <v>43</v>
      </c>
      <c r="AZ1177">
        <f t="shared" si="37"/>
        <v>2</v>
      </c>
    </row>
    <row r="1178" spans="1:52" ht="55.2">
      <c r="A1178" s="3" t="s">
        <v>1222</v>
      </c>
      <c r="B1178">
        <v>2</v>
      </c>
      <c r="E1178">
        <v>2</v>
      </c>
      <c r="AT1178">
        <v>4</v>
      </c>
      <c r="AY1178">
        <f t="shared" si="36"/>
        <v>43</v>
      </c>
      <c r="AZ1178">
        <f t="shared" si="37"/>
        <v>2</v>
      </c>
    </row>
    <row r="1179" spans="1:52" ht="55.2">
      <c r="A1179" s="3" t="s">
        <v>1223</v>
      </c>
      <c r="B1179">
        <v>2</v>
      </c>
      <c r="E1179">
        <v>2</v>
      </c>
      <c r="AT1179">
        <v>4</v>
      </c>
      <c r="AY1179">
        <f t="shared" si="36"/>
        <v>43</v>
      </c>
      <c r="AZ1179">
        <f t="shared" si="37"/>
        <v>2</v>
      </c>
    </row>
    <row r="1180" spans="1:52" ht="55.2">
      <c r="A1180" s="3" t="s">
        <v>1224</v>
      </c>
      <c r="B1180">
        <v>2</v>
      </c>
      <c r="E1180">
        <v>2</v>
      </c>
      <c r="AT1180">
        <v>4</v>
      </c>
      <c r="AY1180">
        <f t="shared" si="36"/>
        <v>43</v>
      </c>
      <c r="AZ1180">
        <f t="shared" si="37"/>
        <v>2</v>
      </c>
    </row>
    <row r="1181" spans="1:52" ht="55.2">
      <c r="A1181" s="3" t="s">
        <v>1225</v>
      </c>
      <c r="B1181">
        <v>2</v>
      </c>
      <c r="E1181">
        <v>2</v>
      </c>
      <c r="AT1181">
        <v>4</v>
      </c>
      <c r="AY1181">
        <f t="shared" si="36"/>
        <v>43</v>
      </c>
      <c r="AZ1181">
        <f t="shared" si="37"/>
        <v>2</v>
      </c>
    </row>
    <row r="1182" spans="1:52" ht="55.2">
      <c r="A1182" s="3" t="s">
        <v>1226</v>
      </c>
      <c r="B1182">
        <v>2</v>
      </c>
      <c r="E1182">
        <v>2</v>
      </c>
      <c r="AT1182">
        <v>4</v>
      </c>
      <c r="AY1182">
        <f t="shared" si="36"/>
        <v>43</v>
      </c>
      <c r="AZ1182">
        <f t="shared" si="37"/>
        <v>2</v>
      </c>
    </row>
    <row r="1183" spans="1:52" ht="55.2">
      <c r="A1183" s="3" t="s">
        <v>1227</v>
      </c>
      <c r="B1183">
        <v>2</v>
      </c>
      <c r="E1183">
        <v>2</v>
      </c>
      <c r="AT1183">
        <v>4</v>
      </c>
      <c r="AY1183">
        <f t="shared" si="36"/>
        <v>43</v>
      </c>
      <c r="AZ1183">
        <f t="shared" si="37"/>
        <v>2</v>
      </c>
    </row>
    <row r="1184" spans="1:52" ht="55.2">
      <c r="A1184" s="3" t="s">
        <v>1228</v>
      </c>
      <c r="B1184">
        <v>2</v>
      </c>
      <c r="E1184">
        <v>2</v>
      </c>
      <c r="AT1184">
        <v>4</v>
      </c>
      <c r="AY1184">
        <f t="shared" si="36"/>
        <v>43</v>
      </c>
      <c r="AZ1184">
        <f t="shared" si="37"/>
        <v>2</v>
      </c>
    </row>
    <row r="1185" spans="1:52" ht="55.2">
      <c r="A1185" s="3" t="s">
        <v>1229</v>
      </c>
      <c r="B1185">
        <v>2</v>
      </c>
      <c r="E1185">
        <v>2</v>
      </c>
      <c r="AT1185">
        <v>4</v>
      </c>
      <c r="AY1185">
        <f t="shared" ref="AY1185:AY1248" si="38">COUNTBLANK(F1185:AW1185)</f>
        <v>43</v>
      </c>
      <c r="AZ1185">
        <f t="shared" ref="AZ1185:AZ1248" si="39">COUNTBLANK(B1185:E1185)</f>
        <v>2</v>
      </c>
    </row>
    <row r="1186" spans="1:52" ht="55.2">
      <c r="A1186" s="3" t="s">
        <v>1230</v>
      </c>
      <c r="B1186">
        <v>2</v>
      </c>
      <c r="E1186">
        <v>2</v>
      </c>
      <c r="AT1186">
        <v>4</v>
      </c>
      <c r="AY1186">
        <f t="shared" si="38"/>
        <v>43</v>
      </c>
      <c r="AZ1186">
        <f t="shared" si="39"/>
        <v>2</v>
      </c>
    </row>
    <row r="1187" spans="1:52" ht="55.2">
      <c r="A1187" s="3" t="s">
        <v>1231</v>
      </c>
      <c r="B1187">
        <v>2</v>
      </c>
      <c r="E1187">
        <v>2</v>
      </c>
      <c r="AT1187">
        <v>4</v>
      </c>
      <c r="AY1187">
        <f t="shared" si="38"/>
        <v>43</v>
      </c>
      <c r="AZ1187">
        <f t="shared" si="39"/>
        <v>2</v>
      </c>
    </row>
    <row r="1188" spans="1:52" ht="55.2">
      <c r="A1188" s="3" t="s">
        <v>1232</v>
      </c>
      <c r="B1188">
        <v>2</v>
      </c>
      <c r="E1188">
        <v>2</v>
      </c>
      <c r="AT1188">
        <v>4</v>
      </c>
      <c r="AY1188">
        <f t="shared" si="38"/>
        <v>43</v>
      </c>
      <c r="AZ1188">
        <f t="shared" si="39"/>
        <v>2</v>
      </c>
    </row>
    <row r="1189" spans="1:52" ht="55.2">
      <c r="A1189" s="3" t="s">
        <v>1233</v>
      </c>
      <c r="B1189">
        <v>2</v>
      </c>
      <c r="E1189">
        <v>2</v>
      </c>
      <c r="AT1189">
        <v>4</v>
      </c>
      <c r="AY1189">
        <f t="shared" si="38"/>
        <v>43</v>
      </c>
      <c r="AZ1189">
        <f t="shared" si="39"/>
        <v>2</v>
      </c>
    </row>
    <row r="1190" spans="1:52" ht="55.2">
      <c r="A1190" s="3" t="s">
        <v>1234</v>
      </c>
      <c r="B1190">
        <v>2</v>
      </c>
      <c r="E1190">
        <v>2</v>
      </c>
      <c r="AT1190">
        <v>4</v>
      </c>
      <c r="AY1190">
        <f t="shared" si="38"/>
        <v>43</v>
      </c>
      <c r="AZ1190">
        <f t="shared" si="39"/>
        <v>2</v>
      </c>
    </row>
    <row r="1191" spans="1:52" ht="55.2">
      <c r="A1191" s="3" t="s">
        <v>1235</v>
      </c>
      <c r="B1191">
        <v>2</v>
      </c>
      <c r="E1191">
        <v>2</v>
      </c>
      <c r="AT1191">
        <v>4</v>
      </c>
      <c r="AY1191">
        <f t="shared" si="38"/>
        <v>43</v>
      </c>
      <c r="AZ1191">
        <f t="shared" si="39"/>
        <v>2</v>
      </c>
    </row>
    <row r="1192" spans="1:52" ht="55.2">
      <c r="A1192" s="3" t="s">
        <v>1236</v>
      </c>
      <c r="B1192">
        <v>2</v>
      </c>
      <c r="E1192">
        <v>2</v>
      </c>
      <c r="AT1192">
        <v>4</v>
      </c>
      <c r="AY1192">
        <f t="shared" si="38"/>
        <v>43</v>
      </c>
      <c r="AZ1192">
        <f t="shared" si="39"/>
        <v>2</v>
      </c>
    </row>
    <row r="1193" spans="1:52" ht="55.2">
      <c r="A1193" s="3" t="s">
        <v>1237</v>
      </c>
      <c r="B1193">
        <v>2</v>
      </c>
      <c r="E1193">
        <v>2</v>
      </c>
      <c r="K1193">
        <v>2</v>
      </c>
      <c r="AY1193">
        <f t="shared" si="38"/>
        <v>43</v>
      </c>
      <c r="AZ1193">
        <f t="shared" si="39"/>
        <v>2</v>
      </c>
    </row>
    <row r="1194" spans="1:52" ht="55.2">
      <c r="A1194" s="3" t="s">
        <v>1238</v>
      </c>
      <c r="B1194">
        <v>2</v>
      </c>
      <c r="E1194">
        <v>2</v>
      </c>
      <c r="K1194">
        <v>2</v>
      </c>
      <c r="AY1194">
        <f t="shared" si="38"/>
        <v>43</v>
      </c>
      <c r="AZ1194">
        <f t="shared" si="39"/>
        <v>2</v>
      </c>
    </row>
    <row r="1195" spans="1:52" ht="55.2">
      <c r="A1195" s="3" t="s">
        <v>1239</v>
      </c>
      <c r="B1195">
        <v>2</v>
      </c>
      <c r="E1195">
        <v>2</v>
      </c>
      <c r="K1195">
        <v>2</v>
      </c>
      <c r="AY1195">
        <f t="shared" si="38"/>
        <v>43</v>
      </c>
      <c r="AZ1195">
        <f t="shared" si="39"/>
        <v>2</v>
      </c>
    </row>
    <row r="1196" spans="1:52" ht="55.2">
      <c r="A1196" s="3" t="s">
        <v>1240</v>
      </c>
      <c r="B1196">
        <v>2</v>
      </c>
      <c r="E1196">
        <v>2</v>
      </c>
      <c r="K1196">
        <v>2</v>
      </c>
      <c r="AY1196">
        <f t="shared" si="38"/>
        <v>43</v>
      </c>
      <c r="AZ1196">
        <f t="shared" si="39"/>
        <v>2</v>
      </c>
    </row>
    <row r="1197" spans="1:52" ht="55.2">
      <c r="A1197" s="3" t="s">
        <v>1241</v>
      </c>
      <c r="B1197">
        <v>2</v>
      </c>
      <c r="E1197">
        <v>2</v>
      </c>
      <c r="K1197">
        <v>2</v>
      </c>
      <c r="AY1197">
        <f t="shared" si="38"/>
        <v>43</v>
      </c>
      <c r="AZ1197">
        <f t="shared" si="39"/>
        <v>2</v>
      </c>
    </row>
    <row r="1198" spans="1:52" ht="55.2">
      <c r="A1198" s="3" t="s">
        <v>1242</v>
      </c>
      <c r="B1198">
        <v>2</v>
      </c>
      <c r="E1198">
        <v>2</v>
      </c>
      <c r="K1198">
        <v>2</v>
      </c>
      <c r="AY1198">
        <f t="shared" si="38"/>
        <v>43</v>
      </c>
      <c r="AZ1198">
        <f t="shared" si="39"/>
        <v>2</v>
      </c>
    </row>
    <row r="1199" spans="1:52" ht="55.2">
      <c r="A1199" s="3" t="s">
        <v>1243</v>
      </c>
      <c r="B1199">
        <v>2</v>
      </c>
      <c r="E1199">
        <v>2</v>
      </c>
      <c r="K1199">
        <v>2</v>
      </c>
      <c r="AY1199">
        <f t="shared" si="38"/>
        <v>43</v>
      </c>
      <c r="AZ1199">
        <f t="shared" si="39"/>
        <v>2</v>
      </c>
    </row>
    <row r="1200" spans="1:52" ht="55.2">
      <c r="A1200" s="3" t="s">
        <v>1244</v>
      </c>
      <c r="B1200">
        <v>2</v>
      </c>
      <c r="E1200">
        <v>2</v>
      </c>
      <c r="K1200">
        <v>2</v>
      </c>
      <c r="AY1200">
        <f t="shared" si="38"/>
        <v>43</v>
      </c>
      <c r="AZ1200">
        <f t="shared" si="39"/>
        <v>2</v>
      </c>
    </row>
    <row r="1201" spans="1:52" ht="55.2">
      <c r="A1201" s="3" t="s">
        <v>1245</v>
      </c>
      <c r="B1201">
        <v>2</v>
      </c>
      <c r="E1201">
        <v>2</v>
      </c>
      <c r="K1201">
        <v>2</v>
      </c>
      <c r="AY1201">
        <f t="shared" si="38"/>
        <v>43</v>
      </c>
      <c r="AZ1201">
        <f t="shared" si="39"/>
        <v>2</v>
      </c>
    </row>
    <row r="1202" spans="1:52" ht="55.2">
      <c r="A1202" s="3" t="s">
        <v>1246</v>
      </c>
      <c r="B1202">
        <v>2</v>
      </c>
      <c r="E1202">
        <v>2</v>
      </c>
      <c r="K1202">
        <v>2</v>
      </c>
      <c r="AY1202">
        <f t="shared" si="38"/>
        <v>43</v>
      </c>
      <c r="AZ1202">
        <f t="shared" si="39"/>
        <v>2</v>
      </c>
    </row>
    <row r="1203" spans="1:52" ht="55.2">
      <c r="A1203" s="3" t="s">
        <v>1247</v>
      </c>
      <c r="B1203">
        <v>2</v>
      </c>
      <c r="E1203">
        <v>2</v>
      </c>
      <c r="K1203">
        <v>2</v>
      </c>
      <c r="AY1203">
        <f t="shared" si="38"/>
        <v>43</v>
      </c>
      <c r="AZ1203">
        <f t="shared" si="39"/>
        <v>2</v>
      </c>
    </row>
    <row r="1204" spans="1:52" ht="55.2">
      <c r="A1204" s="3" t="s">
        <v>1248</v>
      </c>
      <c r="B1204">
        <v>2</v>
      </c>
      <c r="E1204">
        <v>2</v>
      </c>
      <c r="K1204">
        <v>2</v>
      </c>
      <c r="AY1204">
        <f t="shared" si="38"/>
        <v>43</v>
      </c>
      <c r="AZ1204">
        <f t="shared" si="39"/>
        <v>2</v>
      </c>
    </row>
    <row r="1205" spans="1:52" ht="55.2">
      <c r="A1205" s="3" t="s">
        <v>1249</v>
      </c>
      <c r="B1205">
        <v>2</v>
      </c>
      <c r="E1205">
        <v>2</v>
      </c>
      <c r="K1205">
        <v>2</v>
      </c>
      <c r="AY1205">
        <f t="shared" si="38"/>
        <v>43</v>
      </c>
      <c r="AZ1205">
        <f t="shared" si="39"/>
        <v>2</v>
      </c>
    </row>
    <row r="1206" spans="1:52" ht="55.2">
      <c r="A1206" s="3" t="s">
        <v>1250</v>
      </c>
      <c r="B1206">
        <v>2</v>
      </c>
      <c r="E1206">
        <v>2</v>
      </c>
      <c r="K1206">
        <v>2</v>
      </c>
      <c r="AY1206">
        <f t="shared" si="38"/>
        <v>43</v>
      </c>
      <c r="AZ1206">
        <f t="shared" si="39"/>
        <v>2</v>
      </c>
    </row>
    <row r="1207" spans="1:52" ht="55.2">
      <c r="A1207" s="3" t="s">
        <v>1251</v>
      </c>
      <c r="B1207">
        <v>2</v>
      </c>
      <c r="E1207">
        <v>2</v>
      </c>
      <c r="K1207">
        <v>2</v>
      </c>
      <c r="AY1207">
        <f t="shared" si="38"/>
        <v>43</v>
      </c>
      <c r="AZ1207">
        <f t="shared" si="39"/>
        <v>2</v>
      </c>
    </row>
    <row r="1208" spans="1:52" ht="55.2">
      <c r="A1208" s="3" t="s">
        <v>1252</v>
      </c>
      <c r="B1208">
        <v>2</v>
      </c>
      <c r="E1208">
        <v>2</v>
      </c>
      <c r="K1208">
        <v>2</v>
      </c>
      <c r="AY1208">
        <f t="shared" si="38"/>
        <v>43</v>
      </c>
      <c r="AZ1208">
        <f t="shared" si="39"/>
        <v>2</v>
      </c>
    </row>
    <row r="1209" spans="1:52" ht="55.2">
      <c r="A1209" s="3" t="s">
        <v>1253</v>
      </c>
      <c r="B1209">
        <v>2</v>
      </c>
      <c r="E1209">
        <v>2</v>
      </c>
      <c r="K1209">
        <v>2</v>
      </c>
      <c r="AY1209">
        <f t="shared" si="38"/>
        <v>43</v>
      </c>
      <c r="AZ1209">
        <f t="shared" si="39"/>
        <v>2</v>
      </c>
    </row>
    <row r="1210" spans="1:52" ht="55.2">
      <c r="A1210" s="3" t="s">
        <v>1254</v>
      </c>
      <c r="B1210">
        <v>2</v>
      </c>
      <c r="E1210">
        <v>2</v>
      </c>
      <c r="K1210">
        <v>2</v>
      </c>
      <c r="AY1210">
        <f t="shared" si="38"/>
        <v>43</v>
      </c>
      <c r="AZ1210">
        <f t="shared" si="39"/>
        <v>2</v>
      </c>
    </row>
    <row r="1211" spans="1:52" ht="55.2">
      <c r="A1211" s="3" t="s">
        <v>1255</v>
      </c>
      <c r="B1211">
        <v>2</v>
      </c>
      <c r="E1211">
        <v>2</v>
      </c>
      <c r="K1211">
        <v>2</v>
      </c>
      <c r="AY1211">
        <f t="shared" si="38"/>
        <v>43</v>
      </c>
      <c r="AZ1211">
        <f t="shared" si="39"/>
        <v>2</v>
      </c>
    </row>
    <row r="1212" spans="1:52" ht="55.2">
      <c r="A1212" s="3" t="s">
        <v>1256</v>
      </c>
      <c r="B1212">
        <v>2</v>
      </c>
      <c r="E1212">
        <v>2</v>
      </c>
      <c r="K1212">
        <v>2</v>
      </c>
      <c r="AY1212">
        <f t="shared" si="38"/>
        <v>43</v>
      </c>
      <c r="AZ1212">
        <f t="shared" si="39"/>
        <v>2</v>
      </c>
    </row>
    <row r="1213" spans="1:52" ht="55.2">
      <c r="A1213" s="3" t="s">
        <v>1257</v>
      </c>
      <c r="B1213">
        <v>2</v>
      </c>
      <c r="E1213">
        <v>2</v>
      </c>
      <c r="K1213">
        <v>2</v>
      </c>
      <c r="AY1213">
        <f t="shared" si="38"/>
        <v>43</v>
      </c>
      <c r="AZ1213">
        <f t="shared" si="39"/>
        <v>2</v>
      </c>
    </row>
    <row r="1214" spans="1:52" ht="55.2">
      <c r="A1214" s="3" t="s">
        <v>1258</v>
      </c>
      <c r="B1214">
        <v>2</v>
      </c>
      <c r="E1214">
        <v>2</v>
      </c>
      <c r="K1214">
        <v>2</v>
      </c>
      <c r="AY1214">
        <f t="shared" si="38"/>
        <v>43</v>
      </c>
      <c r="AZ1214">
        <f t="shared" si="39"/>
        <v>2</v>
      </c>
    </row>
    <row r="1215" spans="1:52" ht="55.2">
      <c r="A1215" s="3" t="s">
        <v>1259</v>
      </c>
      <c r="B1215">
        <v>2</v>
      </c>
      <c r="E1215">
        <v>2</v>
      </c>
      <c r="K1215">
        <v>2</v>
      </c>
      <c r="AY1215">
        <f t="shared" si="38"/>
        <v>43</v>
      </c>
      <c r="AZ1215">
        <f t="shared" si="39"/>
        <v>2</v>
      </c>
    </row>
    <row r="1216" spans="1:52" ht="55.2">
      <c r="A1216" s="3" t="s">
        <v>1260</v>
      </c>
      <c r="B1216">
        <v>2</v>
      </c>
      <c r="E1216">
        <v>2</v>
      </c>
      <c r="K1216">
        <v>2</v>
      </c>
      <c r="AY1216">
        <f t="shared" si="38"/>
        <v>43</v>
      </c>
      <c r="AZ1216">
        <f t="shared" si="39"/>
        <v>2</v>
      </c>
    </row>
    <row r="1217" spans="1:52" ht="55.2">
      <c r="A1217" s="3" t="s">
        <v>1261</v>
      </c>
      <c r="B1217">
        <v>2</v>
      </c>
      <c r="E1217">
        <v>2</v>
      </c>
      <c r="K1217">
        <v>2</v>
      </c>
      <c r="AY1217">
        <f t="shared" si="38"/>
        <v>43</v>
      </c>
      <c r="AZ1217">
        <f t="shared" si="39"/>
        <v>2</v>
      </c>
    </row>
    <row r="1218" spans="1:52" ht="55.2">
      <c r="A1218" s="3" t="s">
        <v>1262</v>
      </c>
      <c r="B1218">
        <v>2</v>
      </c>
      <c r="E1218">
        <v>2</v>
      </c>
      <c r="K1218">
        <v>2</v>
      </c>
      <c r="AY1218">
        <f t="shared" si="38"/>
        <v>43</v>
      </c>
      <c r="AZ1218">
        <f t="shared" si="39"/>
        <v>2</v>
      </c>
    </row>
    <row r="1219" spans="1:52" ht="55.2">
      <c r="A1219" s="3" t="s">
        <v>1263</v>
      </c>
      <c r="B1219">
        <v>2</v>
      </c>
      <c r="E1219">
        <v>2</v>
      </c>
      <c r="K1219">
        <v>2</v>
      </c>
      <c r="AY1219">
        <f t="shared" si="38"/>
        <v>43</v>
      </c>
      <c r="AZ1219">
        <f t="shared" si="39"/>
        <v>2</v>
      </c>
    </row>
    <row r="1220" spans="1:52" ht="55.2">
      <c r="A1220" s="3" t="s">
        <v>1264</v>
      </c>
      <c r="B1220">
        <v>2</v>
      </c>
      <c r="E1220">
        <v>2</v>
      </c>
      <c r="K1220">
        <v>2</v>
      </c>
      <c r="AY1220">
        <f t="shared" si="38"/>
        <v>43</v>
      </c>
      <c r="AZ1220">
        <f t="shared" si="39"/>
        <v>2</v>
      </c>
    </row>
    <row r="1221" spans="1:52" ht="55.2">
      <c r="A1221" s="3" t="s">
        <v>1265</v>
      </c>
      <c r="B1221">
        <v>2</v>
      </c>
      <c r="E1221">
        <v>2</v>
      </c>
      <c r="K1221">
        <v>2</v>
      </c>
      <c r="AY1221">
        <f t="shared" si="38"/>
        <v>43</v>
      </c>
      <c r="AZ1221">
        <f t="shared" si="39"/>
        <v>2</v>
      </c>
    </row>
    <row r="1222" spans="1:52" ht="55.2">
      <c r="A1222" s="3" t="s">
        <v>1266</v>
      </c>
      <c r="B1222">
        <v>2</v>
      </c>
      <c r="E1222">
        <v>2</v>
      </c>
      <c r="K1222">
        <v>2</v>
      </c>
      <c r="AY1222">
        <f t="shared" si="38"/>
        <v>43</v>
      </c>
      <c r="AZ1222">
        <f t="shared" si="39"/>
        <v>2</v>
      </c>
    </row>
    <row r="1223" spans="1:52" ht="55.2">
      <c r="A1223" s="3" t="s">
        <v>1267</v>
      </c>
      <c r="B1223">
        <v>2</v>
      </c>
      <c r="E1223">
        <v>2</v>
      </c>
      <c r="K1223">
        <v>2</v>
      </c>
      <c r="AY1223">
        <f t="shared" si="38"/>
        <v>43</v>
      </c>
      <c r="AZ1223">
        <f t="shared" si="39"/>
        <v>2</v>
      </c>
    </row>
    <row r="1224" spans="1:52" ht="55.2">
      <c r="A1224" s="3" t="s">
        <v>1268</v>
      </c>
      <c r="B1224">
        <v>2</v>
      </c>
      <c r="E1224">
        <v>2</v>
      </c>
      <c r="K1224">
        <v>2</v>
      </c>
      <c r="AY1224">
        <f t="shared" si="38"/>
        <v>43</v>
      </c>
      <c r="AZ1224">
        <f t="shared" si="39"/>
        <v>2</v>
      </c>
    </row>
    <row r="1225" spans="1:52" ht="55.2">
      <c r="A1225" s="3" t="s">
        <v>1269</v>
      </c>
      <c r="B1225">
        <v>2</v>
      </c>
      <c r="E1225">
        <v>2</v>
      </c>
      <c r="K1225">
        <v>2</v>
      </c>
      <c r="AY1225">
        <f t="shared" si="38"/>
        <v>43</v>
      </c>
      <c r="AZ1225">
        <f t="shared" si="39"/>
        <v>2</v>
      </c>
    </row>
    <row r="1226" spans="1:52" ht="55.2">
      <c r="A1226" s="3" t="s">
        <v>1270</v>
      </c>
      <c r="B1226">
        <v>2</v>
      </c>
      <c r="E1226">
        <v>2</v>
      </c>
      <c r="K1226">
        <v>2</v>
      </c>
      <c r="AY1226">
        <f t="shared" si="38"/>
        <v>43</v>
      </c>
      <c r="AZ1226">
        <f t="shared" si="39"/>
        <v>2</v>
      </c>
    </row>
    <row r="1227" spans="1:52" ht="55.2">
      <c r="A1227" s="3" t="s">
        <v>1271</v>
      </c>
      <c r="B1227">
        <v>2</v>
      </c>
      <c r="E1227">
        <v>2</v>
      </c>
      <c r="K1227">
        <v>2</v>
      </c>
      <c r="AY1227">
        <f t="shared" si="38"/>
        <v>43</v>
      </c>
      <c r="AZ1227">
        <f t="shared" si="39"/>
        <v>2</v>
      </c>
    </row>
    <row r="1228" spans="1:52" ht="55.2">
      <c r="A1228" s="3" t="s">
        <v>1272</v>
      </c>
      <c r="B1228">
        <v>2</v>
      </c>
      <c r="E1228">
        <v>2</v>
      </c>
      <c r="K1228">
        <v>2</v>
      </c>
      <c r="AY1228">
        <f t="shared" si="38"/>
        <v>43</v>
      </c>
      <c r="AZ1228">
        <f t="shared" si="39"/>
        <v>2</v>
      </c>
    </row>
    <row r="1229" spans="1:52" ht="55.2">
      <c r="A1229" s="3" t="s">
        <v>1273</v>
      </c>
      <c r="B1229">
        <v>2</v>
      </c>
      <c r="E1229">
        <v>2</v>
      </c>
      <c r="K1229">
        <v>2</v>
      </c>
      <c r="AY1229">
        <f t="shared" si="38"/>
        <v>43</v>
      </c>
      <c r="AZ1229">
        <f t="shared" si="39"/>
        <v>2</v>
      </c>
    </row>
    <row r="1230" spans="1:52" ht="55.2">
      <c r="A1230" s="3" t="s">
        <v>1274</v>
      </c>
      <c r="B1230">
        <v>2</v>
      </c>
      <c r="E1230">
        <v>2</v>
      </c>
      <c r="K1230">
        <v>2</v>
      </c>
      <c r="AY1230">
        <f t="shared" si="38"/>
        <v>43</v>
      </c>
      <c r="AZ1230">
        <f t="shared" si="39"/>
        <v>2</v>
      </c>
    </row>
    <row r="1231" spans="1:52" ht="55.2">
      <c r="A1231" s="3" t="s">
        <v>1275</v>
      </c>
      <c r="B1231">
        <v>2</v>
      </c>
      <c r="E1231">
        <v>2</v>
      </c>
      <c r="K1231">
        <v>2</v>
      </c>
      <c r="AY1231">
        <f t="shared" si="38"/>
        <v>43</v>
      </c>
      <c r="AZ1231">
        <f t="shared" si="39"/>
        <v>2</v>
      </c>
    </row>
    <row r="1232" spans="1:52" ht="55.2">
      <c r="A1232" s="3" t="s">
        <v>1276</v>
      </c>
      <c r="B1232">
        <v>2</v>
      </c>
      <c r="E1232">
        <v>2</v>
      </c>
      <c r="K1232">
        <v>2</v>
      </c>
      <c r="AY1232">
        <f t="shared" si="38"/>
        <v>43</v>
      </c>
      <c r="AZ1232">
        <f t="shared" si="39"/>
        <v>2</v>
      </c>
    </row>
    <row r="1233" spans="1:52" ht="55.2">
      <c r="A1233" s="3" t="s">
        <v>1277</v>
      </c>
      <c r="B1233">
        <v>2</v>
      </c>
      <c r="E1233">
        <v>2</v>
      </c>
      <c r="K1233">
        <v>2</v>
      </c>
      <c r="AY1233">
        <f t="shared" si="38"/>
        <v>43</v>
      </c>
      <c r="AZ1233">
        <f t="shared" si="39"/>
        <v>2</v>
      </c>
    </row>
    <row r="1234" spans="1:52" ht="55.2">
      <c r="A1234" s="3" t="s">
        <v>1278</v>
      </c>
      <c r="B1234">
        <v>2</v>
      </c>
      <c r="E1234">
        <v>2</v>
      </c>
      <c r="K1234">
        <v>2</v>
      </c>
      <c r="AY1234">
        <f t="shared" si="38"/>
        <v>43</v>
      </c>
      <c r="AZ1234">
        <f t="shared" si="39"/>
        <v>2</v>
      </c>
    </row>
    <row r="1235" spans="1:52" ht="55.2">
      <c r="A1235" s="3" t="s">
        <v>1279</v>
      </c>
      <c r="B1235">
        <v>2</v>
      </c>
      <c r="E1235">
        <v>2</v>
      </c>
      <c r="K1235">
        <v>2</v>
      </c>
      <c r="AY1235">
        <f t="shared" si="38"/>
        <v>43</v>
      </c>
      <c r="AZ1235">
        <f t="shared" si="39"/>
        <v>2</v>
      </c>
    </row>
    <row r="1236" spans="1:52" ht="55.2">
      <c r="A1236" s="3" t="s">
        <v>1280</v>
      </c>
      <c r="B1236">
        <v>2</v>
      </c>
      <c r="E1236">
        <v>2</v>
      </c>
      <c r="K1236">
        <v>2</v>
      </c>
      <c r="AY1236">
        <f t="shared" si="38"/>
        <v>43</v>
      </c>
      <c r="AZ1236">
        <f t="shared" si="39"/>
        <v>2</v>
      </c>
    </row>
    <row r="1237" spans="1:52" ht="55.2">
      <c r="A1237" s="3" t="s">
        <v>1281</v>
      </c>
      <c r="B1237">
        <v>2</v>
      </c>
      <c r="E1237">
        <v>2</v>
      </c>
      <c r="K1237">
        <v>2</v>
      </c>
      <c r="AY1237">
        <f t="shared" si="38"/>
        <v>43</v>
      </c>
      <c r="AZ1237">
        <f t="shared" si="39"/>
        <v>2</v>
      </c>
    </row>
    <row r="1238" spans="1:52" ht="55.2">
      <c r="A1238" s="3" t="s">
        <v>1282</v>
      </c>
      <c r="B1238">
        <v>2</v>
      </c>
      <c r="E1238">
        <v>2</v>
      </c>
      <c r="K1238">
        <v>2</v>
      </c>
      <c r="AY1238">
        <f t="shared" si="38"/>
        <v>43</v>
      </c>
      <c r="AZ1238">
        <f t="shared" si="39"/>
        <v>2</v>
      </c>
    </row>
    <row r="1239" spans="1:52" ht="55.2">
      <c r="A1239" s="3" t="s">
        <v>1283</v>
      </c>
      <c r="B1239">
        <v>2</v>
      </c>
      <c r="E1239">
        <v>2</v>
      </c>
      <c r="K1239">
        <v>2</v>
      </c>
      <c r="AY1239">
        <f t="shared" si="38"/>
        <v>43</v>
      </c>
      <c r="AZ1239">
        <f t="shared" si="39"/>
        <v>2</v>
      </c>
    </row>
    <row r="1240" spans="1:52" ht="55.2">
      <c r="A1240" s="3" t="s">
        <v>1284</v>
      </c>
      <c r="B1240">
        <v>2</v>
      </c>
      <c r="E1240">
        <v>2</v>
      </c>
      <c r="K1240">
        <v>2</v>
      </c>
      <c r="AY1240">
        <f t="shared" si="38"/>
        <v>43</v>
      </c>
      <c r="AZ1240">
        <f t="shared" si="39"/>
        <v>2</v>
      </c>
    </row>
    <row r="1241" spans="1:52" ht="55.2">
      <c r="A1241" s="3" t="s">
        <v>1285</v>
      </c>
      <c r="B1241">
        <v>2</v>
      </c>
      <c r="E1241">
        <v>2</v>
      </c>
      <c r="K1241">
        <v>2</v>
      </c>
      <c r="AY1241">
        <f t="shared" si="38"/>
        <v>43</v>
      </c>
      <c r="AZ1241">
        <f t="shared" si="39"/>
        <v>2</v>
      </c>
    </row>
    <row r="1242" spans="1:52" ht="55.2">
      <c r="A1242" s="3" t="s">
        <v>1286</v>
      </c>
      <c r="B1242">
        <v>2</v>
      </c>
      <c r="E1242">
        <v>2</v>
      </c>
      <c r="J1242">
        <v>11</v>
      </c>
      <c r="AY1242">
        <f t="shared" si="38"/>
        <v>43</v>
      </c>
      <c r="AZ1242">
        <f t="shared" si="39"/>
        <v>2</v>
      </c>
    </row>
    <row r="1243" spans="1:52" ht="55.2">
      <c r="A1243" s="3" t="s">
        <v>1287</v>
      </c>
      <c r="B1243">
        <v>2</v>
      </c>
      <c r="E1243">
        <v>2</v>
      </c>
      <c r="J1243">
        <v>11</v>
      </c>
      <c r="AY1243">
        <f t="shared" si="38"/>
        <v>43</v>
      </c>
      <c r="AZ1243">
        <f t="shared" si="39"/>
        <v>2</v>
      </c>
    </row>
    <row r="1244" spans="1:52" ht="55.2">
      <c r="A1244" s="3" t="s">
        <v>1288</v>
      </c>
      <c r="B1244">
        <v>2</v>
      </c>
      <c r="E1244">
        <v>2</v>
      </c>
      <c r="J1244">
        <v>11</v>
      </c>
      <c r="AY1244">
        <f t="shared" si="38"/>
        <v>43</v>
      </c>
      <c r="AZ1244">
        <f t="shared" si="39"/>
        <v>2</v>
      </c>
    </row>
    <row r="1245" spans="1:52" ht="55.2">
      <c r="A1245" s="3" t="s">
        <v>1289</v>
      </c>
      <c r="B1245">
        <v>2</v>
      </c>
      <c r="E1245">
        <v>2</v>
      </c>
      <c r="J1245">
        <v>11</v>
      </c>
      <c r="AY1245">
        <f t="shared" si="38"/>
        <v>43</v>
      </c>
      <c r="AZ1245">
        <f t="shared" si="39"/>
        <v>2</v>
      </c>
    </row>
    <row r="1246" spans="1:52" ht="55.2">
      <c r="A1246" s="3" t="s">
        <v>1290</v>
      </c>
      <c r="B1246">
        <v>2</v>
      </c>
      <c r="E1246">
        <v>2</v>
      </c>
      <c r="J1246">
        <v>11</v>
      </c>
      <c r="AY1246">
        <f t="shared" si="38"/>
        <v>43</v>
      </c>
      <c r="AZ1246">
        <f t="shared" si="39"/>
        <v>2</v>
      </c>
    </row>
    <row r="1247" spans="1:52" ht="55.2">
      <c r="A1247" s="3" t="s">
        <v>1291</v>
      </c>
      <c r="B1247">
        <v>2</v>
      </c>
      <c r="E1247">
        <v>2</v>
      </c>
      <c r="J1247">
        <v>11</v>
      </c>
      <c r="AY1247">
        <f t="shared" si="38"/>
        <v>43</v>
      </c>
      <c r="AZ1247">
        <f t="shared" si="39"/>
        <v>2</v>
      </c>
    </row>
    <row r="1248" spans="1:52" ht="55.2">
      <c r="A1248" s="3" t="s">
        <v>1292</v>
      </c>
      <c r="B1248">
        <v>2</v>
      </c>
      <c r="E1248">
        <v>2</v>
      </c>
      <c r="J1248">
        <v>11</v>
      </c>
      <c r="AY1248">
        <f t="shared" si="38"/>
        <v>43</v>
      </c>
      <c r="AZ1248">
        <f t="shared" si="39"/>
        <v>2</v>
      </c>
    </row>
    <row r="1249" spans="1:52" ht="55.2">
      <c r="A1249" s="3" t="s">
        <v>1293</v>
      </c>
      <c r="B1249">
        <v>2</v>
      </c>
      <c r="E1249">
        <v>2</v>
      </c>
      <c r="J1249">
        <v>11</v>
      </c>
      <c r="AY1249">
        <f t="shared" ref="AY1249:AY1312" si="40">COUNTBLANK(F1249:AW1249)</f>
        <v>43</v>
      </c>
      <c r="AZ1249">
        <f t="shared" ref="AZ1249:AZ1312" si="41">COUNTBLANK(B1249:E1249)</f>
        <v>2</v>
      </c>
    </row>
    <row r="1250" spans="1:52" ht="55.2">
      <c r="A1250" s="3" t="s">
        <v>1294</v>
      </c>
      <c r="B1250">
        <v>2</v>
      </c>
      <c r="E1250">
        <v>2</v>
      </c>
      <c r="J1250">
        <v>11</v>
      </c>
      <c r="AY1250">
        <f t="shared" si="40"/>
        <v>43</v>
      </c>
      <c r="AZ1250">
        <f t="shared" si="41"/>
        <v>2</v>
      </c>
    </row>
    <row r="1251" spans="1:52" ht="55.2">
      <c r="A1251" s="3" t="s">
        <v>1295</v>
      </c>
      <c r="B1251">
        <v>2</v>
      </c>
      <c r="E1251">
        <v>2</v>
      </c>
      <c r="J1251">
        <v>11</v>
      </c>
      <c r="AY1251">
        <f t="shared" si="40"/>
        <v>43</v>
      </c>
      <c r="AZ1251">
        <f t="shared" si="41"/>
        <v>2</v>
      </c>
    </row>
    <row r="1252" spans="1:52" ht="55.2">
      <c r="A1252" s="3" t="s">
        <v>1296</v>
      </c>
      <c r="B1252">
        <v>2</v>
      </c>
      <c r="E1252">
        <v>2</v>
      </c>
      <c r="J1252">
        <v>11</v>
      </c>
      <c r="AY1252">
        <f t="shared" si="40"/>
        <v>43</v>
      </c>
      <c r="AZ1252">
        <f t="shared" si="41"/>
        <v>2</v>
      </c>
    </row>
    <row r="1253" spans="1:52" ht="55.2">
      <c r="A1253" s="3" t="s">
        <v>1297</v>
      </c>
      <c r="B1253">
        <v>2</v>
      </c>
      <c r="E1253">
        <v>2</v>
      </c>
      <c r="J1253">
        <v>11</v>
      </c>
      <c r="AY1253">
        <f t="shared" si="40"/>
        <v>43</v>
      </c>
      <c r="AZ1253">
        <f t="shared" si="41"/>
        <v>2</v>
      </c>
    </row>
    <row r="1254" spans="1:52" ht="55.2">
      <c r="A1254" s="3" t="s">
        <v>1298</v>
      </c>
      <c r="B1254">
        <v>2</v>
      </c>
      <c r="E1254">
        <v>2</v>
      </c>
      <c r="J1254">
        <v>11</v>
      </c>
      <c r="AY1254">
        <f t="shared" si="40"/>
        <v>43</v>
      </c>
      <c r="AZ1254">
        <f t="shared" si="41"/>
        <v>2</v>
      </c>
    </row>
    <row r="1255" spans="1:52" ht="55.2">
      <c r="A1255" s="3" t="s">
        <v>1299</v>
      </c>
      <c r="B1255">
        <v>2</v>
      </c>
      <c r="E1255">
        <v>2</v>
      </c>
      <c r="J1255">
        <v>11</v>
      </c>
      <c r="AY1255">
        <f t="shared" si="40"/>
        <v>43</v>
      </c>
      <c r="AZ1255">
        <f t="shared" si="41"/>
        <v>2</v>
      </c>
    </row>
    <row r="1256" spans="1:52" ht="55.2">
      <c r="A1256" s="3" t="s">
        <v>1300</v>
      </c>
      <c r="B1256">
        <v>2</v>
      </c>
      <c r="E1256">
        <v>2</v>
      </c>
      <c r="J1256">
        <v>11</v>
      </c>
      <c r="AY1256">
        <f t="shared" si="40"/>
        <v>43</v>
      </c>
      <c r="AZ1256">
        <f t="shared" si="41"/>
        <v>2</v>
      </c>
    </row>
    <row r="1257" spans="1:52" ht="55.2">
      <c r="A1257" s="3" t="s">
        <v>1301</v>
      </c>
      <c r="B1257">
        <v>2</v>
      </c>
      <c r="E1257">
        <v>2</v>
      </c>
      <c r="J1257">
        <v>11</v>
      </c>
      <c r="AY1257">
        <f t="shared" si="40"/>
        <v>43</v>
      </c>
      <c r="AZ1257">
        <f t="shared" si="41"/>
        <v>2</v>
      </c>
    </row>
    <row r="1258" spans="1:52" ht="55.2">
      <c r="A1258" s="3" t="s">
        <v>1302</v>
      </c>
      <c r="B1258">
        <v>2</v>
      </c>
      <c r="E1258">
        <v>2</v>
      </c>
      <c r="J1258">
        <v>11</v>
      </c>
      <c r="AY1258">
        <f t="shared" si="40"/>
        <v>43</v>
      </c>
      <c r="AZ1258">
        <f t="shared" si="41"/>
        <v>2</v>
      </c>
    </row>
    <row r="1259" spans="1:52" ht="55.2">
      <c r="A1259" s="3" t="s">
        <v>1303</v>
      </c>
      <c r="B1259">
        <v>2</v>
      </c>
      <c r="E1259">
        <v>2</v>
      </c>
      <c r="J1259">
        <v>11</v>
      </c>
      <c r="AY1259">
        <f t="shared" si="40"/>
        <v>43</v>
      </c>
      <c r="AZ1259">
        <f t="shared" si="41"/>
        <v>2</v>
      </c>
    </row>
    <row r="1260" spans="1:52" ht="55.2">
      <c r="A1260" s="3" t="s">
        <v>1304</v>
      </c>
      <c r="B1260">
        <v>2</v>
      </c>
      <c r="E1260">
        <v>2</v>
      </c>
      <c r="J1260">
        <v>11</v>
      </c>
      <c r="AY1260">
        <f t="shared" si="40"/>
        <v>43</v>
      </c>
      <c r="AZ1260">
        <f t="shared" si="41"/>
        <v>2</v>
      </c>
    </row>
    <row r="1261" spans="1:52" ht="55.2">
      <c r="A1261" s="3" t="s">
        <v>1305</v>
      </c>
      <c r="E1261">
        <v>2</v>
      </c>
      <c r="J1261">
        <v>11</v>
      </c>
      <c r="AY1261">
        <f t="shared" si="40"/>
        <v>43</v>
      </c>
      <c r="AZ1261">
        <f t="shared" si="41"/>
        <v>3</v>
      </c>
    </row>
    <row r="1262" spans="1:52" ht="55.2">
      <c r="A1262" s="3" t="s">
        <v>1306</v>
      </c>
      <c r="E1262">
        <v>2</v>
      </c>
      <c r="J1262">
        <v>11</v>
      </c>
      <c r="AY1262">
        <f t="shared" si="40"/>
        <v>43</v>
      </c>
      <c r="AZ1262">
        <f t="shared" si="41"/>
        <v>3</v>
      </c>
    </row>
    <row r="1263" spans="1:52" ht="55.2">
      <c r="A1263" s="3" t="s">
        <v>1307</v>
      </c>
      <c r="E1263">
        <v>2</v>
      </c>
      <c r="J1263">
        <v>11</v>
      </c>
      <c r="AY1263">
        <f t="shared" si="40"/>
        <v>43</v>
      </c>
      <c r="AZ1263">
        <f t="shared" si="41"/>
        <v>3</v>
      </c>
    </row>
    <row r="1264" spans="1:52" ht="55.2">
      <c r="A1264" s="3" t="s">
        <v>1308</v>
      </c>
      <c r="E1264">
        <v>2</v>
      </c>
      <c r="J1264">
        <v>11</v>
      </c>
      <c r="AY1264">
        <f t="shared" si="40"/>
        <v>43</v>
      </c>
      <c r="AZ1264">
        <f t="shared" si="41"/>
        <v>3</v>
      </c>
    </row>
    <row r="1265" spans="1:52" ht="55.2">
      <c r="A1265" s="3" t="s">
        <v>1309</v>
      </c>
      <c r="E1265">
        <v>2</v>
      </c>
      <c r="J1265">
        <v>11</v>
      </c>
      <c r="AY1265">
        <f t="shared" si="40"/>
        <v>43</v>
      </c>
      <c r="AZ1265">
        <f t="shared" si="41"/>
        <v>3</v>
      </c>
    </row>
    <row r="1266" spans="1:52" ht="55.2">
      <c r="A1266" s="3" t="s">
        <v>1310</v>
      </c>
      <c r="E1266">
        <v>2</v>
      </c>
      <c r="J1266">
        <v>11</v>
      </c>
      <c r="AY1266">
        <f t="shared" si="40"/>
        <v>43</v>
      </c>
      <c r="AZ1266">
        <f t="shared" si="41"/>
        <v>3</v>
      </c>
    </row>
    <row r="1267" spans="1:52" ht="55.2">
      <c r="A1267" s="3" t="s">
        <v>1311</v>
      </c>
      <c r="E1267">
        <v>2</v>
      </c>
      <c r="J1267">
        <v>11</v>
      </c>
      <c r="AY1267">
        <f t="shared" si="40"/>
        <v>43</v>
      </c>
      <c r="AZ1267">
        <f t="shared" si="41"/>
        <v>3</v>
      </c>
    </row>
    <row r="1268" spans="1:52" ht="55.2">
      <c r="A1268" s="3" t="s">
        <v>1312</v>
      </c>
      <c r="E1268">
        <v>2</v>
      </c>
      <c r="J1268">
        <v>11</v>
      </c>
      <c r="AY1268">
        <f t="shared" si="40"/>
        <v>43</v>
      </c>
      <c r="AZ1268">
        <f t="shared" si="41"/>
        <v>3</v>
      </c>
    </row>
    <row r="1269" spans="1:52" ht="55.2">
      <c r="A1269" s="3" t="s">
        <v>1313</v>
      </c>
      <c r="E1269">
        <v>2</v>
      </c>
      <c r="J1269">
        <v>11</v>
      </c>
      <c r="AY1269">
        <f t="shared" si="40"/>
        <v>43</v>
      </c>
      <c r="AZ1269">
        <f t="shared" si="41"/>
        <v>3</v>
      </c>
    </row>
    <row r="1270" spans="1:52" ht="55.2">
      <c r="A1270" s="3" t="s">
        <v>1314</v>
      </c>
      <c r="E1270">
        <v>2</v>
      </c>
      <c r="J1270">
        <v>11</v>
      </c>
      <c r="AY1270">
        <f t="shared" si="40"/>
        <v>43</v>
      </c>
      <c r="AZ1270">
        <f t="shared" si="41"/>
        <v>3</v>
      </c>
    </row>
    <row r="1271" spans="1:52" ht="55.2">
      <c r="A1271" s="3" t="s">
        <v>1315</v>
      </c>
      <c r="E1271">
        <v>2</v>
      </c>
      <c r="J1271">
        <v>11</v>
      </c>
      <c r="AY1271">
        <f t="shared" si="40"/>
        <v>43</v>
      </c>
      <c r="AZ1271">
        <f t="shared" si="41"/>
        <v>3</v>
      </c>
    </row>
    <row r="1272" spans="1:52" ht="55.2">
      <c r="A1272" s="3" t="s">
        <v>1316</v>
      </c>
      <c r="E1272">
        <v>2</v>
      </c>
      <c r="J1272">
        <v>11</v>
      </c>
      <c r="AY1272">
        <f t="shared" si="40"/>
        <v>43</v>
      </c>
      <c r="AZ1272">
        <f t="shared" si="41"/>
        <v>3</v>
      </c>
    </row>
    <row r="1273" spans="1:52" ht="55.2">
      <c r="A1273" s="3" t="s">
        <v>1317</v>
      </c>
      <c r="E1273">
        <v>2</v>
      </c>
      <c r="J1273">
        <v>11</v>
      </c>
      <c r="AY1273">
        <f t="shared" si="40"/>
        <v>43</v>
      </c>
      <c r="AZ1273">
        <f t="shared" si="41"/>
        <v>3</v>
      </c>
    </row>
    <row r="1274" spans="1:52" ht="55.2">
      <c r="A1274" s="3" t="s">
        <v>1318</v>
      </c>
      <c r="E1274">
        <v>2</v>
      </c>
      <c r="J1274">
        <v>11</v>
      </c>
      <c r="AY1274">
        <f t="shared" si="40"/>
        <v>43</v>
      </c>
      <c r="AZ1274">
        <f t="shared" si="41"/>
        <v>3</v>
      </c>
    </row>
    <row r="1275" spans="1:52" ht="55.2">
      <c r="A1275" s="3" t="s">
        <v>1319</v>
      </c>
      <c r="E1275">
        <v>2</v>
      </c>
      <c r="J1275">
        <v>11</v>
      </c>
      <c r="AY1275">
        <f t="shared" si="40"/>
        <v>43</v>
      </c>
      <c r="AZ1275">
        <f t="shared" si="41"/>
        <v>3</v>
      </c>
    </row>
    <row r="1276" spans="1:52" ht="55.2">
      <c r="A1276" s="3" t="s">
        <v>1320</v>
      </c>
      <c r="E1276">
        <v>2</v>
      </c>
      <c r="J1276">
        <v>11</v>
      </c>
      <c r="AY1276">
        <f t="shared" si="40"/>
        <v>43</v>
      </c>
      <c r="AZ1276">
        <f t="shared" si="41"/>
        <v>3</v>
      </c>
    </row>
    <row r="1277" spans="1:52" ht="55.2">
      <c r="A1277" s="3" t="s">
        <v>1321</v>
      </c>
      <c r="E1277">
        <v>2</v>
      </c>
      <c r="J1277">
        <v>11</v>
      </c>
      <c r="AY1277">
        <f t="shared" si="40"/>
        <v>43</v>
      </c>
      <c r="AZ1277">
        <f t="shared" si="41"/>
        <v>3</v>
      </c>
    </row>
    <row r="1278" spans="1:52" ht="55.2">
      <c r="A1278" s="3" t="s">
        <v>1322</v>
      </c>
      <c r="E1278">
        <v>2</v>
      </c>
      <c r="J1278">
        <v>11</v>
      </c>
      <c r="AY1278">
        <f t="shared" si="40"/>
        <v>43</v>
      </c>
      <c r="AZ1278">
        <f t="shared" si="41"/>
        <v>3</v>
      </c>
    </row>
    <row r="1279" spans="1:52" ht="55.2">
      <c r="A1279" s="3" t="s">
        <v>1323</v>
      </c>
      <c r="E1279">
        <v>2</v>
      </c>
      <c r="J1279">
        <v>11</v>
      </c>
      <c r="AY1279">
        <f t="shared" si="40"/>
        <v>43</v>
      </c>
      <c r="AZ1279">
        <f t="shared" si="41"/>
        <v>3</v>
      </c>
    </row>
    <row r="1280" spans="1:52" ht="55.2">
      <c r="A1280" s="3" t="s">
        <v>1324</v>
      </c>
      <c r="E1280">
        <v>2</v>
      </c>
      <c r="J1280">
        <v>11</v>
      </c>
      <c r="AY1280">
        <f t="shared" si="40"/>
        <v>43</v>
      </c>
      <c r="AZ1280">
        <f t="shared" si="41"/>
        <v>3</v>
      </c>
    </row>
    <row r="1281" spans="1:52" ht="55.2">
      <c r="A1281" s="3" t="s">
        <v>1325</v>
      </c>
      <c r="E1281">
        <v>2</v>
      </c>
      <c r="J1281">
        <v>11</v>
      </c>
      <c r="AY1281">
        <f t="shared" si="40"/>
        <v>43</v>
      </c>
      <c r="AZ1281">
        <f t="shared" si="41"/>
        <v>3</v>
      </c>
    </row>
    <row r="1282" spans="1:52" ht="55.2">
      <c r="A1282" s="3" t="s">
        <v>1326</v>
      </c>
      <c r="E1282">
        <v>2</v>
      </c>
      <c r="J1282">
        <v>11</v>
      </c>
      <c r="AY1282">
        <f t="shared" si="40"/>
        <v>43</v>
      </c>
      <c r="AZ1282">
        <f t="shared" si="41"/>
        <v>3</v>
      </c>
    </row>
    <row r="1283" spans="1:52" ht="55.2">
      <c r="A1283" s="3" t="s">
        <v>1327</v>
      </c>
      <c r="E1283">
        <v>2</v>
      </c>
      <c r="J1283">
        <v>11</v>
      </c>
      <c r="AY1283">
        <f t="shared" si="40"/>
        <v>43</v>
      </c>
      <c r="AZ1283">
        <f t="shared" si="41"/>
        <v>3</v>
      </c>
    </row>
    <row r="1284" spans="1:52" ht="55.2">
      <c r="A1284" s="3" t="s">
        <v>1328</v>
      </c>
      <c r="E1284">
        <v>2</v>
      </c>
      <c r="J1284">
        <v>11</v>
      </c>
      <c r="AY1284">
        <f t="shared" si="40"/>
        <v>43</v>
      </c>
      <c r="AZ1284">
        <f t="shared" si="41"/>
        <v>3</v>
      </c>
    </row>
    <row r="1285" spans="1:52" ht="55.2">
      <c r="A1285" s="3" t="s">
        <v>1329</v>
      </c>
      <c r="E1285">
        <v>2</v>
      </c>
      <c r="J1285">
        <v>11</v>
      </c>
      <c r="AY1285">
        <f t="shared" si="40"/>
        <v>43</v>
      </c>
      <c r="AZ1285">
        <f t="shared" si="41"/>
        <v>3</v>
      </c>
    </row>
    <row r="1286" spans="1:52" ht="55.2">
      <c r="A1286" s="3" t="s">
        <v>1330</v>
      </c>
      <c r="E1286">
        <v>2</v>
      </c>
      <c r="J1286">
        <v>11</v>
      </c>
      <c r="AY1286">
        <f t="shared" si="40"/>
        <v>43</v>
      </c>
      <c r="AZ1286">
        <f t="shared" si="41"/>
        <v>3</v>
      </c>
    </row>
    <row r="1287" spans="1:52" ht="55.2">
      <c r="A1287" s="3" t="s">
        <v>1331</v>
      </c>
      <c r="E1287">
        <v>2</v>
      </c>
      <c r="J1287">
        <v>11</v>
      </c>
      <c r="AY1287">
        <f t="shared" si="40"/>
        <v>43</v>
      </c>
      <c r="AZ1287">
        <f t="shared" si="41"/>
        <v>3</v>
      </c>
    </row>
    <row r="1288" spans="1:52" ht="55.2">
      <c r="A1288" s="3" t="s">
        <v>1332</v>
      </c>
      <c r="E1288">
        <v>2</v>
      </c>
      <c r="J1288">
        <v>11</v>
      </c>
      <c r="AY1288">
        <f t="shared" si="40"/>
        <v>43</v>
      </c>
      <c r="AZ1288">
        <f t="shared" si="41"/>
        <v>3</v>
      </c>
    </row>
    <row r="1289" spans="1:52" ht="55.2">
      <c r="A1289" s="3" t="s">
        <v>1333</v>
      </c>
      <c r="E1289">
        <v>2</v>
      </c>
      <c r="J1289">
        <v>11</v>
      </c>
      <c r="AY1289">
        <f t="shared" si="40"/>
        <v>43</v>
      </c>
      <c r="AZ1289">
        <f t="shared" si="41"/>
        <v>3</v>
      </c>
    </row>
    <row r="1290" spans="1:52" ht="55.2">
      <c r="A1290" s="3" t="s">
        <v>1334</v>
      </c>
      <c r="E1290">
        <v>2</v>
      </c>
      <c r="J1290">
        <v>11</v>
      </c>
      <c r="AY1290">
        <f t="shared" si="40"/>
        <v>43</v>
      </c>
      <c r="AZ1290">
        <f t="shared" si="41"/>
        <v>3</v>
      </c>
    </row>
    <row r="1291" spans="1:52" ht="55.2">
      <c r="A1291" s="3" t="s">
        <v>1335</v>
      </c>
      <c r="E1291">
        <v>2</v>
      </c>
      <c r="J1291">
        <v>11</v>
      </c>
      <c r="AY1291">
        <f t="shared" si="40"/>
        <v>43</v>
      </c>
      <c r="AZ1291">
        <f t="shared" si="41"/>
        <v>3</v>
      </c>
    </row>
    <row r="1292" spans="1:52" ht="55.2">
      <c r="A1292" s="3" t="s">
        <v>1336</v>
      </c>
      <c r="E1292">
        <v>2</v>
      </c>
      <c r="J1292">
        <v>11</v>
      </c>
      <c r="AY1292">
        <f t="shared" si="40"/>
        <v>43</v>
      </c>
      <c r="AZ1292">
        <f t="shared" si="41"/>
        <v>3</v>
      </c>
    </row>
    <row r="1293" spans="1:52" ht="55.2">
      <c r="A1293" s="3" t="s">
        <v>1337</v>
      </c>
      <c r="E1293">
        <v>2</v>
      </c>
      <c r="J1293">
        <v>11</v>
      </c>
      <c r="AY1293">
        <f t="shared" si="40"/>
        <v>43</v>
      </c>
      <c r="AZ1293">
        <f t="shared" si="41"/>
        <v>3</v>
      </c>
    </row>
    <row r="1294" spans="1:52" ht="55.2">
      <c r="A1294" s="3" t="s">
        <v>1338</v>
      </c>
      <c r="E1294">
        <v>2</v>
      </c>
      <c r="J1294">
        <v>11</v>
      </c>
      <c r="AY1294">
        <f t="shared" si="40"/>
        <v>43</v>
      </c>
      <c r="AZ1294">
        <f t="shared" si="41"/>
        <v>3</v>
      </c>
    </row>
    <row r="1295" spans="1:52" ht="55.2">
      <c r="A1295" s="3" t="s">
        <v>1339</v>
      </c>
      <c r="E1295">
        <v>2</v>
      </c>
      <c r="J1295">
        <v>11</v>
      </c>
      <c r="AY1295">
        <f t="shared" si="40"/>
        <v>43</v>
      </c>
      <c r="AZ1295">
        <f t="shared" si="41"/>
        <v>3</v>
      </c>
    </row>
    <row r="1296" spans="1:52" ht="55.2">
      <c r="A1296" s="3" t="s">
        <v>1340</v>
      </c>
      <c r="E1296">
        <v>2</v>
      </c>
      <c r="J1296">
        <v>11</v>
      </c>
      <c r="AY1296">
        <f t="shared" si="40"/>
        <v>43</v>
      </c>
      <c r="AZ1296">
        <f t="shared" si="41"/>
        <v>3</v>
      </c>
    </row>
    <row r="1297" spans="1:52" ht="55.2">
      <c r="A1297" s="3" t="s">
        <v>1341</v>
      </c>
      <c r="E1297">
        <v>2</v>
      </c>
      <c r="J1297">
        <v>11</v>
      </c>
      <c r="AY1297">
        <f t="shared" si="40"/>
        <v>43</v>
      </c>
      <c r="AZ1297">
        <f t="shared" si="41"/>
        <v>3</v>
      </c>
    </row>
    <row r="1298" spans="1:52" ht="55.2">
      <c r="A1298" s="3" t="s">
        <v>1342</v>
      </c>
      <c r="E1298">
        <v>2</v>
      </c>
      <c r="J1298">
        <v>11</v>
      </c>
      <c r="AY1298">
        <f t="shared" si="40"/>
        <v>43</v>
      </c>
      <c r="AZ1298">
        <f t="shared" si="41"/>
        <v>3</v>
      </c>
    </row>
    <row r="1299" spans="1:52" ht="55.2">
      <c r="A1299" s="3" t="s">
        <v>1343</v>
      </c>
      <c r="E1299">
        <v>2</v>
      </c>
      <c r="J1299">
        <v>11</v>
      </c>
      <c r="AY1299">
        <f t="shared" si="40"/>
        <v>43</v>
      </c>
      <c r="AZ1299">
        <f t="shared" si="41"/>
        <v>3</v>
      </c>
    </row>
    <row r="1300" spans="1:52" ht="55.2">
      <c r="A1300" s="3" t="s">
        <v>1344</v>
      </c>
      <c r="E1300">
        <v>2</v>
      </c>
      <c r="J1300">
        <v>11</v>
      </c>
      <c r="AY1300">
        <f t="shared" si="40"/>
        <v>43</v>
      </c>
      <c r="AZ1300">
        <f t="shared" si="41"/>
        <v>3</v>
      </c>
    </row>
    <row r="1301" spans="1:52" ht="55.2">
      <c r="A1301" s="3" t="s">
        <v>1345</v>
      </c>
      <c r="E1301">
        <v>2</v>
      </c>
      <c r="J1301">
        <v>11</v>
      </c>
      <c r="AY1301">
        <f t="shared" si="40"/>
        <v>43</v>
      </c>
      <c r="AZ1301">
        <f t="shared" si="41"/>
        <v>3</v>
      </c>
    </row>
    <row r="1302" spans="1:52" ht="55.2">
      <c r="A1302" s="3" t="s">
        <v>1346</v>
      </c>
      <c r="E1302">
        <v>2</v>
      </c>
      <c r="J1302">
        <v>11</v>
      </c>
      <c r="AY1302">
        <f t="shared" si="40"/>
        <v>43</v>
      </c>
      <c r="AZ1302">
        <f t="shared" si="41"/>
        <v>3</v>
      </c>
    </row>
    <row r="1303" spans="1:52" ht="55.2">
      <c r="A1303" s="3" t="s">
        <v>1347</v>
      </c>
      <c r="E1303">
        <v>2</v>
      </c>
      <c r="J1303">
        <v>11</v>
      </c>
      <c r="AY1303">
        <f t="shared" si="40"/>
        <v>43</v>
      </c>
      <c r="AZ1303">
        <f t="shared" si="41"/>
        <v>3</v>
      </c>
    </row>
    <row r="1304" spans="1:52" ht="55.2">
      <c r="A1304" s="3" t="s">
        <v>1348</v>
      </c>
      <c r="E1304">
        <v>2</v>
      </c>
      <c r="J1304">
        <v>11</v>
      </c>
      <c r="AY1304">
        <f t="shared" si="40"/>
        <v>43</v>
      </c>
      <c r="AZ1304">
        <f t="shared" si="41"/>
        <v>3</v>
      </c>
    </row>
    <row r="1305" spans="1:52" ht="55.2">
      <c r="A1305" s="3" t="s">
        <v>1349</v>
      </c>
      <c r="E1305">
        <v>2</v>
      </c>
      <c r="J1305">
        <v>11</v>
      </c>
      <c r="AY1305">
        <f t="shared" si="40"/>
        <v>43</v>
      </c>
      <c r="AZ1305">
        <f t="shared" si="41"/>
        <v>3</v>
      </c>
    </row>
    <row r="1306" spans="1:52" ht="55.2">
      <c r="A1306" s="3" t="s">
        <v>1350</v>
      </c>
      <c r="E1306">
        <v>2</v>
      </c>
      <c r="J1306">
        <v>11</v>
      </c>
      <c r="AY1306">
        <f t="shared" si="40"/>
        <v>43</v>
      </c>
      <c r="AZ1306">
        <f t="shared" si="41"/>
        <v>3</v>
      </c>
    </row>
    <row r="1307" spans="1:52" ht="55.2">
      <c r="A1307" s="3" t="s">
        <v>1351</v>
      </c>
      <c r="E1307">
        <v>2</v>
      </c>
      <c r="J1307">
        <v>11</v>
      </c>
      <c r="AY1307">
        <f t="shared" si="40"/>
        <v>43</v>
      </c>
      <c r="AZ1307">
        <f t="shared" si="41"/>
        <v>3</v>
      </c>
    </row>
    <row r="1308" spans="1:52" ht="55.2">
      <c r="A1308" s="3" t="s">
        <v>1352</v>
      </c>
      <c r="E1308">
        <v>2</v>
      </c>
      <c r="K1308">
        <v>3</v>
      </c>
      <c r="AY1308">
        <f t="shared" si="40"/>
        <v>43</v>
      </c>
      <c r="AZ1308">
        <f t="shared" si="41"/>
        <v>3</v>
      </c>
    </row>
    <row r="1309" spans="1:52" ht="55.2">
      <c r="A1309" s="3" t="s">
        <v>1353</v>
      </c>
      <c r="E1309">
        <v>2</v>
      </c>
      <c r="K1309">
        <v>3</v>
      </c>
      <c r="AY1309">
        <f t="shared" si="40"/>
        <v>43</v>
      </c>
      <c r="AZ1309">
        <f t="shared" si="41"/>
        <v>3</v>
      </c>
    </row>
    <row r="1310" spans="1:52" ht="55.2">
      <c r="A1310" s="3" t="s">
        <v>1354</v>
      </c>
      <c r="E1310">
        <v>2</v>
      </c>
      <c r="K1310">
        <v>3</v>
      </c>
      <c r="AY1310">
        <f t="shared" si="40"/>
        <v>43</v>
      </c>
      <c r="AZ1310">
        <f t="shared" si="41"/>
        <v>3</v>
      </c>
    </row>
    <row r="1311" spans="1:52" ht="55.2">
      <c r="A1311" s="3" t="s">
        <v>1355</v>
      </c>
      <c r="E1311">
        <v>2</v>
      </c>
      <c r="K1311">
        <v>3</v>
      </c>
      <c r="AY1311">
        <f t="shared" si="40"/>
        <v>43</v>
      </c>
      <c r="AZ1311">
        <f t="shared" si="41"/>
        <v>3</v>
      </c>
    </row>
    <row r="1312" spans="1:52" ht="55.2">
      <c r="A1312" s="3" t="s">
        <v>1356</v>
      </c>
      <c r="E1312">
        <v>2</v>
      </c>
      <c r="K1312">
        <v>3</v>
      </c>
      <c r="AY1312">
        <f t="shared" si="40"/>
        <v>43</v>
      </c>
      <c r="AZ1312">
        <f t="shared" si="41"/>
        <v>3</v>
      </c>
    </row>
    <row r="1313" spans="1:52" ht="55.2">
      <c r="A1313" s="3" t="s">
        <v>1357</v>
      </c>
      <c r="E1313">
        <v>2</v>
      </c>
      <c r="K1313">
        <v>3</v>
      </c>
      <c r="AY1313">
        <f t="shared" ref="AY1313:AY1376" si="42">COUNTBLANK(F1313:AW1313)</f>
        <v>43</v>
      </c>
      <c r="AZ1313">
        <f t="shared" ref="AZ1313:AZ1376" si="43">COUNTBLANK(B1313:E1313)</f>
        <v>3</v>
      </c>
    </row>
    <row r="1314" spans="1:52" ht="55.2">
      <c r="A1314" s="3" t="s">
        <v>1358</v>
      </c>
      <c r="E1314">
        <v>2</v>
      </c>
      <c r="K1314">
        <v>3</v>
      </c>
      <c r="AY1314">
        <f t="shared" si="42"/>
        <v>43</v>
      </c>
      <c r="AZ1314">
        <f t="shared" si="43"/>
        <v>3</v>
      </c>
    </row>
    <row r="1315" spans="1:52" ht="55.2">
      <c r="A1315" s="3" t="s">
        <v>1359</v>
      </c>
      <c r="E1315">
        <v>2</v>
      </c>
      <c r="K1315">
        <v>3</v>
      </c>
      <c r="AY1315">
        <f t="shared" si="42"/>
        <v>43</v>
      </c>
      <c r="AZ1315">
        <f t="shared" si="43"/>
        <v>3</v>
      </c>
    </row>
    <row r="1316" spans="1:52" ht="55.2">
      <c r="A1316" s="3" t="s">
        <v>1360</v>
      </c>
      <c r="E1316">
        <v>2</v>
      </c>
      <c r="K1316">
        <v>3</v>
      </c>
      <c r="AY1316">
        <f t="shared" si="42"/>
        <v>43</v>
      </c>
      <c r="AZ1316">
        <f t="shared" si="43"/>
        <v>3</v>
      </c>
    </row>
    <row r="1317" spans="1:52" ht="55.2">
      <c r="A1317" s="3" t="s">
        <v>1361</v>
      </c>
      <c r="E1317">
        <v>2</v>
      </c>
      <c r="K1317">
        <v>3</v>
      </c>
      <c r="AY1317">
        <f t="shared" si="42"/>
        <v>43</v>
      </c>
      <c r="AZ1317">
        <f t="shared" si="43"/>
        <v>3</v>
      </c>
    </row>
    <row r="1318" spans="1:52" ht="55.2">
      <c r="A1318" s="3" t="s">
        <v>1362</v>
      </c>
      <c r="E1318">
        <v>2</v>
      </c>
      <c r="K1318">
        <v>3</v>
      </c>
      <c r="AY1318">
        <f t="shared" si="42"/>
        <v>43</v>
      </c>
      <c r="AZ1318">
        <f t="shared" si="43"/>
        <v>3</v>
      </c>
    </row>
    <row r="1319" spans="1:52" ht="55.2">
      <c r="A1319" s="3" t="s">
        <v>1363</v>
      </c>
      <c r="E1319">
        <v>2</v>
      </c>
      <c r="K1319">
        <v>3</v>
      </c>
      <c r="AY1319">
        <f t="shared" si="42"/>
        <v>43</v>
      </c>
      <c r="AZ1319">
        <f t="shared" si="43"/>
        <v>3</v>
      </c>
    </row>
    <row r="1320" spans="1:52" ht="55.2">
      <c r="A1320" s="3" t="s">
        <v>1364</v>
      </c>
      <c r="E1320">
        <v>2</v>
      </c>
      <c r="K1320">
        <v>3</v>
      </c>
      <c r="AY1320">
        <f t="shared" si="42"/>
        <v>43</v>
      </c>
      <c r="AZ1320">
        <f t="shared" si="43"/>
        <v>3</v>
      </c>
    </row>
    <row r="1321" spans="1:52" ht="55.2">
      <c r="A1321" s="3" t="s">
        <v>1365</v>
      </c>
      <c r="E1321">
        <v>2</v>
      </c>
      <c r="K1321">
        <v>3</v>
      </c>
      <c r="AY1321">
        <f t="shared" si="42"/>
        <v>43</v>
      </c>
      <c r="AZ1321">
        <f t="shared" si="43"/>
        <v>3</v>
      </c>
    </row>
    <row r="1322" spans="1:52" ht="55.2">
      <c r="A1322" s="3" t="s">
        <v>1366</v>
      </c>
      <c r="E1322">
        <v>2</v>
      </c>
      <c r="K1322">
        <v>3</v>
      </c>
      <c r="AY1322">
        <f t="shared" si="42"/>
        <v>43</v>
      </c>
      <c r="AZ1322">
        <f t="shared" si="43"/>
        <v>3</v>
      </c>
    </row>
    <row r="1323" spans="1:52" ht="55.2">
      <c r="A1323" s="3" t="s">
        <v>1367</v>
      </c>
      <c r="E1323">
        <v>2</v>
      </c>
      <c r="K1323">
        <v>3</v>
      </c>
      <c r="AY1323">
        <f t="shared" si="42"/>
        <v>43</v>
      </c>
      <c r="AZ1323">
        <f t="shared" si="43"/>
        <v>3</v>
      </c>
    </row>
    <row r="1324" spans="1:52" ht="55.2">
      <c r="A1324" s="3" t="s">
        <v>1368</v>
      </c>
      <c r="E1324">
        <v>2</v>
      </c>
      <c r="K1324">
        <v>3</v>
      </c>
      <c r="AY1324">
        <f t="shared" si="42"/>
        <v>43</v>
      </c>
      <c r="AZ1324">
        <f t="shared" si="43"/>
        <v>3</v>
      </c>
    </row>
    <row r="1325" spans="1:52" ht="55.2">
      <c r="A1325" s="3" t="s">
        <v>1369</v>
      </c>
      <c r="E1325">
        <v>2</v>
      </c>
      <c r="K1325">
        <v>3</v>
      </c>
      <c r="AY1325">
        <f t="shared" si="42"/>
        <v>43</v>
      </c>
      <c r="AZ1325">
        <f t="shared" si="43"/>
        <v>3</v>
      </c>
    </row>
    <row r="1326" spans="1:52" ht="55.2">
      <c r="A1326" s="3" t="s">
        <v>1370</v>
      </c>
      <c r="E1326">
        <v>2</v>
      </c>
      <c r="K1326">
        <v>3</v>
      </c>
      <c r="AY1326">
        <f t="shared" si="42"/>
        <v>43</v>
      </c>
      <c r="AZ1326">
        <f t="shared" si="43"/>
        <v>3</v>
      </c>
    </row>
    <row r="1327" spans="1:52" ht="55.2">
      <c r="A1327" s="3" t="s">
        <v>1371</v>
      </c>
      <c r="E1327">
        <v>2</v>
      </c>
      <c r="K1327">
        <v>3</v>
      </c>
      <c r="AY1327">
        <f t="shared" si="42"/>
        <v>43</v>
      </c>
      <c r="AZ1327">
        <f t="shared" si="43"/>
        <v>3</v>
      </c>
    </row>
    <row r="1328" spans="1:52" ht="55.2">
      <c r="A1328" s="3" t="s">
        <v>1372</v>
      </c>
      <c r="E1328">
        <v>2</v>
      </c>
      <c r="K1328">
        <v>3</v>
      </c>
      <c r="AY1328">
        <f t="shared" si="42"/>
        <v>43</v>
      </c>
      <c r="AZ1328">
        <f t="shared" si="43"/>
        <v>3</v>
      </c>
    </row>
    <row r="1329" spans="1:52" ht="55.2">
      <c r="A1329" s="3" t="s">
        <v>1373</v>
      </c>
      <c r="E1329">
        <v>2</v>
      </c>
      <c r="K1329">
        <v>3</v>
      </c>
      <c r="AY1329">
        <f t="shared" si="42"/>
        <v>43</v>
      </c>
      <c r="AZ1329">
        <f t="shared" si="43"/>
        <v>3</v>
      </c>
    </row>
    <row r="1330" spans="1:52" ht="55.2">
      <c r="A1330" s="3" t="s">
        <v>1374</v>
      </c>
      <c r="E1330">
        <v>2</v>
      </c>
      <c r="K1330">
        <v>3</v>
      </c>
      <c r="AY1330">
        <f t="shared" si="42"/>
        <v>43</v>
      </c>
      <c r="AZ1330">
        <f t="shared" si="43"/>
        <v>3</v>
      </c>
    </row>
    <row r="1331" spans="1:52" ht="55.2">
      <c r="A1331" s="3" t="s">
        <v>1375</v>
      </c>
      <c r="E1331">
        <v>2</v>
      </c>
      <c r="K1331">
        <v>3</v>
      </c>
      <c r="AY1331">
        <f t="shared" si="42"/>
        <v>43</v>
      </c>
      <c r="AZ1331">
        <f t="shared" si="43"/>
        <v>3</v>
      </c>
    </row>
    <row r="1332" spans="1:52" ht="55.2">
      <c r="A1332" s="3" t="s">
        <v>1376</v>
      </c>
      <c r="E1332">
        <v>2</v>
      </c>
      <c r="K1332">
        <v>3</v>
      </c>
      <c r="AY1332">
        <f t="shared" si="42"/>
        <v>43</v>
      </c>
      <c r="AZ1332">
        <f t="shared" si="43"/>
        <v>3</v>
      </c>
    </row>
    <row r="1333" spans="1:52" ht="55.2">
      <c r="A1333" s="3" t="s">
        <v>1377</v>
      </c>
      <c r="E1333">
        <v>2</v>
      </c>
      <c r="K1333">
        <v>3</v>
      </c>
      <c r="AY1333">
        <f t="shared" si="42"/>
        <v>43</v>
      </c>
      <c r="AZ1333">
        <f t="shared" si="43"/>
        <v>3</v>
      </c>
    </row>
    <row r="1334" spans="1:52" ht="55.2">
      <c r="A1334" s="3" t="s">
        <v>1378</v>
      </c>
      <c r="E1334">
        <v>2</v>
      </c>
      <c r="K1334">
        <v>3</v>
      </c>
      <c r="AY1334">
        <f t="shared" si="42"/>
        <v>43</v>
      </c>
      <c r="AZ1334">
        <f t="shared" si="43"/>
        <v>3</v>
      </c>
    </row>
    <row r="1335" spans="1:52" ht="55.2">
      <c r="A1335" s="3" t="s">
        <v>1379</v>
      </c>
      <c r="E1335">
        <v>2</v>
      </c>
      <c r="K1335">
        <v>3</v>
      </c>
      <c r="AY1335">
        <f t="shared" si="42"/>
        <v>43</v>
      </c>
      <c r="AZ1335">
        <f t="shared" si="43"/>
        <v>3</v>
      </c>
    </row>
    <row r="1336" spans="1:52" ht="55.2">
      <c r="A1336" s="3" t="s">
        <v>1380</v>
      </c>
      <c r="E1336">
        <v>2</v>
      </c>
      <c r="K1336">
        <v>3</v>
      </c>
      <c r="AY1336">
        <f t="shared" si="42"/>
        <v>43</v>
      </c>
      <c r="AZ1336">
        <f t="shared" si="43"/>
        <v>3</v>
      </c>
    </row>
    <row r="1337" spans="1:52" ht="55.2">
      <c r="A1337" s="3" t="s">
        <v>1381</v>
      </c>
      <c r="E1337">
        <v>2</v>
      </c>
      <c r="K1337">
        <v>3</v>
      </c>
      <c r="AY1337">
        <f t="shared" si="42"/>
        <v>43</v>
      </c>
      <c r="AZ1337">
        <f t="shared" si="43"/>
        <v>3</v>
      </c>
    </row>
    <row r="1338" spans="1:52" ht="55.2">
      <c r="A1338" s="3" t="s">
        <v>1382</v>
      </c>
      <c r="E1338">
        <v>2</v>
      </c>
      <c r="K1338">
        <v>3</v>
      </c>
      <c r="AY1338">
        <f t="shared" si="42"/>
        <v>43</v>
      </c>
      <c r="AZ1338">
        <f t="shared" si="43"/>
        <v>3</v>
      </c>
    </row>
    <row r="1339" spans="1:52" ht="55.2">
      <c r="A1339" s="3" t="s">
        <v>1383</v>
      </c>
      <c r="E1339">
        <v>2</v>
      </c>
      <c r="K1339">
        <v>3</v>
      </c>
      <c r="AY1339">
        <f t="shared" si="42"/>
        <v>43</v>
      </c>
      <c r="AZ1339">
        <f t="shared" si="43"/>
        <v>3</v>
      </c>
    </row>
    <row r="1340" spans="1:52" ht="55.2">
      <c r="A1340" s="3" t="s">
        <v>1384</v>
      </c>
      <c r="E1340">
        <v>2</v>
      </c>
      <c r="K1340">
        <v>3</v>
      </c>
      <c r="AY1340">
        <f t="shared" si="42"/>
        <v>43</v>
      </c>
      <c r="AZ1340">
        <f t="shared" si="43"/>
        <v>3</v>
      </c>
    </row>
    <row r="1341" spans="1:52" ht="55.2">
      <c r="A1341" s="3" t="s">
        <v>1385</v>
      </c>
      <c r="E1341">
        <v>2</v>
      </c>
      <c r="K1341">
        <v>3</v>
      </c>
      <c r="AY1341">
        <f t="shared" si="42"/>
        <v>43</v>
      </c>
      <c r="AZ1341">
        <f t="shared" si="43"/>
        <v>3</v>
      </c>
    </row>
    <row r="1342" spans="1:52" ht="55.2">
      <c r="A1342" s="3" t="s">
        <v>1386</v>
      </c>
      <c r="E1342">
        <v>2</v>
      </c>
      <c r="K1342">
        <v>3</v>
      </c>
      <c r="AY1342">
        <f t="shared" si="42"/>
        <v>43</v>
      </c>
      <c r="AZ1342">
        <f t="shared" si="43"/>
        <v>3</v>
      </c>
    </row>
    <row r="1343" spans="1:52" ht="55.2">
      <c r="A1343" s="3" t="s">
        <v>1387</v>
      </c>
      <c r="E1343">
        <v>2</v>
      </c>
      <c r="K1343">
        <v>3</v>
      </c>
      <c r="AY1343">
        <f t="shared" si="42"/>
        <v>43</v>
      </c>
      <c r="AZ1343">
        <f t="shared" si="43"/>
        <v>3</v>
      </c>
    </row>
    <row r="1344" spans="1:52" ht="55.2">
      <c r="A1344" s="3" t="s">
        <v>1388</v>
      </c>
      <c r="E1344">
        <v>2</v>
      </c>
      <c r="K1344">
        <v>3</v>
      </c>
      <c r="AY1344">
        <f t="shared" si="42"/>
        <v>43</v>
      </c>
      <c r="AZ1344">
        <f t="shared" si="43"/>
        <v>3</v>
      </c>
    </row>
    <row r="1345" spans="1:52" ht="55.2">
      <c r="A1345" s="3" t="s">
        <v>1389</v>
      </c>
      <c r="E1345">
        <v>2</v>
      </c>
      <c r="K1345">
        <v>3</v>
      </c>
      <c r="AY1345">
        <f t="shared" si="42"/>
        <v>43</v>
      </c>
      <c r="AZ1345">
        <f t="shared" si="43"/>
        <v>3</v>
      </c>
    </row>
    <row r="1346" spans="1:52" ht="55.2">
      <c r="A1346" s="3" t="s">
        <v>1390</v>
      </c>
      <c r="E1346">
        <v>2</v>
      </c>
      <c r="K1346">
        <v>3</v>
      </c>
      <c r="AY1346">
        <f t="shared" si="42"/>
        <v>43</v>
      </c>
      <c r="AZ1346">
        <f t="shared" si="43"/>
        <v>3</v>
      </c>
    </row>
    <row r="1347" spans="1:52" ht="55.2">
      <c r="A1347" s="3" t="s">
        <v>1391</v>
      </c>
      <c r="E1347">
        <v>2</v>
      </c>
      <c r="K1347">
        <v>3</v>
      </c>
      <c r="AY1347">
        <f t="shared" si="42"/>
        <v>43</v>
      </c>
      <c r="AZ1347">
        <f t="shared" si="43"/>
        <v>3</v>
      </c>
    </row>
    <row r="1348" spans="1:52" ht="55.2">
      <c r="A1348" s="3" t="s">
        <v>1392</v>
      </c>
      <c r="E1348">
        <v>2</v>
      </c>
      <c r="K1348">
        <v>3</v>
      </c>
      <c r="AY1348">
        <f t="shared" si="42"/>
        <v>43</v>
      </c>
      <c r="AZ1348">
        <f t="shared" si="43"/>
        <v>3</v>
      </c>
    </row>
    <row r="1349" spans="1:52" ht="55.2">
      <c r="A1349" s="3" t="s">
        <v>1393</v>
      </c>
      <c r="E1349">
        <v>2</v>
      </c>
      <c r="K1349">
        <v>3</v>
      </c>
      <c r="AY1349">
        <f t="shared" si="42"/>
        <v>43</v>
      </c>
      <c r="AZ1349">
        <f t="shared" si="43"/>
        <v>3</v>
      </c>
    </row>
    <row r="1350" spans="1:52" ht="55.2">
      <c r="A1350" s="3" t="s">
        <v>1394</v>
      </c>
      <c r="E1350">
        <v>2</v>
      </c>
      <c r="J1350">
        <v>12</v>
      </c>
      <c r="AY1350">
        <f t="shared" si="42"/>
        <v>43</v>
      </c>
      <c r="AZ1350">
        <f t="shared" si="43"/>
        <v>3</v>
      </c>
    </row>
    <row r="1351" spans="1:52" ht="55.2">
      <c r="A1351" s="3" t="s">
        <v>1395</v>
      </c>
      <c r="E1351">
        <v>2</v>
      </c>
      <c r="J1351">
        <v>12</v>
      </c>
      <c r="AY1351">
        <f t="shared" si="42"/>
        <v>43</v>
      </c>
      <c r="AZ1351">
        <f t="shared" si="43"/>
        <v>3</v>
      </c>
    </row>
    <row r="1352" spans="1:52" ht="55.2">
      <c r="A1352" s="3" t="s">
        <v>1396</v>
      </c>
      <c r="E1352">
        <v>2</v>
      </c>
      <c r="J1352">
        <v>12</v>
      </c>
      <c r="AY1352">
        <f t="shared" si="42"/>
        <v>43</v>
      </c>
      <c r="AZ1352">
        <f t="shared" si="43"/>
        <v>3</v>
      </c>
    </row>
    <row r="1353" spans="1:52" ht="55.2">
      <c r="A1353" s="3" t="s">
        <v>1397</v>
      </c>
      <c r="E1353">
        <v>2</v>
      </c>
      <c r="J1353">
        <v>12</v>
      </c>
      <c r="AY1353">
        <f t="shared" si="42"/>
        <v>43</v>
      </c>
      <c r="AZ1353">
        <f t="shared" si="43"/>
        <v>3</v>
      </c>
    </row>
    <row r="1354" spans="1:52" ht="55.2">
      <c r="A1354" s="3" t="s">
        <v>1398</v>
      </c>
      <c r="E1354">
        <v>2</v>
      </c>
      <c r="J1354">
        <v>12</v>
      </c>
      <c r="AY1354">
        <f t="shared" si="42"/>
        <v>43</v>
      </c>
      <c r="AZ1354">
        <f t="shared" si="43"/>
        <v>3</v>
      </c>
    </row>
    <row r="1355" spans="1:52" ht="55.2">
      <c r="A1355" s="3" t="s">
        <v>1399</v>
      </c>
      <c r="E1355">
        <v>2</v>
      </c>
      <c r="J1355">
        <v>12</v>
      </c>
      <c r="AY1355">
        <f t="shared" si="42"/>
        <v>43</v>
      </c>
      <c r="AZ1355">
        <f t="shared" si="43"/>
        <v>3</v>
      </c>
    </row>
    <row r="1356" spans="1:52" ht="55.2">
      <c r="A1356" s="3" t="s">
        <v>1400</v>
      </c>
      <c r="E1356">
        <v>2</v>
      </c>
      <c r="J1356">
        <v>12</v>
      </c>
      <c r="AY1356">
        <f t="shared" si="42"/>
        <v>43</v>
      </c>
      <c r="AZ1356">
        <f t="shared" si="43"/>
        <v>3</v>
      </c>
    </row>
    <row r="1357" spans="1:52" ht="55.2">
      <c r="A1357" s="3" t="s">
        <v>1401</v>
      </c>
      <c r="E1357">
        <v>2</v>
      </c>
      <c r="J1357">
        <v>12</v>
      </c>
      <c r="AY1357">
        <f t="shared" si="42"/>
        <v>43</v>
      </c>
      <c r="AZ1357">
        <f t="shared" si="43"/>
        <v>3</v>
      </c>
    </row>
    <row r="1358" spans="1:52" ht="55.2">
      <c r="A1358" s="3" t="s">
        <v>1402</v>
      </c>
      <c r="E1358">
        <v>2</v>
      </c>
      <c r="J1358">
        <v>12</v>
      </c>
      <c r="AY1358">
        <f t="shared" si="42"/>
        <v>43</v>
      </c>
      <c r="AZ1358">
        <f t="shared" si="43"/>
        <v>3</v>
      </c>
    </row>
    <row r="1359" spans="1:52" ht="55.2">
      <c r="A1359" s="3" t="s">
        <v>1403</v>
      </c>
      <c r="E1359">
        <v>2</v>
      </c>
      <c r="J1359">
        <v>12</v>
      </c>
      <c r="AY1359">
        <f t="shared" si="42"/>
        <v>43</v>
      </c>
      <c r="AZ1359">
        <f t="shared" si="43"/>
        <v>3</v>
      </c>
    </row>
    <row r="1360" spans="1:52" ht="55.2">
      <c r="A1360" s="3" t="s">
        <v>1404</v>
      </c>
      <c r="E1360">
        <v>2</v>
      </c>
      <c r="J1360">
        <v>12</v>
      </c>
      <c r="AY1360">
        <f t="shared" si="42"/>
        <v>43</v>
      </c>
      <c r="AZ1360">
        <f t="shared" si="43"/>
        <v>3</v>
      </c>
    </row>
    <row r="1361" spans="1:52" ht="55.2">
      <c r="A1361" s="3" t="s">
        <v>1405</v>
      </c>
      <c r="E1361">
        <v>2</v>
      </c>
      <c r="J1361">
        <v>12</v>
      </c>
      <c r="AY1361">
        <f t="shared" si="42"/>
        <v>43</v>
      </c>
      <c r="AZ1361">
        <f t="shared" si="43"/>
        <v>3</v>
      </c>
    </row>
    <row r="1362" spans="1:52" ht="55.2">
      <c r="A1362" s="3" t="s">
        <v>1406</v>
      </c>
      <c r="E1362">
        <v>2</v>
      </c>
      <c r="J1362">
        <v>12</v>
      </c>
      <c r="AY1362">
        <f t="shared" si="42"/>
        <v>43</v>
      </c>
      <c r="AZ1362">
        <f t="shared" si="43"/>
        <v>3</v>
      </c>
    </row>
    <row r="1363" spans="1:52" ht="55.2">
      <c r="A1363" s="3" t="s">
        <v>1407</v>
      </c>
      <c r="E1363">
        <v>2</v>
      </c>
      <c r="J1363">
        <v>12</v>
      </c>
      <c r="AY1363">
        <f t="shared" si="42"/>
        <v>43</v>
      </c>
      <c r="AZ1363">
        <f t="shared" si="43"/>
        <v>3</v>
      </c>
    </row>
    <row r="1364" spans="1:52" ht="55.2">
      <c r="A1364" s="3" t="s">
        <v>1408</v>
      </c>
      <c r="E1364">
        <v>2</v>
      </c>
      <c r="J1364">
        <v>12</v>
      </c>
      <c r="AY1364">
        <f t="shared" si="42"/>
        <v>43</v>
      </c>
      <c r="AZ1364">
        <f t="shared" si="43"/>
        <v>3</v>
      </c>
    </row>
    <row r="1365" spans="1:52" ht="55.2">
      <c r="A1365" s="3" t="s">
        <v>1409</v>
      </c>
      <c r="E1365">
        <v>2</v>
      </c>
      <c r="J1365">
        <v>12</v>
      </c>
      <c r="AY1365">
        <f t="shared" si="42"/>
        <v>43</v>
      </c>
      <c r="AZ1365">
        <f t="shared" si="43"/>
        <v>3</v>
      </c>
    </row>
    <row r="1366" spans="1:52" ht="55.2">
      <c r="A1366" s="3" t="s">
        <v>1410</v>
      </c>
      <c r="E1366">
        <v>2</v>
      </c>
      <c r="J1366">
        <v>12</v>
      </c>
      <c r="AY1366">
        <f t="shared" si="42"/>
        <v>43</v>
      </c>
      <c r="AZ1366">
        <f t="shared" si="43"/>
        <v>3</v>
      </c>
    </row>
    <row r="1367" spans="1:52" ht="55.2">
      <c r="A1367" s="3" t="s">
        <v>1411</v>
      </c>
      <c r="E1367">
        <v>2</v>
      </c>
      <c r="J1367">
        <v>12</v>
      </c>
      <c r="AY1367">
        <f t="shared" si="42"/>
        <v>43</v>
      </c>
      <c r="AZ1367">
        <f t="shared" si="43"/>
        <v>3</v>
      </c>
    </row>
    <row r="1368" spans="1:52" ht="55.2">
      <c r="A1368" s="3" t="s">
        <v>1412</v>
      </c>
      <c r="E1368">
        <v>2</v>
      </c>
      <c r="J1368">
        <v>12</v>
      </c>
      <c r="AY1368">
        <f t="shared" si="42"/>
        <v>43</v>
      </c>
      <c r="AZ1368">
        <f t="shared" si="43"/>
        <v>3</v>
      </c>
    </row>
    <row r="1369" spans="1:52" ht="55.2">
      <c r="A1369" s="3" t="s">
        <v>1413</v>
      </c>
      <c r="E1369">
        <v>2</v>
      </c>
      <c r="J1369">
        <v>12</v>
      </c>
      <c r="AY1369">
        <f t="shared" si="42"/>
        <v>43</v>
      </c>
      <c r="AZ1369">
        <f t="shared" si="43"/>
        <v>3</v>
      </c>
    </row>
    <row r="1370" spans="1:52" ht="55.2">
      <c r="A1370" s="3" t="s">
        <v>1414</v>
      </c>
      <c r="E1370">
        <v>2</v>
      </c>
      <c r="J1370">
        <v>12</v>
      </c>
      <c r="AY1370">
        <f t="shared" si="42"/>
        <v>43</v>
      </c>
      <c r="AZ1370">
        <f t="shared" si="43"/>
        <v>3</v>
      </c>
    </row>
    <row r="1371" spans="1:52" ht="55.2">
      <c r="A1371" s="3" t="s">
        <v>1415</v>
      </c>
      <c r="E1371">
        <v>2</v>
      </c>
      <c r="J1371">
        <v>12</v>
      </c>
      <c r="AY1371">
        <f t="shared" si="42"/>
        <v>43</v>
      </c>
      <c r="AZ1371">
        <f t="shared" si="43"/>
        <v>3</v>
      </c>
    </row>
    <row r="1372" spans="1:52" ht="55.2">
      <c r="A1372" s="3" t="s">
        <v>1416</v>
      </c>
      <c r="E1372">
        <v>2</v>
      </c>
      <c r="J1372">
        <v>12</v>
      </c>
      <c r="AY1372">
        <f t="shared" si="42"/>
        <v>43</v>
      </c>
      <c r="AZ1372">
        <f t="shared" si="43"/>
        <v>3</v>
      </c>
    </row>
    <row r="1373" spans="1:52" ht="55.2">
      <c r="A1373" s="3" t="s">
        <v>1417</v>
      </c>
      <c r="E1373">
        <v>2</v>
      </c>
      <c r="J1373">
        <v>12</v>
      </c>
      <c r="AY1373">
        <f t="shared" si="42"/>
        <v>43</v>
      </c>
      <c r="AZ1373">
        <f t="shared" si="43"/>
        <v>3</v>
      </c>
    </row>
    <row r="1374" spans="1:52" ht="55.2">
      <c r="A1374" s="3" t="s">
        <v>1418</v>
      </c>
      <c r="E1374">
        <v>2</v>
      </c>
      <c r="J1374">
        <v>12</v>
      </c>
      <c r="AY1374">
        <f t="shared" si="42"/>
        <v>43</v>
      </c>
      <c r="AZ1374">
        <f t="shared" si="43"/>
        <v>3</v>
      </c>
    </row>
    <row r="1375" spans="1:52" ht="55.2">
      <c r="A1375" s="3" t="s">
        <v>1419</v>
      </c>
      <c r="E1375">
        <v>2</v>
      </c>
      <c r="J1375">
        <v>12</v>
      </c>
      <c r="AY1375">
        <f t="shared" si="42"/>
        <v>43</v>
      </c>
      <c r="AZ1375">
        <f t="shared" si="43"/>
        <v>3</v>
      </c>
    </row>
    <row r="1376" spans="1:52" ht="55.2">
      <c r="A1376" s="3" t="s">
        <v>1420</v>
      </c>
      <c r="D1376">
        <v>2</v>
      </c>
      <c r="E1376">
        <v>2</v>
      </c>
      <c r="J1376">
        <v>12</v>
      </c>
      <c r="AY1376">
        <f t="shared" si="42"/>
        <v>43</v>
      </c>
      <c r="AZ1376">
        <f t="shared" si="43"/>
        <v>2</v>
      </c>
    </row>
    <row r="1377" spans="1:52" ht="55.2">
      <c r="A1377" s="3" t="s">
        <v>1421</v>
      </c>
      <c r="D1377">
        <v>2</v>
      </c>
      <c r="E1377">
        <v>2</v>
      </c>
      <c r="J1377">
        <v>12</v>
      </c>
      <c r="AY1377">
        <f t="shared" ref="AY1377:AY1440" si="44">COUNTBLANK(F1377:AW1377)</f>
        <v>43</v>
      </c>
      <c r="AZ1377">
        <f t="shared" ref="AZ1377:AZ1440" si="45">COUNTBLANK(B1377:E1377)</f>
        <v>2</v>
      </c>
    </row>
    <row r="1378" spans="1:52" ht="55.2">
      <c r="A1378" s="3" t="s">
        <v>1422</v>
      </c>
      <c r="D1378">
        <v>2</v>
      </c>
      <c r="E1378">
        <v>2</v>
      </c>
      <c r="M1378">
        <v>4</v>
      </c>
      <c r="AY1378">
        <f t="shared" si="44"/>
        <v>43</v>
      </c>
      <c r="AZ1378">
        <f t="shared" si="45"/>
        <v>2</v>
      </c>
    </row>
    <row r="1379" spans="1:52" ht="55.2">
      <c r="A1379" s="3" t="s">
        <v>1423</v>
      </c>
      <c r="D1379">
        <v>2</v>
      </c>
      <c r="E1379">
        <v>2</v>
      </c>
      <c r="M1379">
        <v>4</v>
      </c>
      <c r="AY1379">
        <f t="shared" si="44"/>
        <v>43</v>
      </c>
      <c r="AZ1379">
        <f t="shared" si="45"/>
        <v>2</v>
      </c>
    </row>
    <row r="1380" spans="1:52" ht="55.2">
      <c r="A1380" s="3" t="s">
        <v>1424</v>
      </c>
      <c r="D1380">
        <v>2</v>
      </c>
      <c r="E1380">
        <v>2</v>
      </c>
      <c r="M1380">
        <v>4</v>
      </c>
      <c r="AY1380">
        <f t="shared" si="44"/>
        <v>43</v>
      </c>
      <c r="AZ1380">
        <f t="shared" si="45"/>
        <v>2</v>
      </c>
    </row>
    <row r="1381" spans="1:52" ht="55.2">
      <c r="A1381" s="3" t="s">
        <v>1425</v>
      </c>
      <c r="D1381">
        <v>2</v>
      </c>
      <c r="E1381">
        <v>2</v>
      </c>
      <c r="M1381">
        <v>4</v>
      </c>
      <c r="AY1381">
        <f t="shared" si="44"/>
        <v>43</v>
      </c>
      <c r="AZ1381">
        <f t="shared" si="45"/>
        <v>2</v>
      </c>
    </row>
    <row r="1382" spans="1:52" ht="55.2">
      <c r="A1382" s="3" t="s">
        <v>1426</v>
      </c>
      <c r="D1382">
        <v>2</v>
      </c>
      <c r="E1382">
        <v>2</v>
      </c>
      <c r="M1382">
        <v>4</v>
      </c>
      <c r="AY1382">
        <f t="shared" si="44"/>
        <v>43</v>
      </c>
      <c r="AZ1382">
        <f t="shared" si="45"/>
        <v>2</v>
      </c>
    </row>
    <row r="1383" spans="1:52" ht="55.2">
      <c r="A1383" s="3" t="s">
        <v>1427</v>
      </c>
      <c r="D1383">
        <v>2</v>
      </c>
      <c r="E1383">
        <v>2</v>
      </c>
      <c r="M1383">
        <v>4</v>
      </c>
      <c r="AY1383">
        <f t="shared" si="44"/>
        <v>43</v>
      </c>
      <c r="AZ1383">
        <f t="shared" si="45"/>
        <v>2</v>
      </c>
    </row>
    <row r="1384" spans="1:52" ht="55.2">
      <c r="A1384" s="3" t="s">
        <v>1428</v>
      </c>
      <c r="D1384">
        <v>2</v>
      </c>
      <c r="E1384">
        <v>2</v>
      </c>
      <c r="M1384">
        <v>4</v>
      </c>
      <c r="AY1384">
        <f t="shared" si="44"/>
        <v>43</v>
      </c>
      <c r="AZ1384">
        <f t="shared" si="45"/>
        <v>2</v>
      </c>
    </row>
    <row r="1385" spans="1:52" ht="55.2">
      <c r="A1385" s="3" t="s">
        <v>1429</v>
      </c>
      <c r="D1385">
        <v>2</v>
      </c>
      <c r="E1385">
        <v>2</v>
      </c>
      <c r="M1385">
        <v>4</v>
      </c>
      <c r="AY1385">
        <f t="shared" si="44"/>
        <v>43</v>
      </c>
      <c r="AZ1385">
        <f t="shared" si="45"/>
        <v>2</v>
      </c>
    </row>
    <row r="1386" spans="1:52" ht="55.2">
      <c r="A1386" s="3" t="s">
        <v>1430</v>
      </c>
      <c r="D1386">
        <v>2</v>
      </c>
      <c r="E1386">
        <v>2</v>
      </c>
      <c r="M1386">
        <v>4</v>
      </c>
      <c r="AY1386">
        <f t="shared" si="44"/>
        <v>43</v>
      </c>
      <c r="AZ1386">
        <f t="shared" si="45"/>
        <v>2</v>
      </c>
    </row>
    <row r="1387" spans="1:52" ht="55.2">
      <c r="A1387" s="3" t="s">
        <v>1431</v>
      </c>
      <c r="D1387">
        <v>2</v>
      </c>
      <c r="E1387">
        <v>2</v>
      </c>
      <c r="M1387">
        <v>4</v>
      </c>
      <c r="AY1387">
        <f t="shared" si="44"/>
        <v>43</v>
      </c>
      <c r="AZ1387">
        <f t="shared" si="45"/>
        <v>2</v>
      </c>
    </row>
    <row r="1388" spans="1:52" ht="55.2">
      <c r="A1388" s="3" t="s">
        <v>1432</v>
      </c>
      <c r="D1388">
        <v>2</v>
      </c>
      <c r="E1388">
        <v>2</v>
      </c>
      <c r="M1388">
        <v>4</v>
      </c>
      <c r="AY1388">
        <f t="shared" si="44"/>
        <v>43</v>
      </c>
      <c r="AZ1388">
        <f t="shared" si="45"/>
        <v>2</v>
      </c>
    </row>
    <row r="1389" spans="1:52" ht="55.2">
      <c r="A1389" s="3" t="s">
        <v>1433</v>
      </c>
      <c r="D1389">
        <v>2</v>
      </c>
      <c r="E1389">
        <v>2</v>
      </c>
      <c r="M1389">
        <v>4</v>
      </c>
      <c r="AY1389">
        <f t="shared" si="44"/>
        <v>43</v>
      </c>
      <c r="AZ1389">
        <f t="shared" si="45"/>
        <v>2</v>
      </c>
    </row>
    <row r="1390" spans="1:52" ht="55.2">
      <c r="A1390" s="3" t="s">
        <v>1434</v>
      </c>
      <c r="D1390">
        <v>2</v>
      </c>
      <c r="E1390">
        <v>2</v>
      </c>
      <c r="M1390">
        <v>4</v>
      </c>
      <c r="AY1390">
        <f t="shared" si="44"/>
        <v>43</v>
      </c>
      <c r="AZ1390">
        <f t="shared" si="45"/>
        <v>2</v>
      </c>
    </row>
    <row r="1391" spans="1:52" ht="55.2">
      <c r="A1391" s="3" t="s">
        <v>1435</v>
      </c>
      <c r="D1391">
        <v>2</v>
      </c>
      <c r="E1391">
        <v>2</v>
      </c>
      <c r="M1391">
        <v>4</v>
      </c>
      <c r="AY1391">
        <f t="shared" si="44"/>
        <v>43</v>
      </c>
      <c r="AZ1391">
        <f t="shared" si="45"/>
        <v>2</v>
      </c>
    </row>
    <row r="1392" spans="1:52" ht="55.2">
      <c r="A1392" s="3" t="s">
        <v>1436</v>
      </c>
      <c r="D1392">
        <v>2</v>
      </c>
      <c r="E1392">
        <v>2</v>
      </c>
      <c r="M1392">
        <v>4</v>
      </c>
      <c r="AY1392">
        <f t="shared" si="44"/>
        <v>43</v>
      </c>
      <c r="AZ1392">
        <f t="shared" si="45"/>
        <v>2</v>
      </c>
    </row>
    <row r="1393" spans="1:52" ht="55.2">
      <c r="A1393" s="3" t="s">
        <v>1437</v>
      </c>
      <c r="D1393">
        <v>2</v>
      </c>
      <c r="E1393">
        <v>2</v>
      </c>
      <c r="M1393">
        <v>4</v>
      </c>
      <c r="AY1393">
        <f t="shared" si="44"/>
        <v>43</v>
      </c>
      <c r="AZ1393">
        <f t="shared" si="45"/>
        <v>2</v>
      </c>
    </row>
    <row r="1394" spans="1:52" ht="55.2">
      <c r="A1394" s="3" t="s">
        <v>1438</v>
      </c>
      <c r="D1394">
        <v>2</v>
      </c>
      <c r="E1394">
        <v>2</v>
      </c>
      <c r="M1394">
        <v>4</v>
      </c>
      <c r="AY1394">
        <f t="shared" si="44"/>
        <v>43</v>
      </c>
      <c r="AZ1394">
        <f t="shared" si="45"/>
        <v>2</v>
      </c>
    </row>
    <row r="1395" spans="1:52" ht="55.2">
      <c r="A1395" s="3" t="s">
        <v>1439</v>
      </c>
      <c r="D1395">
        <v>2</v>
      </c>
      <c r="E1395">
        <v>2</v>
      </c>
      <c r="M1395">
        <v>4</v>
      </c>
      <c r="AY1395">
        <f t="shared" si="44"/>
        <v>43</v>
      </c>
      <c r="AZ1395">
        <f t="shared" si="45"/>
        <v>2</v>
      </c>
    </row>
    <row r="1396" spans="1:52" ht="55.2">
      <c r="A1396" s="3" t="s">
        <v>1440</v>
      </c>
      <c r="D1396">
        <v>2</v>
      </c>
      <c r="E1396">
        <v>2</v>
      </c>
      <c r="M1396">
        <v>4</v>
      </c>
      <c r="AY1396">
        <f t="shared" si="44"/>
        <v>43</v>
      </c>
      <c r="AZ1396">
        <f t="shared" si="45"/>
        <v>2</v>
      </c>
    </row>
    <row r="1397" spans="1:52" ht="55.2">
      <c r="A1397" s="3" t="s">
        <v>1441</v>
      </c>
      <c r="D1397">
        <v>2</v>
      </c>
      <c r="E1397">
        <v>2</v>
      </c>
      <c r="M1397">
        <v>4</v>
      </c>
      <c r="AY1397">
        <f t="shared" si="44"/>
        <v>43</v>
      </c>
      <c r="AZ1397">
        <f t="shared" si="45"/>
        <v>2</v>
      </c>
    </row>
    <row r="1398" spans="1:52" ht="55.2">
      <c r="A1398" s="3" t="s">
        <v>1442</v>
      </c>
      <c r="D1398">
        <v>2</v>
      </c>
      <c r="E1398">
        <v>2</v>
      </c>
      <c r="M1398">
        <v>4</v>
      </c>
      <c r="AY1398">
        <f t="shared" si="44"/>
        <v>43</v>
      </c>
      <c r="AZ1398">
        <f t="shared" si="45"/>
        <v>2</v>
      </c>
    </row>
    <row r="1399" spans="1:52" ht="55.2">
      <c r="A1399" s="3" t="s">
        <v>1443</v>
      </c>
      <c r="D1399">
        <v>2</v>
      </c>
      <c r="E1399">
        <v>2</v>
      </c>
      <c r="M1399">
        <v>4</v>
      </c>
      <c r="AY1399">
        <f t="shared" si="44"/>
        <v>43</v>
      </c>
      <c r="AZ1399">
        <f t="shared" si="45"/>
        <v>2</v>
      </c>
    </row>
    <row r="1400" spans="1:52" ht="55.2">
      <c r="A1400" s="3" t="s">
        <v>1444</v>
      </c>
      <c r="D1400">
        <v>2</v>
      </c>
      <c r="E1400">
        <v>2</v>
      </c>
      <c r="M1400">
        <v>4</v>
      </c>
      <c r="AY1400">
        <f t="shared" si="44"/>
        <v>43</v>
      </c>
      <c r="AZ1400">
        <f t="shared" si="45"/>
        <v>2</v>
      </c>
    </row>
    <row r="1401" spans="1:52" ht="55.2">
      <c r="A1401" s="3" t="s">
        <v>1445</v>
      </c>
      <c r="D1401">
        <v>2</v>
      </c>
      <c r="E1401">
        <v>2</v>
      </c>
      <c r="M1401">
        <v>4</v>
      </c>
      <c r="AY1401">
        <f t="shared" si="44"/>
        <v>43</v>
      </c>
      <c r="AZ1401">
        <f t="shared" si="45"/>
        <v>2</v>
      </c>
    </row>
    <row r="1402" spans="1:52" ht="55.2">
      <c r="A1402" s="3" t="s">
        <v>1446</v>
      </c>
      <c r="D1402">
        <v>2</v>
      </c>
      <c r="E1402">
        <v>2</v>
      </c>
      <c r="M1402">
        <v>4</v>
      </c>
      <c r="AY1402">
        <f t="shared" si="44"/>
        <v>43</v>
      </c>
      <c r="AZ1402">
        <f t="shared" si="45"/>
        <v>2</v>
      </c>
    </row>
    <row r="1403" spans="1:52" ht="55.2">
      <c r="A1403" s="3" t="s">
        <v>1447</v>
      </c>
      <c r="D1403">
        <v>2</v>
      </c>
      <c r="E1403">
        <v>2</v>
      </c>
      <c r="M1403">
        <v>4</v>
      </c>
      <c r="AY1403">
        <f t="shared" si="44"/>
        <v>43</v>
      </c>
      <c r="AZ1403">
        <f t="shared" si="45"/>
        <v>2</v>
      </c>
    </row>
    <row r="1404" spans="1:52" ht="55.2">
      <c r="A1404" s="3" t="s">
        <v>1448</v>
      </c>
      <c r="D1404">
        <v>2</v>
      </c>
      <c r="E1404">
        <v>2</v>
      </c>
      <c r="M1404">
        <v>4</v>
      </c>
      <c r="AY1404">
        <f t="shared" si="44"/>
        <v>43</v>
      </c>
      <c r="AZ1404">
        <f t="shared" si="45"/>
        <v>2</v>
      </c>
    </row>
    <row r="1405" spans="1:52" ht="55.2">
      <c r="A1405" s="3" t="s">
        <v>1449</v>
      </c>
      <c r="D1405">
        <v>2</v>
      </c>
      <c r="E1405">
        <v>2</v>
      </c>
      <c r="M1405">
        <v>4</v>
      </c>
      <c r="AY1405">
        <f t="shared" si="44"/>
        <v>43</v>
      </c>
      <c r="AZ1405">
        <f t="shared" si="45"/>
        <v>2</v>
      </c>
    </row>
    <row r="1406" spans="1:52" ht="55.2">
      <c r="A1406" s="3" t="s">
        <v>1450</v>
      </c>
      <c r="D1406">
        <v>2</v>
      </c>
      <c r="E1406">
        <v>2</v>
      </c>
      <c r="M1406">
        <v>4</v>
      </c>
      <c r="AY1406">
        <f t="shared" si="44"/>
        <v>43</v>
      </c>
      <c r="AZ1406">
        <f t="shared" si="45"/>
        <v>2</v>
      </c>
    </row>
    <row r="1407" spans="1:52" ht="55.2">
      <c r="A1407" s="3" t="s">
        <v>1451</v>
      </c>
      <c r="D1407">
        <v>2</v>
      </c>
      <c r="E1407">
        <v>2</v>
      </c>
      <c r="M1407">
        <v>4</v>
      </c>
      <c r="AY1407">
        <f t="shared" si="44"/>
        <v>43</v>
      </c>
      <c r="AZ1407">
        <f t="shared" si="45"/>
        <v>2</v>
      </c>
    </row>
    <row r="1408" spans="1:52" ht="55.2">
      <c r="A1408" s="3" t="s">
        <v>1452</v>
      </c>
      <c r="D1408">
        <v>2</v>
      </c>
      <c r="E1408">
        <v>2</v>
      </c>
      <c r="M1408">
        <v>4</v>
      </c>
      <c r="AY1408">
        <f t="shared" si="44"/>
        <v>43</v>
      </c>
      <c r="AZ1408">
        <f t="shared" si="45"/>
        <v>2</v>
      </c>
    </row>
    <row r="1409" spans="1:52" ht="55.2">
      <c r="A1409" s="3" t="s">
        <v>1453</v>
      </c>
      <c r="D1409">
        <v>2</v>
      </c>
      <c r="E1409">
        <v>2</v>
      </c>
      <c r="M1409">
        <v>4</v>
      </c>
      <c r="AY1409">
        <f t="shared" si="44"/>
        <v>43</v>
      </c>
      <c r="AZ1409">
        <f t="shared" si="45"/>
        <v>2</v>
      </c>
    </row>
    <row r="1410" spans="1:52" ht="55.2">
      <c r="A1410" s="3" t="s">
        <v>1454</v>
      </c>
      <c r="D1410">
        <v>2</v>
      </c>
      <c r="E1410">
        <v>2</v>
      </c>
      <c r="M1410">
        <v>4</v>
      </c>
      <c r="AY1410">
        <f t="shared" si="44"/>
        <v>43</v>
      </c>
      <c r="AZ1410">
        <f t="shared" si="45"/>
        <v>2</v>
      </c>
    </row>
    <row r="1411" spans="1:52" ht="55.2">
      <c r="A1411" s="3" t="s">
        <v>1455</v>
      </c>
      <c r="D1411">
        <v>2</v>
      </c>
      <c r="E1411">
        <v>2</v>
      </c>
      <c r="M1411">
        <v>4</v>
      </c>
      <c r="AY1411">
        <f t="shared" si="44"/>
        <v>43</v>
      </c>
      <c r="AZ1411">
        <f t="shared" si="45"/>
        <v>2</v>
      </c>
    </row>
    <row r="1412" spans="1:52" ht="55.2">
      <c r="A1412" s="3" t="s">
        <v>1456</v>
      </c>
      <c r="D1412">
        <v>2</v>
      </c>
      <c r="E1412">
        <v>2</v>
      </c>
      <c r="M1412">
        <v>4</v>
      </c>
      <c r="AY1412">
        <f t="shared" si="44"/>
        <v>43</v>
      </c>
      <c r="AZ1412">
        <f t="shared" si="45"/>
        <v>2</v>
      </c>
    </row>
    <row r="1413" spans="1:52" ht="55.2">
      <c r="A1413" s="3" t="s">
        <v>1457</v>
      </c>
      <c r="D1413">
        <v>2</v>
      </c>
      <c r="E1413">
        <v>2</v>
      </c>
      <c r="M1413">
        <v>4</v>
      </c>
      <c r="AY1413">
        <f t="shared" si="44"/>
        <v>43</v>
      </c>
      <c r="AZ1413">
        <f t="shared" si="45"/>
        <v>2</v>
      </c>
    </row>
    <row r="1414" spans="1:52" ht="55.2">
      <c r="A1414" s="3" t="s">
        <v>1458</v>
      </c>
      <c r="D1414">
        <v>2</v>
      </c>
      <c r="E1414">
        <v>2</v>
      </c>
      <c r="M1414">
        <v>4</v>
      </c>
      <c r="AY1414">
        <f t="shared" si="44"/>
        <v>43</v>
      </c>
      <c r="AZ1414">
        <f t="shared" si="45"/>
        <v>2</v>
      </c>
    </row>
    <row r="1415" spans="1:52" ht="55.2">
      <c r="A1415" s="3" t="s">
        <v>1459</v>
      </c>
      <c r="D1415">
        <v>2</v>
      </c>
      <c r="E1415">
        <v>2</v>
      </c>
      <c r="M1415">
        <v>4</v>
      </c>
      <c r="AY1415">
        <f t="shared" si="44"/>
        <v>43</v>
      </c>
      <c r="AZ1415">
        <f t="shared" si="45"/>
        <v>2</v>
      </c>
    </row>
    <row r="1416" spans="1:52" ht="55.2">
      <c r="A1416" s="3" t="s">
        <v>1460</v>
      </c>
      <c r="D1416">
        <v>2</v>
      </c>
      <c r="E1416">
        <v>2</v>
      </c>
      <c r="M1416">
        <v>4</v>
      </c>
      <c r="AY1416">
        <f t="shared" si="44"/>
        <v>43</v>
      </c>
      <c r="AZ1416">
        <f t="shared" si="45"/>
        <v>2</v>
      </c>
    </row>
    <row r="1417" spans="1:52" ht="55.2">
      <c r="A1417" s="3" t="s">
        <v>1461</v>
      </c>
      <c r="D1417">
        <v>2</v>
      </c>
      <c r="E1417">
        <v>2</v>
      </c>
      <c r="M1417">
        <v>4</v>
      </c>
      <c r="AY1417">
        <f t="shared" si="44"/>
        <v>43</v>
      </c>
      <c r="AZ1417">
        <f t="shared" si="45"/>
        <v>2</v>
      </c>
    </row>
    <row r="1418" spans="1:52" ht="55.2">
      <c r="A1418" s="3" t="s">
        <v>1462</v>
      </c>
      <c r="D1418">
        <v>2</v>
      </c>
      <c r="E1418">
        <v>2</v>
      </c>
      <c r="M1418">
        <v>4</v>
      </c>
      <c r="AY1418">
        <f t="shared" si="44"/>
        <v>43</v>
      </c>
      <c r="AZ1418">
        <f t="shared" si="45"/>
        <v>2</v>
      </c>
    </row>
    <row r="1419" spans="1:52" ht="55.2">
      <c r="A1419" s="3" t="s">
        <v>1463</v>
      </c>
      <c r="D1419">
        <v>2</v>
      </c>
      <c r="E1419">
        <v>2</v>
      </c>
      <c r="M1419">
        <v>4</v>
      </c>
      <c r="AY1419">
        <f t="shared" si="44"/>
        <v>43</v>
      </c>
      <c r="AZ1419">
        <f t="shared" si="45"/>
        <v>2</v>
      </c>
    </row>
    <row r="1420" spans="1:52" ht="55.2">
      <c r="A1420" s="3" t="s">
        <v>1464</v>
      </c>
      <c r="D1420">
        <v>2</v>
      </c>
      <c r="E1420">
        <v>2</v>
      </c>
      <c r="M1420">
        <v>4</v>
      </c>
      <c r="AY1420">
        <f t="shared" si="44"/>
        <v>43</v>
      </c>
      <c r="AZ1420">
        <f t="shared" si="45"/>
        <v>2</v>
      </c>
    </row>
    <row r="1421" spans="1:52" ht="55.2">
      <c r="A1421" s="3" t="s">
        <v>1465</v>
      </c>
      <c r="D1421">
        <v>2</v>
      </c>
      <c r="E1421">
        <v>2</v>
      </c>
      <c r="M1421">
        <v>4</v>
      </c>
      <c r="AY1421">
        <f t="shared" si="44"/>
        <v>43</v>
      </c>
      <c r="AZ1421">
        <f t="shared" si="45"/>
        <v>2</v>
      </c>
    </row>
    <row r="1422" spans="1:52" ht="55.2">
      <c r="A1422" s="3" t="s">
        <v>1466</v>
      </c>
      <c r="D1422">
        <v>2</v>
      </c>
      <c r="E1422">
        <v>2</v>
      </c>
      <c r="M1422">
        <v>4</v>
      </c>
      <c r="AY1422">
        <f t="shared" si="44"/>
        <v>43</v>
      </c>
      <c r="AZ1422">
        <f t="shared" si="45"/>
        <v>2</v>
      </c>
    </row>
    <row r="1423" spans="1:52" ht="55.2">
      <c r="A1423" s="3" t="s">
        <v>1467</v>
      </c>
      <c r="D1423">
        <v>2</v>
      </c>
      <c r="E1423">
        <v>2</v>
      </c>
      <c r="M1423">
        <v>4</v>
      </c>
      <c r="AY1423">
        <f t="shared" si="44"/>
        <v>43</v>
      </c>
      <c r="AZ1423">
        <f t="shared" si="45"/>
        <v>2</v>
      </c>
    </row>
    <row r="1424" spans="1:52" ht="55.2">
      <c r="A1424" s="3" t="s">
        <v>1468</v>
      </c>
      <c r="D1424">
        <v>2</v>
      </c>
      <c r="E1424">
        <v>2</v>
      </c>
      <c r="M1424">
        <v>4</v>
      </c>
      <c r="AY1424">
        <f t="shared" si="44"/>
        <v>43</v>
      </c>
      <c r="AZ1424">
        <f t="shared" si="45"/>
        <v>2</v>
      </c>
    </row>
    <row r="1425" spans="1:52" ht="55.2">
      <c r="A1425" s="3" t="s">
        <v>1469</v>
      </c>
      <c r="D1425">
        <v>2</v>
      </c>
      <c r="E1425">
        <v>2</v>
      </c>
      <c r="M1425">
        <v>4</v>
      </c>
      <c r="AY1425">
        <f t="shared" si="44"/>
        <v>43</v>
      </c>
      <c r="AZ1425">
        <f t="shared" si="45"/>
        <v>2</v>
      </c>
    </row>
    <row r="1426" spans="1:52" ht="55.2">
      <c r="A1426" s="3" t="s">
        <v>1470</v>
      </c>
      <c r="D1426">
        <v>2</v>
      </c>
      <c r="E1426">
        <v>2</v>
      </c>
      <c r="M1426">
        <v>4</v>
      </c>
      <c r="AY1426">
        <f t="shared" si="44"/>
        <v>43</v>
      </c>
      <c r="AZ1426">
        <f t="shared" si="45"/>
        <v>2</v>
      </c>
    </row>
    <row r="1427" spans="1:52" ht="55.2">
      <c r="A1427" s="3" t="s">
        <v>1471</v>
      </c>
      <c r="D1427">
        <v>2</v>
      </c>
      <c r="E1427">
        <v>2</v>
      </c>
      <c r="M1427">
        <v>4</v>
      </c>
      <c r="AY1427">
        <f t="shared" si="44"/>
        <v>43</v>
      </c>
      <c r="AZ1427">
        <f t="shared" si="45"/>
        <v>2</v>
      </c>
    </row>
    <row r="1428" spans="1:52" ht="55.2">
      <c r="A1428" s="3" t="s">
        <v>1472</v>
      </c>
      <c r="D1428">
        <v>2</v>
      </c>
      <c r="E1428">
        <v>2</v>
      </c>
      <c r="M1428">
        <v>4</v>
      </c>
      <c r="AY1428">
        <f t="shared" si="44"/>
        <v>43</v>
      </c>
      <c r="AZ1428">
        <f t="shared" si="45"/>
        <v>2</v>
      </c>
    </row>
    <row r="1429" spans="1:52" ht="55.2">
      <c r="A1429" s="3" t="s">
        <v>1473</v>
      </c>
      <c r="D1429">
        <v>2</v>
      </c>
      <c r="E1429">
        <v>2</v>
      </c>
      <c r="M1429">
        <v>4</v>
      </c>
      <c r="AY1429">
        <f t="shared" si="44"/>
        <v>43</v>
      </c>
      <c r="AZ1429">
        <f t="shared" si="45"/>
        <v>2</v>
      </c>
    </row>
    <row r="1430" spans="1:52" ht="55.2">
      <c r="A1430" s="3" t="s">
        <v>1474</v>
      </c>
      <c r="D1430">
        <v>2</v>
      </c>
      <c r="E1430">
        <v>2</v>
      </c>
      <c r="M1430">
        <v>4</v>
      </c>
      <c r="AY1430">
        <f t="shared" si="44"/>
        <v>43</v>
      </c>
      <c r="AZ1430">
        <f t="shared" si="45"/>
        <v>2</v>
      </c>
    </row>
    <row r="1431" spans="1:52" ht="55.2">
      <c r="A1431" s="3" t="s">
        <v>1475</v>
      </c>
      <c r="D1431">
        <v>2</v>
      </c>
      <c r="E1431">
        <v>2</v>
      </c>
      <c r="M1431">
        <v>4</v>
      </c>
      <c r="AY1431">
        <f t="shared" si="44"/>
        <v>43</v>
      </c>
      <c r="AZ1431">
        <f t="shared" si="45"/>
        <v>2</v>
      </c>
    </row>
    <row r="1432" spans="1:52" ht="55.2">
      <c r="A1432" s="3" t="s">
        <v>1476</v>
      </c>
      <c r="D1432">
        <v>2</v>
      </c>
      <c r="E1432">
        <v>2</v>
      </c>
      <c r="M1432">
        <v>4</v>
      </c>
      <c r="AY1432">
        <f t="shared" si="44"/>
        <v>43</v>
      </c>
      <c r="AZ1432">
        <f t="shared" si="45"/>
        <v>2</v>
      </c>
    </row>
    <row r="1433" spans="1:52" ht="55.2">
      <c r="A1433" s="3" t="s">
        <v>1477</v>
      </c>
      <c r="D1433">
        <v>2</v>
      </c>
      <c r="E1433">
        <v>2</v>
      </c>
      <c r="M1433">
        <v>4</v>
      </c>
      <c r="AY1433">
        <f t="shared" si="44"/>
        <v>43</v>
      </c>
      <c r="AZ1433">
        <f t="shared" si="45"/>
        <v>2</v>
      </c>
    </row>
    <row r="1434" spans="1:52" ht="55.2">
      <c r="A1434" s="3" t="s">
        <v>1478</v>
      </c>
      <c r="D1434">
        <v>2</v>
      </c>
      <c r="E1434">
        <v>2</v>
      </c>
      <c r="M1434">
        <v>4</v>
      </c>
      <c r="AY1434">
        <f t="shared" si="44"/>
        <v>43</v>
      </c>
      <c r="AZ1434">
        <f t="shared" si="45"/>
        <v>2</v>
      </c>
    </row>
    <row r="1435" spans="1:52" ht="55.2">
      <c r="A1435" s="3" t="s">
        <v>1479</v>
      </c>
      <c r="D1435">
        <v>2</v>
      </c>
      <c r="E1435">
        <v>2</v>
      </c>
      <c r="M1435">
        <v>4</v>
      </c>
      <c r="AY1435">
        <f t="shared" si="44"/>
        <v>43</v>
      </c>
      <c r="AZ1435">
        <f t="shared" si="45"/>
        <v>2</v>
      </c>
    </row>
    <row r="1436" spans="1:52" ht="55.2">
      <c r="A1436" s="3" t="s">
        <v>1480</v>
      </c>
      <c r="D1436">
        <v>2</v>
      </c>
      <c r="E1436">
        <v>2</v>
      </c>
      <c r="M1436">
        <v>4</v>
      </c>
      <c r="AY1436">
        <f t="shared" si="44"/>
        <v>43</v>
      </c>
      <c r="AZ1436">
        <f t="shared" si="45"/>
        <v>2</v>
      </c>
    </row>
    <row r="1437" spans="1:52" ht="55.2">
      <c r="A1437" s="3" t="s">
        <v>1481</v>
      </c>
      <c r="D1437">
        <v>2</v>
      </c>
      <c r="E1437">
        <v>2</v>
      </c>
      <c r="M1437">
        <v>4</v>
      </c>
      <c r="AY1437">
        <f t="shared" si="44"/>
        <v>43</v>
      </c>
      <c r="AZ1437">
        <f t="shared" si="45"/>
        <v>2</v>
      </c>
    </row>
    <row r="1438" spans="1:52" ht="55.2">
      <c r="A1438" s="3" t="s">
        <v>1482</v>
      </c>
      <c r="D1438">
        <v>2</v>
      </c>
      <c r="E1438">
        <v>2</v>
      </c>
      <c r="M1438">
        <v>4</v>
      </c>
      <c r="AY1438">
        <f t="shared" si="44"/>
        <v>43</v>
      </c>
      <c r="AZ1438">
        <f t="shared" si="45"/>
        <v>2</v>
      </c>
    </row>
    <row r="1439" spans="1:52" ht="55.2">
      <c r="A1439" s="3" t="s">
        <v>1483</v>
      </c>
      <c r="D1439">
        <v>2</v>
      </c>
      <c r="E1439">
        <v>2</v>
      </c>
      <c r="M1439">
        <v>4</v>
      </c>
      <c r="AY1439">
        <f t="shared" si="44"/>
        <v>43</v>
      </c>
      <c r="AZ1439">
        <f t="shared" si="45"/>
        <v>2</v>
      </c>
    </row>
    <row r="1440" spans="1:52" ht="55.2">
      <c r="A1440" s="3" t="s">
        <v>1484</v>
      </c>
      <c r="D1440">
        <v>2</v>
      </c>
      <c r="E1440">
        <v>2</v>
      </c>
      <c r="M1440">
        <v>4</v>
      </c>
      <c r="AY1440">
        <f t="shared" si="44"/>
        <v>43</v>
      </c>
      <c r="AZ1440">
        <f t="shared" si="45"/>
        <v>2</v>
      </c>
    </row>
    <row r="1441" spans="1:52" ht="55.2">
      <c r="A1441" s="3" t="s">
        <v>1485</v>
      </c>
      <c r="D1441">
        <v>2</v>
      </c>
      <c r="E1441">
        <v>2</v>
      </c>
      <c r="M1441">
        <v>4</v>
      </c>
      <c r="AY1441">
        <f t="shared" ref="AY1441:AY1504" si="46">COUNTBLANK(F1441:AW1441)</f>
        <v>43</v>
      </c>
      <c r="AZ1441">
        <f t="shared" ref="AZ1441:AZ1504" si="47">COUNTBLANK(B1441:E1441)</f>
        <v>2</v>
      </c>
    </row>
    <row r="1442" spans="1:52" ht="55.2">
      <c r="A1442" s="3" t="s">
        <v>1486</v>
      </c>
      <c r="D1442">
        <v>2</v>
      </c>
      <c r="E1442">
        <v>2</v>
      </c>
      <c r="M1442">
        <v>4</v>
      </c>
      <c r="AY1442">
        <f t="shared" si="46"/>
        <v>43</v>
      </c>
      <c r="AZ1442">
        <f t="shared" si="47"/>
        <v>2</v>
      </c>
    </row>
    <row r="1443" spans="1:52" ht="55.2">
      <c r="A1443" s="3" t="s">
        <v>1487</v>
      </c>
      <c r="D1443">
        <v>2</v>
      </c>
      <c r="E1443">
        <v>2</v>
      </c>
      <c r="M1443">
        <v>4</v>
      </c>
      <c r="AY1443">
        <f t="shared" si="46"/>
        <v>43</v>
      </c>
      <c r="AZ1443">
        <f t="shared" si="47"/>
        <v>2</v>
      </c>
    </row>
    <row r="1444" spans="1:52" ht="55.2">
      <c r="A1444" s="3" t="s">
        <v>1488</v>
      </c>
      <c r="D1444">
        <v>2</v>
      </c>
      <c r="E1444">
        <v>2</v>
      </c>
      <c r="M1444">
        <v>4</v>
      </c>
      <c r="AY1444">
        <f t="shared" si="46"/>
        <v>43</v>
      </c>
      <c r="AZ1444">
        <f t="shared" si="47"/>
        <v>2</v>
      </c>
    </row>
    <row r="1445" spans="1:52" ht="55.2">
      <c r="A1445" s="3" t="s">
        <v>1489</v>
      </c>
      <c r="D1445">
        <v>2</v>
      </c>
      <c r="E1445">
        <v>2</v>
      </c>
      <c r="M1445">
        <v>4</v>
      </c>
      <c r="AY1445">
        <f t="shared" si="46"/>
        <v>43</v>
      </c>
      <c r="AZ1445">
        <f t="shared" si="47"/>
        <v>2</v>
      </c>
    </row>
    <row r="1446" spans="1:52" ht="55.2">
      <c r="A1446" s="3" t="s">
        <v>1490</v>
      </c>
      <c r="D1446">
        <v>2</v>
      </c>
      <c r="E1446">
        <v>2</v>
      </c>
      <c r="M1446">
        <v>4</v>
      </c>
      <c r="AY1446">
        <f t="shared" si="46"/>
        <v>43</v>
      </c>
      <c r="AZ1446">
        <f t="shared" si="47"/>
        <v>2</v>
      </c>
    </row>
    <row r="1447" spans="1:52" ht="55.2">
      <c r="A1447" s="3" t="s">
        <v>1491</v>
      </c>
      <c r="D1447">
        <v>2</v>
      </c>
      <c r="E1447">
        <v>2</v>
      </c>
      <c r="M1447">
        <v>4</v>
      </c>
      <c r="AY1447">
        <f t="shared" si="46"/>
        <v>43</v>
      </c>
      <c r="AZ1447">
        <f t="shared" si="47"/>
        <v>2</v>
      </c>
    </row>
    <row r="1448" spans="1:52" ht="55.2">
      <c r="A1448" s="3" t="s">
        <v>1492</v>
      </c>
      <c r="D1448">
        <v>2</v>
      </c>
      <c r="E1448">
        <v>2</v>
      </c>
      <c r="M1448">
        <v>4</v>
      </c>
      <c r="AY1448">
        <f t="shared" si="46"/>
        <v>43</v>
      </c>
      <c r="AZ1448">
        <f t="shared" si="47"/>
        <v>2</v>
      </c>
    </row>
    <row r="1449" spans="1:52" ht="55.2">
      <c r="A1449" s="3" t="s">
        <v>1493</v>
      </c>
      <c r="D1449">
        <v>2</v>
      </c>
      <c r="E1449">
        <v>2</v>
      </c>
      <c r="M1449">
        <v>4</v>
      </c>
      <c r="AY1449">
        <f t="shared" si="46"/>
        <v>43</v>
      </c>
      <c r="AZ1449">
        <f t="shared" si="47"/>
        <v>2</v>
      </c>
    </row>
    <row r="1450" spans="1:52" ht="55.2">
      <c r="A1450" s="3" t="s">
        <v>1494</v>
      </c>
      <c r="D1450">
        <v>2</v>
      </c>
      <c r="E1450">
        <v>2</v>
      </c>
      <c r="M1450">
        <v>4</v>
      </c>
      <c r="AY1450">
        <f t="shared" si="46"/>
        <v>43</v>
      </c>
      <c r="AZ1450">
        <f t="shared" si="47"/>
        <v>2</v>
      </c>
    </row>
    <row r="1451" spans="1:52" ht="55.2">
      <c r="A1451" s="3" t="s">
        <v>1495</v>
      </c>
      <c r="D1451">
        <v>2</v>
      </c>
      <c r="E1451">
        <v>2</v>
      </c>
      <c r="M1451">
        <v>4</v>
      </c>
      <c r="AY1451">
        <f t="shared" si="46"/>
        <v>43</v>
      </c>
      <c r="AZ1451">
        <f t="shared" si="47"/>
        <v>2</v>
      </c>
    </row>
    <row r="1452" spans="1:52" ht="55.2">
      <c r="A1452" s="3" t="s">
        <v>1496</v>
      </c>
      <c r="D1452">
        <v>2</v>
      </c>
      <c r="E1452">
        <v>2</v>
      </c>
      <c r="M1452">
        <v>4</v>
      </c>
      <c r="AY1452">
        <f t="shared" si="46"/>
        <v>43</v>
      </c>
      <c r="AZ1452">
        <f t="shared" si="47"/>
        <v>2</v>
      </c>
    </row>
    <row r="1453" spans="1:52" ht="55.2">
      <c r="A1453" s="3" t="s">
        <v>1497</v>
      </c>
      <c r="D1453">
        <v>2</v>
      </c>
      <c r="E1453">
        <v>2</v>
      </c>
      <c r="M1453">
        <v>4</v>
      </c>
      <c r="AY1453">
        <f t="shared" si="46"/>
        <v>43</v>
      </c>
      <c r="AZ1453">
        <f t="shared" si="47"/>
        <v>2</v>
      </c>
    </row>
    <row r="1454" spans="1:52" ht="55.2">
      <c r="A1454" s="3" t="s">
        <v>1498</v>
      </c>
      <c r="D1454">
        <v>2</v>
      </c>
      <c r="E1454">
        <v>2</v>
      </c>
      <c r="M1454">
        <v>4</v>
      </c>
      <c r="AY1454">
        <f t="shared" si="46"/>
        <v>43</v>
      </c>
      <c r="AZ1454">
        <f t="shared" si="47"/>
        <v>2</v>
      </c>
    </row>
    <row r="1455" spans="1:52" ht="55.2">
      <c r="A1455" s="3" t="s">
        <v>1499</v>
      </c>
      <c r="D1455">
        <v>2</v>
      </c>
      <c r="E1455">
        <v>2</v>
      </c>
      <c r="M1455">
        <v>4</v>
      </c>
      <c r="AY1455">
        <f t="shared" si="46"/>
        <v>43</v>
      </c>
      <c r="AZ1455">
        <f t="shared" si="47"/>
        <v>2</v>
      </c>
    </row>
    <row r="1456" spans="1:52" ht="55.2">
      <c r="A1456" s="3" t="s">
        <v>1500</v>
      </c>
      <c r="D1456">
        <v>2</v>
      </c>
      <c r="E1456">
        <v>2</v>
      </c>
      <c r="M1456">
        <v>4</v>
      </c>
      <c r="AY1456">
        <f t="shared" si="46"/>
        <v>43</v>
      </c>
      <c r="AZ1456">
        <f t="shared" si="47"/>
        <v>2</v>
      </c>
    </row>
    <row r="1457" spans="1:52" ht="55.2">
      <c r="A1457" s="3" t="s">
        <v>1501</v>
      </c>
      <c r="D1457">
        <v>2</v>
      </c>
      <c r="E1457">
        <v>2</v>
      </c>
      <c r="M1457">
        <v>4</v>
      </c>
      <c r="AY1457">
        <f t="shared" si="46"/>
        <v>43</v>
      </c>
      <c r="AZ1457">
        <f t="shared" si="47"/>
        <v>2</v>
      </c>
    </row>
    <row r="1458" spans="1:52" ht="55.2">
      <c r="A1458" s="3" t="s">
        <v>1502</v>
      </c>
      <c r="D1458">
        <v>2</v>
      </c>
      <c r="E1458">
        <v>2</v>
      </c>
      <c r="M1458">
        <v>4</v>
      </c>
      <c r="AY1458">
        <f t="shared" si="46"/>
        <v>43</v>
      </c>
      <c r="AZ1458">
        <f t="shared" si="47"/>
        <v>2</v>
      </c>
    </row>
    <row r="1459" spans="1:52" ht="55.2">
      <c r="A1459" s="3" t="s">
        <v>1503</v>
      </c>
      <c r="D1459">
        <v>2</v>
      </c>
      <c r="E1459">
        <v>2</v>
      </c>
      <c r="M1459">
        <v>4</v>
      </c>
      <c r="AY1459">
        <f t="shared" si="46"/>
        <v>43</v>
      </c>
      <c r="AZ1459">
        <f t="shared" si="47"/>
        <v>2</v>
      </c>
    </row>
    <row r="1460" spans="1:52" ht="55.2">
      <c r="A1460" s="3" t="s">
        <v>1504</v>
      </c>
      <c r="D1460">
        <v>2</v>
      </c>
      <c r="E1460">
        <v>2</v>
      </c>
      <c r="M1460">
        <v>4</v>
      </c>
      <c r="AY1460">
        <f t="shared" si="46"/>
        <v>43</v>
      </c>
      <c r="AZ1460">
        <f t="shared" si="47"/>
        <v>2</v>
      </c>
    </row>
    <row r="1461" spans="1:52" ht="55.2">
      <c r="A1461" s="3" t="s">
        <v>1505</v>
      </c>
      <c r="D1461">
        <v>2</v>
      </c>
      <c r="E1461">
        <v>2</v>
      </c>
      <c r="M1461">
        <v>4</v>
      </c>
      <c r="AY1461">
        <f t="shared" si="46"/>
        <v>43</v>
      </c>
      <c r="AZ1461">
        <f t="shared" si="47"/>
        <v>2</v>
      </c>
    </row>
    <row r="1462" spans="1:52" ht="55.2">
      <c r="A1462" s="3" t="s">
        <v>1506</v>
      </c>
      <c r="D1462">
        <v>2</v>
      </c>
      <c r="E1462">
        <v>2</v>
      </c>
      <c r="M1462">
        <v>4</v>
      </c>
      <c r="AY1462">
        <f t="shared" si="46"/>
        <v>43</v>
      </c>
      <c r="AZ1462">
        <f t="shared" si="47"/>
        <v>2</v>
      </c>
    </row>
    <row r="1463" spans="1:52" ht="55.2">
      <c r="A1463" s="3" t="s">
        <v>1507</v>
      </c>
      <c r="D1463">
        <v>2</v>
      </c>
      <c r="E1463">
        <v>2</v>
      </c>
      <c r="M1463">
        <v>4</v>
      </c>
      <c r="AY1463">
        <f t="shared" si="46"/>
        <v>43</v>
      </c>
      <c r="AZ1463">
        <f t="shared" si="47"/>
        <v>2</v>
      </c>
    </row>
    <row r="1464" spans="1:52" ht="55.2">
      <c r="A1464" s="3" t="s">
        <v>1508</v>
      </c>
      <c r="D1464">
        <v>2</v>
      </c>
      <c r="E1464">
        <v>2</v>
      </c>
      <c r="M1464">
        <v>4</v>
      </c>
      <c r="AY1464">
        <f t="shared" si="46"/>
        <v>43</v>
      </c>
      <c r="AZ1464">
        <f t="shared" si="47"/>
        <v>2</v>
      </c>
    </row>
    <row r="1465" spans="1:52" ht="55.2">
      <c r="A1465" s="3" t="s">
        <v>1509</v>
      </c>
      <c r="D1465">
        <v>2</v>
      </c>
      <c r="E1465">
        <v>2</v>
      </c>
      <c r="M1465">
        <v>4</v>
      </c>
      <c r="AY1465">
        <f t="shared" si="46"/>
        <v>43</v>
      </c>
      <c r="AZ1465">
        <f t="shared" si="47"/>
        <v>2</v>
      </c>
    </row>
    <row r="1466" spans="1:52" ht="55.2">
      <c r="A1466" s="3" t="s">
        <v>1510</v>
      </c>
      <c r="D1466">
        <v>2</v>
      </c>
      <c r="E1466">
        <v>2</v>
      </c>
      <c r="M1466">
        <v>4</v>
      </c>
      <c r="AY1466">
        <f t="shared" si="46"/>
        <v>43</v>
      </c>
      <c r="AZ1466">
        <f t="shared" si="47"/>
        <v>2</v>
      </c>
    </row>
    <row r="1467" spans="1:52" ht="55.2">
      <c r="A1467" s="3" t="s">
        <v>1511</v>
      </c>
      <c r="D1467">
        <v>2</v>
      </c>
      <c r="E1467">
        <v>2</v>
      </c>
      <c r="M1467">
        <v>4</v>
      </c>
      <c r="AY1467">
        <f t="shared" si="46"/>
        <v>43</v>
      </c>
      <c r="AZ1467">
        <f t="shared" si="47"/>
        <v>2</v>
      </c>
    </row>
    <row r="1468" spans="1:52" ht="55.2">
      <c r="A1468" s="3" t="s">
        <v>1512</v>
      </c>
      <c r="D1468">
        <v>2</v>
      </c>
      <c r="E1468">
        <v>2</v>
      </c>
      <c r="M1468">
        <v>4</v>
      </c>
      <c r="AY1468">
        <f t="shared" si="46"/>
        <v>43</v>
      </c>
      <c r="AZ1468">
        <f t="shared" si="47"/>
        <v>2</v>
      </c>
    </row>
    <row r="1469" spans="1:52" ht="55.2">
      <c r="A1469" s="3" t="s">
        <v>1513</v>
      </c>
      <c r="D1469">
        <v>2</v>
      </c>
      <c r="E1469">
        <v>2</v>
      </c>
      <c r="M1469">
        <v>4</v>
      </c>
      <c r="AY1469">
        <f t="shared" si="46"/>
        <v>43</v>
      </c>
      <c r="AZ1469">
        <f t="shared" si="47"/>
        <v>2</v>
      </c>
    </row>
    <row r="1470" spans="1:52" ht="55.2">
      <c r="A1470" s="3" t="s">
        <v>1514</v>
      </c>
      <c r="D1470">
        <v>2</v>
      </c>
      <c r="E1470">
        <v>2</v>
      </c>
      <c r="M1470">
        <v>4</v>
      </c>
      <c r="AY1470">
        <f t="shared" si="46"/>
        <v>43</v>
      </c>
      <c r="AZ1470">
        <f t="shared" si="47"/>
        <v>2</v>
      </c>
    </row>
    <row r="1471" spans="1:52" ht="55.2">
      <c r="A1471" s="3" t="s">
        <v>1515</v>
      </c>
      <c r="D1471">
        <v>2</v>
      </c>
      <c r="E1471">
        <v>2</v>
      </c>
      <c r="M1471">
        <v>4</v>
      </c>
      <c r="AY1471">
        <f t="shared" si="46"/>
        <v>43</v>
      </c>
      <c r="AZ1471">
        <f t="shared" si="47"/>
        <v>2</v>
      </c>
    </row>
    <row r="1472" spans="1:52" ht="55.2">
      <c r="A1472" s="3" t="s">
        <v>1516</v>
      </c>
      <c r="D1472">
        <v>2</v>
      </c>
      <c r="E1472">
        <v>2</v>
      </c>
      <c r="M1472">
        <v>4</v>
      </c>
      <c r="AY1472">
        <f t="shared" si="46"/>
        <v>43</v>
      </c>
      <c r="AZ1472">
        <f t="shared" si="47"/>
        <v>2</v>
      </c>
    </row>
    <row r="1473" spans="1:52" ht="55.2">
      <c r="A1473" s="3" t="s">
        <v>1517</v>
      </c>
      <c r="D1473">
        <v>2</v>
      </c>
      <c r="E1473">
        <v>2</v>
      </c>
      <c r="M1473">
        <v>4</v>
      </c>
      <c r="AY1473">
        <f t="shared" si="46"/>
        <v>43</v>
      </c>
      <c r="AZ1473">
        <f t="shared" si="47"/>
        <v>2</v>
      </c>
    </row>
    <row r="1474" spans="1:52" ht="55.2">
      <c r="A1474" s="3" t="s">
        <v>1518</v>
      </c>
      <c r="D1474">
        <v>2</v>
      </c>
      <c r="E1474">
        <v>2</v>
      </c>
      <c r="M1474">
        <v>4</v>
      </c>
      <c r="AY1474">
        <f t="shared" si="46"/>
        <v>43</v>
      </c>
      <c r="AZ1474">
        <f t="shared" si="47"/>
        <v>2</v>
      </c>
    </row>
    <row r="1475" spans="1:52" ht="55.2">
      <c r="A1475" s="3" t="s">
        <v>1519</v>
      </c>
      <c r="D1475">
        <v>2</v>
      </c>
      <c r="E1475">
        <v>2</v>
      </c>
      <c r="M1475">
        <v>4</v>
      </c>
      <c r="AY1475">
        <f t="shared" si="46"/>
        <v>43</v>
      </c>
      <c r="AZ1475">
        <f t="shared" si="47"/>
        <v>2</v>
      </c>
    </row>
    <row r="1476" spans="1:52" ht="55.2">
      <c r="A1476" s="3" t="s">
        <v>1520</v>
      </c>
      <c r="D1476">
        <v>2</v>
      </c>
      <c r="E1476">
        <v>2</v>
      </c>
      <c r="M1476">
        <v>4</v>
      </c>
      <c r="AY1476">
        <f t="shared" si="46"/>
        <v>43</v>
      </c>
      <c r="AZ1476">
        <f t="shared" si="47"/>
        <v>2</v>
      </c>
    </row>
    <row r="1477" spans="1:52" ht="55.2">
      <c r="A1477" s="3" t="s">
        <v>1521</v>
      </c>
      <c r="D1477">
        <v>2</v>
      </c>
      <c r="E1477">
        <v>2</v>
      </c>
      <c r="M1477">
        <v>4</v>
      </c>
      <c r="AY1477">
        <f t="shared" si="46"/>
        <v>43</v>
      </c>
      <c r="AZ1477">
        <f t="shared" si="47"/>
        <v>2</v>
      </c>
    </row>
    <row r="1478" spans="1:52" ht="55.2">
      <c r="A1478" s="3" t="s">
        <v>1522</v>
      </c>
      <c r="D1478">
        <v>2</v>
      </c>
      <c r="E1478">
        <v>2</v>
      </c>
      <c r="M1478">
        <v>4</v>
      </c>
      <c r="AY1478">
        <f t="shared" si="46"/>
        <v>43</v>
      </c>
      <c r="AZ1478">
        <f t="shared" si="47"/>
        <v>2</v>
      </c>
    </row>
    <row r="1479" spans="1:52" ht="55.2">
      <c r="A1479" s="3" t="s">
        <v>1523</v>
      </c>
      <c r="D1479">
        <v>2</v>
      </c>
      <c r="E1479">
        <v>2</v>
      </c>
      <c r="M1479">
        <v>4</v>
      </c>
      <c r="AY1479">
        <f t="shared" si="46"/>
        <v>43</v>
      </c>
      <c r="AZ1479">
        <f t="shared" si="47"/>
        <v>2</v>
      </c>
    </row>
    <row r="1480" spans="1:52" ht="55.2">
      <c r="A1480" s="3" t="s">
        <v>1524</v>
      </c>
      <c r="D1480">
        <v>2</v>
      </c>
      <c r="E1480">
        <v>2</v>
      </c>
      <c r="M1480">
        <v>4</v>
      </c>
      <c r="AY1480">
        <f t="shared" si="46"/>
        <v>43</v>
      </c>
      <c r="AZ1480">
        <f t="shared" si="47"/>
        <v>2</v>
      </c>
    </row>
    <row r="1481" spans="1:52" ht="55.2">
      <c r="A1481" s="3" t="s">
        <v>1525</v>
      </c>
      <c r="D1481">
        <v>2</v>
      </c>
      <c r="E1481">
        <v>2</v>
      </c>
      <c r="M1481">
        <v>4</v>
      </c>
      <c r="AY1481">
        <f t="shared" si="46"/>
        <v>43</v>
      </c>
      <c r="AZ1481">
        <f t="shared" si="47"/>
        <v>2</v>
      </c>
    </row>
    <row r="1482" spans="1:52" ht="55.2">
      <c r="A1482" s="3" t="s">
        <v>1526</v>
      </c>
      <c r="D1482">
        <v>2</v>
      </c>
      <c r="E1482">
        <v>2</v>
      </c>
      <c r="M1482">
        <v>4</v>
      </c>
      <c r="AY1482">
        <f t="shared" si="46"/>
        <v>43</v>
      </c>
      <c r="AZ1482">
        <f t="shared" si="47"/>
        <v>2</v>
      </c>
    </row>
    <row r="1483" spans="1:52" ht="55.2">
      <c r="A1483" s="3" t="s">
        <v>1527</v>
      </c>
      <c r="D1483">
        <v>2</v>
      </c>
      <c r="E1483">
        <v>2</v>
      </c>
      <c r="M1483">
        <v>4</v>
      </c>
      <c r="AY1483">
        <f t="shared" si="46"/>
        <v>43</v>
      </c>
      <c r="AZ1483">
        <f t="shared" si="47"/>
        <v>2</v>
      </c>
    </row>
    <row r="1484" spans="1:52" ht="55.2">
      <c r="A1484" s="3" t="s">
        <v>1528</v>
      </c>
      <c r="D1484">
        <v>2</v>
      </c>
      <c r="E1484">
        <v>2</v>
      </c>
      <c r="M1484">
        <v>4</v>
      </c>
      <c r="AY1484">
        <f t="shared" si="46"/>
        <v>43</v>
      </c>
      <c r="AZ1484">
        <f t="shared" si="47"/>
        <v>2</v>
      </c>
    </row>
    <row r="1485" spans="1:52" ht="55.2">
      <c r="A1485" s="3" t="s">
        <v>1529</v>
      </c>
      <c r="D1485">
        <v>2</v>
      </c>
      <c r="E1485">
        <v>2</v>
      </c>
      <c r="M1485">
        <v>4</v>
      </c>
      <c r="AY1485">
        <f t="shared" si="46"/>
        <v>43</v>
      </c>
      <c r="AZ1485">
        <f t="shared" si="47"/>
        <v>2</v>
      </c>
    </row>
    <row r="1486" spans="1:52" ht="55.2">
      <c r="A1486" s="3" t="s">
        <v>1530</v>
      </c>
      <c r="D1486">
        <v>2</v>
      </c>
      <c r="E1486">
        <v>2</v>
      </c>
      <c r="M1486">
        <v>4</v>
      </c>
      <c r="AY1486">
        <f t="shared" si="46"/>
        <v>43</v>
      </c>
      <c r="AZ1486">
        <f t="shared" si="47"/>
        <v>2</v>
      </c>
    </row>
    <row r="1487" spans="1:52" ht="55.2">
      <c r="A1487" s="3" t="s">
        <v>1531</v>
      </c>
      <c r="D1487">
        <v>2</v>
      </c>
      <c r="E1487">
        <v>2</v>
      </c>
      <c r="M1487">
        <v>4</v>
      </c>
      <c r="AY1487">
        <f t="shared" si="46"/>
        <v>43</v>
      </c>
      <c r="AZ1487">
        <f t="shared" si="47"/>
        <v>2</v>
      </c>
    </row>
    <row r="1488" spans="1:52" ht="55.2">
      <c r="A1488" s="3" t="s">
        <v>1532</v>
      </c>
      <c r="D1488">
        <v>2</v>
      </c>
      <c r="E1488">
        <v>2</v>
      </c>
      <c r="M1488">
        <v>4</v>
      </c>
      <c r="AY1488">
        <f t="shared" si="46"/>
        <v>43</v>
      </c>
      <c r="AZ1488">
        <f t="shared" si="47"/>
        <v>2</v>
      </c>
    </row>
    <row r="1489" spans="1:52" ht="55.2">
      <c r="A1489" s="3" t="s">
        <v>1533</v>
      </c>
      <c r="D1489">
        <v>2</v>
      </c>
      <c r="E1489">
        <v>2</v>
      </c>
      <c r="M1489">
        <v>4</v>
      </c>
      <c r="AY1489">
        <f t="shared" si="46"/>
        <v>43</v>
      </c>
      <c r="AZ1489">
        <f t="shared" si="47"/>
        <v>2</v>
      </c>
    </row>
    <row r="1490" spans="1:52" ht="55.2">
      <c r="A1490" s="3" t="s">
        <v>1534</v>
      </c>
      <c r="D1490">
        <v>2</v>
      </c>
      <c r="E1490">
        <v>2</v>
      </c>
      <c r="M1490">
        <v>4</v>
      </c>
      <c r="AY1490">
        <f t="shared" si="46"/>
        <v>43</v>
      </c>
      <c r="AZ1490">
        <f t="shared" si="47"/>
        <v>2</v>
      </c>
    </row>
    <row r="1491" spans="1:52" ht="55.2">
      <c r="A1491" s="3" t="s">
        <v>1535</v>
      </c>
      <c r="D1491">
        <v>2</v>
      </c>
      <c r="E1491">
        <v>2</v>
      </c>
      <c r="M1491">
        <v>4</v>
      </c>
      <c r="AY1491">
        <f t="shared" si="46"/>
        <v>43</v>
      </c>
      <c r="AZ1491">
        <f t="shared" si="47"/>
        <v>2</v>
      </c>
    </row>
    <row r="1492" spans="1:52" ht="55.2">
      <c r="A1492" s="3" t="s">
        <v>1536</v>
      </c>
      <c r="D1492">
        <v>2</v>
      </c>
      <c r="E1492">
        <v>2</v>
      </c>
      <c r="J1492">
        <v>13</v>
      </c>
      <c r="AY1492">
        <f t="shared" si="46"/>
        <v>43</v>
      </c>
      <c r="AZ1492">
        <f t="shared" si="47"/>
        <v>2</v>
      </c>
    </row>
    <row r="1493" spans="1:52" ht="55.2">
      <c r="A1493" s="3" t="s">
        <v>1537</v>
      </c>
      <c r="D1493">
        <v>2</v>
      </c>
      <c r="E1493">
        <v>2</v>
      </c>
      <c r="J1493">
        <v>13</v>
      </c>
      <c r="AY1493">
        <f t="shared" si="46"/>
        <v>43</v>
      </c>
      <c r="AZ1493">
        <f t="shared" si="47"/>
        <v>2</v>
      </c>
    </row>
    <row r="1494" spans="1:52" ht="55.2">
      <c r="A1494" s="3" t="s">
        <v>1538</v>
      </c>
      <c r="D1494">
        <v>2</v>
      </c>
      <c r="E1494">
        <v>2</v>
      </c>
      <c r="J1494">
        <v>13</v>
      </c>
      <c r="AY1494">
        <f t="shared" si="46"/>
        <v>43</v>
      </c>
      <c r="AZ1494">
        <f t="shared" si="47"/>
        <v>2</v>
      </c>
    </row>
    <row r="1495" spans="1:52" ht="55.2">
      <c r="A1495" s="3" t="s">
        <v>1539</v>
      </c>
      <c r="D1495">
        <v>2</v>
      </c>
      <c r="E1495">
        <v>2</v>
      </c>
      <c r="J1495">
        <v>13</v>
      </c>
      <c r="AY1495">
        <f t="shared" si="46"/>
        <v>43</v>
      </c>
      <c r="AZ1495">
        <f t="shared" si="47"/>
        <v>2</v>
      </c>
    </row>
    <row r="1496" spans="1:52" ht="55.2">
      <c r="A1496" s="3" t="s">
        <v>1540</v>
      </c>
      <c r="D1496">
        <v>2</v>
      </c>
      <c r="E1496">
        <v>2</v>
      </c>
      <c r="J1496">
        <v>13</v>
      </c>
      <c r="AY1496">
        <f t="shared" si="46"/>
        <v>43</v>
      </c>
      <c r="AZ1496">
        <f t="shared" si="47"/>
        <v>2</v>
      </c>
    </row>
    <row r="1497" spans="1:52" ht="55.2">
      <c r="A1497" s="3" t="s">
        <v>1541</v>
      </c>
      <c r="D1497">
        <v>2</v>
      </c>
      <c r="E1497">
        <v>2</v>
      </c>
      <c r="J1497">
        <v>13</v>
      </c>
      <c r="AY1497">
        <f t="shared" si="46"/>
        <v>43</v>
      </c>
      <c r="AZ1497">
        <f t="shared" si="47"/>
        <v>2</v>
      </c>
    </row>
    <row r="1498" spans="1:52" ht="55.2">
      <c r="A1498" s="3" t="s">
        <v>1542</v>
      </c>
      <c r="D1498">
        <v>2</v>
      </c>
      <c r="E1498">
        <v>2</v>
      </c>
      <c r="J1498">
        <v>13</v>
      </c>
      <c r="AY1498">
        <f t="shared" si="46"/>
        <v>43</v>
      </c>
      <c r="AZ1498">
        <f t="shared" si="47"/>
        <v>2</v>
      </c>
    </row>
    <row r="1499" spans="1:52" ht="55.2">
      <c r="A1499" s="3" t="s">
        <v>1543</v>
      </c>
      <c r="D1499">
        <v>2</v>
      </c>
      <c r="E1499">
        <v>2</v>
      </c>
      <c r="J1499">
        <v>13</v>
      </c>
      <c r="AY1499">
        <f t="shared" si="46"/>
        <v>43</v>
      </c>
      <c r="AZ1499">
        <f t="shared" si="47"/>
        <v>2</v>
      </c>
    </row>
    <row r="1500" spans="1:52" ht="55.2">
      <c r="A1500" s="3" t="s">
        <v>1544</v>
      </c>
      <c r="D1500">
        <v>2</v>
      </c>
      <c r="E1500">
        <v>2</v>
      </c>
      <c r="J1500">
        <v>13</v>
      </c>
      <c r="AY1500">
        <f t="shared" si="46"/>
        <v>43</v>
      </c>
      <c r="AZ1500">
        <f t="shared" si="47"/>
        <v>2</v>
      </c>
    </row>
    <row r="1501" spans="1:52" ht="55.2">
      <c r="A1501" s="3" t="s">
        <v>1545</v>
      </c>
      <c r="D1501">
        <v>2</v>
      </c>
      <c r="J1501">
        <v>13</v>
      </c>
      <c r="AY1501">
        <f t="shared" si="46"/>
        <v>43</v>
      </c>
      <c r="AZ1501">
        <f t="shared" si="47"/>
        <v>3</v>
      </c>
    </row>
    <row r="1502" spans="1:52" ht="55.2">
      <c r="A1502" s="3" t="s">
        <v>1546</v>
      </c>
      <c r="D1502">
        <v>2</v>
      </c>
      <c r="J1502">
        <v>13</v>
      </c>
      <c r="AY1502">
        <f t="shared" si="46"/>
        <v>43</v>
      </c>
      <c r="AZ1502">
        <f t="shared" si="47"/>
        <v>3</v>
      </c>
    </row>
    <row r="1503" spans="1:52" ht="55.2">
      <c r="A1503" s="3" t="s">
        <v>1547</v>
      </c>
      <c r="D1503">
        <v>2</v>
      </c>
      <c r="J1503">
        <v>13</v>
      </c>
      <c r="AY1503">
        <f t="shared" si="46"/>
        <v>43</v>
      </c>
      <c r="AZ1503">
        <f t="shared" si="47"/>
        <v>3</v>
      </c>
    </row>
    <row r="1504" spans="1:52" ht="55.2">
      <c r="A1504" s="3" t="s">
        <v>1548</v>
      </c>
      <c r="D1504">
        <v>2</v>
      </c>
      <c r="J1504">
        <v>13</v>
      </c>
      <c r="AY1504">
        <f t="shared" si="46"/>
        <v>43</v>
      </c>
      <c r="AZ1504">
        <f t="shared" si="47"/>
        <v>3</v>
      </c>
    </row>
    <row r="1505" spans="1:52" ht="55.2">
      <c r="A1505" s="3" t="s">
        <v>1549</v>
      </c>
      <c r="D1505">
        <v>2</v>
      </c>
      <c r="J1505">
        <v>13</v>
      </c>
      <c r="AY1505">
        <f t="shared" ref="AY1505:AY1568" si="48">COUNTBLANK(F1505:AW1505)</f>
        <v>43</v>
      </c>
      <c r="AZ1505">
        <f t="shared" ref="AZ1505:AZ1568" si="49">COUNTBLANK(B1505:E1505)</f>
        <v>3</v>
      </c>
    </row>
    <row r="1506" spans="1:52" ht="55.2">
      <c r="A1506" s="3" t="s">
        <v>1550</v>
      </c>
      <c r="D1506">
        <v>2</v>
      </c>
      <c r="J1506">
        <v>13</v>
      </c>
      <c r="AY1506">
        <f t="shared" si="48"/>
        <v>43</v>
      </c>
      <c r="AZ1506">
        <f t="shared" si="49"/>
        <v>3</v>
      </c>
    </row>
    <row r="1507" spans="1:52" ht="55.2">
      <c r="A1507" s="3" t="s">
        <v>1551</v>
      </c>
      <c r="D1507">
        <v>2</v>
      </c>
      <c r="J1507">
        <v>13</v>
      </c>
      <c r="AY1507">
        <f t="shared" si="48"/>
        <v>43</v>
      </c>
      <c r="AZ1507">
        <f t="shared" si="49"/>
        <v>3</v>
      </c>
    </row>
    <row r="1508" spans="1:52" ht="55.2">
      <c r="A1508" s="3" t="s">
        <v>1552</v>
      </c>
      <c r="D1508">
        <v>2</v>
      </c>
      <c r="J1508">
        <v>13</v>
      </c>
      <c r="AY1508">
        <f t="shared" si="48"/>
        <v>43</v>
      </c>
      <c r="AZ1508">
        <f t="shared" si="49"/>
        <v>3</v>
      </c>
    </row>
    <row r="1509" spans="1:52" ht="55.2">
      <c r="A1509" s="3" t="s">
        <v>1553</v>
      </c>
      <c r="D1509">
        <v>2</v>
      </c>
      <c r="J1509">
        <v>13</v>
      </c>
      <c r="AY1509">
        <f t="shared" si="48"/>
        <v>43</v>
      </c>
      <c r="AZ1509">
        <f t="shared" si="49"/>
        <v>3</v>
      </c>
    </row>
    <row r="1510" spans="1:52" ht="55.2">
      <c r="A1510" s="3" t="s">
        <v>1554</v>
      </c>
      <c r="D1510">
        <v>2</v>
      </c>
      <c r="J1510">
        <v>13</v>
      </c>
      <c r="AY1510">
        <f t="shared" si="48"/>
        <v>43</v>
      </c>
      <c r="AZ1510">
        <f t="shared" si="49"/>
        <v>3</v>
      </c>
    </row>
    <row r="1511" spans="1:52" ht="55.2">
      <c r="A1511" s="3" t="s">
        <v>1555</v>
      </c>
      <c r="D1511">
        <v>2</v>
      </c>
      <c r="J1511">
        <v>13</v>
      </c>
      <c r="AY1511">
        <f t="shared" si="48"/>
        <v>43</v>
      </c>
      <c r="AZ1511">
        <f t="shared" si="49"/>
        <v>3</v>
      </c>
    </row>
    <row r="1512" spans="1:52" ht="55.2">
      <c r="A1512" s="3" t="s">
        <v>1556</v>
      </c>
      <c r="D1512">
        <v>2</v>
      </c>
      <c r="J1512">
        <v>13</v>
      </c>
      <c r="AY1512">
        <f t="shared" si="48"/>
        <v>43</v>
      </c>
      <c r="AZ1512">
        <f t="shared" si="49"/>
        <v>3</v>
      </c>
    </row>
    <row r="1513" spans="1:52" ht="55.2">
      <c r="A1513" s="3" t="s">
        <v>1557</v>
      </c>
      <c r="D1513">
        <v>2</v>
      </c>
      <c r="J1513">
        <v>13</v>
      </c>
      <c r="AY1513">
        <f t="shared" si="48"/>
        <v>43</v>
      </c>
      <c r="AZ1513">
        <f t="shared" si="49"/>
        <v>3</v>
      </c>
    </row>
    <row r="1514" spans="1:52" ht="55.2">
      <c r="A1514" s="3" t="s">
        <v>1558</v>
      </c>
      <c r="D1514">
        <v>2</v>
      </c>
      <c r="J1514">
        <v>13</v>
      </c>
      <c r="AY1514">
        <f t="shared" si="48"/>
        <v>43</v>
      </c>
      <c r="AZ1514">
        <f t="shared" si="49"/>
        <v>3</v>
      </c>
    </row>
    <row r="1515" spans="1:52" ht="55.2">
      <c r="A1515" s="3" t="s">
        <v>1559</v>
      </c>
      <c r="D1515">
        <v>2</v>
      </c>
      <c r="J1515">
        <v>13</v>
      </c>
      <c r="AY1515">
        <f t="shared" si="48"/>
        <v>43</v>
      </c>
      <c r="AZ1515">
        <f t="shared" si="49"/>
        <v>3</v>
      </c>
    </row>
    <row r="1516" spans="1:52" ht="55.2">
      <c r="A1516" s="3" t="s">
        <v>1560</v>
      </c>
      <c r="D1516">
        <v>2</v>
      </c>
      <c r="J1516">
        <v>13</v>
      </c>
      <c r="AY1516">
        <f t="shared" si="48"/>
        <v>43</v>
      </c>
      <c r="AZ1516">
        <f t="shared" si="49"/>
        <v>3</v>
      </c>
    </row>
    <row r="1517" spans="1:52" ht="55.2">
      <c r="A1517" s="3" t="s">
        <v>1561</v>
      </c>
      <c r="D1517">
        <v>2</v>
      </c>
      <c r="J1517">
        <v>13</v>
      </c>
      <c r="AY1517">
        <f t="shared" si="48"/>
        <v>43</v>
      </c>
      <c r="AZ1517">
        <f t="shared" si="49"/>
        <v>3</v>
      </c>
    </row>
    <row r="1518" spans="1:52" ht="55.2">
      <c r="A1518" s="3" t="s">
        <v>1562</v>
      </c>
      <c r="D1518">
        <v>2</v>
      </c>
      <c r="J1518">
        <v>13</v>
      </c>
      <c r="AY1518">
        <f t="shared" si="48"/>
        <v>43</v>
      </c>
      <c r="AZ1518">
        <f t="shared" si="49"/>
        <v>3</v>
      </c>
    </row>
    <row r="1519" spans="1:52" ht="55.2">
      <c r="A1519" s="3" t="s">
        <v>1563</v>
      </c>
      <c r="D1519">
        <v>2</v>
      </c>
      <c r="J1519">
        <v>13</v>
      </c>
      <c r="AY1519">
        <f t="shared" si="48"/>
        <v>43</v>
      </c>
      <c r="AZ1519">
        <f t="shared" si="49"/>
        <v>3</v>
      </c>
    </row>
    <row r="1520" spans="1:52" ht="55.2">
      <c r="A1520" s="3" t="s">
        <v>1564</v>
      </c>
      <c r="D1520">
        <v>2</v>
      </c>
      <c r="J1520">
        <v>13</v>
      </c>
      <c r="AY1520">
        <f t="shared" si="48"/>
        <v>43</v>
      </c>
      <c r="AZ1520">
        <f t="shared" si="49"/>
        <v>3</v>
      </c>
    </row>
    <row r="1521" spans="1:52" ht="55.2">
      <c r="A1521" s="3" t="s">
        <v>1565</v>
      </c>
      <c r="D1521">
        <v>2</v>
      </c>
      <c r="J1521">
        <v>13</v>
      </c>
      <c r="AY1521">
        <f t="shared" si="48"/>
        <v>43</v>
      </c>
      <c r="AZ1521">
        <f t="shared" si="49"/>
        <v>3</v>
      </c>
    </row>
    <row r="1522" spans="1:52" ht="55.2">
      <c r="A1522" s="3" t="s">
        <v>1566</v>
      </c>
      <c r="D1522">
        <v>2</v>
      </c>
      <c r="J1522">
        <v>13</v>
      </c>
      <c r="AY1522">
        <f t="shared" si="48"/>
        <v>43</v>
      </c>
      <c r="AZ1522">
        <f t="shared" si="49"/>
        <v>3</v>
      </c>
    </row>
    <row r="1523" spans="1:52" ht="55.2">
      <c r="A1523" s="3" t="s">
        <v>1567</v>
      </c>
      <c r="D1523">
        <v>2</v>
      </c>
      <c r="J1523">
        <v>13</v>
      </c>
      <c r="AY1523">
        <f t="shared" si="48"/>
        <v>43</v>
      </c>
      <c r="AZ1523">
        <f t="shared" si="49"/>
        <v>3</v>
      </c>
    </row>
    <row r="1524" spans="1:52" ht="55.2">
      <c r="A1524" s="3" t="s">
        <v>1568</v>
      </c>
      <c r="D1524">
        <v>2</v>
      </c>
      <c r="J1524">
        <v>13</v>
      </c>
      <c r="AY1524">
        <f t="shared" si="48"/>
        <v>43</v>
      </c>
      <c r="AZ1524">
        <f t="shared" si="49"/>
        <v>3</v>
      </c>
    </row>
    <row r="1525" spans="1:52" ht="55.2">
      <c r="A1525" s="3" t="s">
        <v>1569</v>
      </c>
      <c r="D1525">
        <v>2</v>
      </c>
      <c r="J1525">
        <v>13</v>
      </c>
      <c r="AY1525">
        <f t="shared" si="48"/>
        <v>43</v>
      </c>
      <c r="AZ1525">
        <f t="shared" si="49"/>
        <v>3</v>
      </c>
    </row>
    <row r="1526" spans="1:52" ht="55.2">
      <c r="A1526" s="3" t="s">
        <v>1570</v>
      </c>
      <c r="D1526">
        <v>2</v>
      </c>
      <c r="J1526">
        <v>13</v>
      </c>
      <c r="AY1526">
        <f t="shared" si="48"/>
        <v>43</v>
      </c>
      <c r="AZ1526">
        <f t="shared" si="49"/>
        <v>3</v>
      </c>
    </row>
    <row r="1527" spans="1:52" ht="55.2">
      <c r="A1527" s="3" t="s">
        <v>1571</v>
      </c>
      <c r="D1527">
        <v>2</v>
      </c>
      <c r="J1527">
        <v>13</v>
      </c>
      <c r="AY1527">
        <f t="shared" si="48"/>
        <v>43</v>
      </c>
      <c r="AZ1527">
        <f t="shared" si="49"/>
        <v>3</v>
      </c>
    </row>
    <row r="1528" spans="1:52" ht="55.2">
      <c r="A1528" s="3" t="s">
        <v>1572</v>
      </c>
      <c r="D1528">
        <v>2</v>
      </c>
      <c r="J1528">
        <v>13</v>
      </c>
      <c r="AY1528">
        <f t="shared" si="48"/>
        <v>43</v>
      </c>
      <c r="AZ1528">
        <f t="shared" si="49"/>
        <v>3</v>
      </c>
    </row>
    <row r="1529" spans="1:52" ht="55.2">
      <c r="A1529" s="3" t="s">
        <v>1573</v>
      </c>
      <c r="D1529">
        <v>2</v>
      </c>
      <c r="J1529">
        <v>13</v>
      </c>
      <c r="AY1529">
        <f t="shared" si="48"/>
        <v>43</v>
      </c>
      <c r="AZ1529">
        <f t="shared" si="49"/>
        <v>3</v>
      </c>
    </row>
    <row r="1530" spans="1:52" ht="55.2">
      <c r="A1530" s="3" t="s">
        <v>1574</v>
      </c>
      <c r="D1530">
        <v>2</v>
      </c>
      <c r="J1530">
        <v>13</v>
      </c>
      <c r="AY1530">
        <f t="shared" si="48"/>
        <v>43</v>
      </c>
      <c r="AZ1530">
        <f t="shared" si="49"/>
        <v>3</v>
      </c>
    </row>
    <row r="1531" spans="1:52" ht="55.2">
      <c r="A1531" s="3" t="s">
        <v>1575</v>
      </c>
      <c r="D1531">
        <v>2</v>
      </c>
      <c r="J1531">
        <v>13</v>
      </c>
      <c r="AY1531">
        <f t="shared" si="48"/>
        <v>43</v>
      </c>
      <c r="AZ1531">
        <f t="shared" si="49"/>
        <v>3</v>
      </c>
    </row>
    <row r="1532" spans="1:52" ht="55.2">
      <c r="A1532" s="3" t="s">
        <v>1576</v>
      </c>
      <c r="D1532">
        <v>2</v>
      </c>
      <c r="J1532">
        <v>13</v>
      </c>
      <c r="AY1532">
        <f t="shared" si="48"/>
        <v>43</v>
      </c>
      <c r="AZ1532">
        <f t="shared" si="49"/>
        <v>3</v>
      </c>
    </row>
    <row r="1533" spans="1:52" ht="55.2">
      <c r="A1533" s="3" t="s">
        <v>1577</v>
      </c>
      <c r="D1533">
        <v>2</v>
      </c>
      <c r="J1533">
        <v>13</v>
      </c>
      <c r="AY1533">
        <f t="shared" si="48"/>
        <v>43</v>
      </c>
      <c r="AZ1533">
        <f t="shared" si="49"/>
        <v>3</v>
      </c>
    </row>
    <row r="1534" spans="1:52" ht="55.2">
      <c r="A1534" s="3" t="s">
        <v>1578</v>
      </c>
      <c r="D1534">
        <v>2</v>
      </c>
      <c r="J1534">
        <v>13</v>
      </c>
      <c r="AY1534">
        <f t="shared" si="48"/>
        <v>43</v>
      </c>
      <c r="AZ1534">
        <f t="shared" si="49"/>
        <v>3</v>
      </c>
    </row>
    <row r="1535" spans="1:52" ht="55.2">
      <c r="A1535" s="3" t="s">
        <v>1579</v>
      </c>
      <c r="D1535">
        <v>2</v>
      </c>
      <c r="J1535">
        <v>13</v>
      </c>
      <c r="AY1535">
        <f t="shared" si="48"/>
        <v>43</v>
      </c>
      <c r="AZ1535">
        <f t="shared" si="49"/>
        <v>3</v>
      </c>
    </row>
    <row r="1536" spans="1:52" ht="55.2">
      <c r="A1536" s="3" t="s">
        <v>1580</v>
      </c>
      <c r="D1536">
        <v>2</v>
      </c>
      <c r="J1536">
        <v>13</v>
      </c>
      <c r="AY1536">
        <f t="shared" si="48"/>
        <v>43</v>
      </c>
      <c r="AZ1536">
        <f t="shared" si="49"/>
        <v>3</v>
      </c>
    </row>
    <row r="1537" spans="1:52" ht="55.2">
      <c r="A1537" s="3" t="s">
        <v>1581</v>
      </c>
      <c r="D1537">
        <v>2</v>
      </c>
      <c r="J1537">
        <v>13</v>
      </c>
      <c r="AY1537">
        <f t="shared" si="48"/>
        <v>43</v>
      </c>
      <c r="AZ1537">
        <f t="shared" si="49"/>
        <v>3</v>
      </c>
    </row>
    <row r="1538" spans="1:52" ht="55.2">
      <c r="A1538" s="3" t="s">
        <v>1582</v>
      </c>
      <c r="D1538">
        <v>2</v>
      </c>
      <c r="J1538">
        <v>13</v>
      </c>
      <c r="AY1538">
        <f t="shared" si="48"/>
        <v>43</v>
      </c>
      <c r="AZ1538">
        <f t="shared" si="49"/>
        <v>3</v>
      </c>
    </row>
    <row r="1539" spans="1:52" ht="55.2">
      <c r="A1539" s="3" t="s">
        <v>1583</v>
      </c>
      <c r="D1539">
        <v>2</v>
      </c>
      <c r="J1539">
        <v>13</v>
      </c>
      <c r="AY1539">
        <f t="shared" si="48"/>
        <v>43</v>
      </c>
      <c r="AZ1539">
        <f t="shared" si="49"/>
        <v>3</v>
      </c>
    </row>
    <row r="1540" spans="1:52" ht="55.2">
      <c r="A1540" s="3" t="s">
        <v>1584</v>
      </c>
      <c r="D1540">
        <v>2</v>
      </c>
      <c r="J1540">
        <v>13</v>
      </c>
      <c r="AY1540">
        <f t="shared" si="48"/>
        <v>43</v>
      </c>
      <c r="AZ1540">
        <f t="shared" si="49"/>
        <v>3</v>
      </c>
    </row>
    <row r="1541" spans="1:52" ht="55.2">
      <c r="A1541" s="3" t="s">
        <v>1585</v>
      </c>
      <c r="D1541">
        <v>2</v>
      </c>
      <c r="J1541">
        <v>13</v>
      </c>
      <c r="AY1541">
        <f t="shared" si="48"/>
        <v>43</v>
      </c>
      <c r="AZ1541">
        <f t="shared" si="49"/>
        <v>3</v>
      </c>
    </row>
    <row r="1542" spans="1:52" ht="55.2">
      <c r="A1542" s="3" t="s">
        <v>1586</v>
      </c>
      <c r="D1542">
        <v>2</v>
      </c>
      <c r="J1542">
        <v>13</v>
      </c>
      <c r="AY1542">
        <f t="shared" si="48"/>
        <v>43</v>
      </c>
      <c r="AZ1542">
        <f t="shared" si="49"/>
        <v>3</v>
      </c>
    </row>
    <row r="1543" spans="1:52" ht="55.2">
      <c r="A1543" s="3" t="s">
        <v>1587</v>
      </c>
      <c r="D1543">
        <v>2</v>
      </c>
      <c r="J1543">
        <v>13</v>
      </c>
      <c r="AY1543">
        <f t="shared" si="48"/>
        <v>43</v>
      </c>
      <c r="AZ1543">
        <f t="shared" si="49"/>
        <v>3</v>
      </c>
    </row>
    <row r="1544" spans="1:52" ht="55.2">
      <c r="A1544" s="3" t="s">
        <v>1588</v>
      </c>
      <c r="D1544">
        <v>2</v>
      </c>
      <c r="J1544">
        <v>13</v>
      </c>
      <c r="AY1544">
        <f t="shared" si="48"/>
        <v>43</v>
      </c>
      <c r="AZ1544">
        <f t="shared" si="49"/>
        <v>3</v>
      </c>
    </row>
    <row r="1545" spans="1:52" ht="55.2">
      <c r="A1545" s="3" t="s">
        <v>1589</v>
      </c>
      <c r="D1545">
        <v>2</v>
      </c>
      <c r="J1545">
        <v>13</v>
      </c>
      <c r="AY1545">
        <f t="shared" si="48"/>
        <v>43</v>
      </c>
      <c r="AZ1545">
        <f t="shared" si="49"/>
        <v>3</v>
      </c>
    </row>
    <row r="1546" spans="1:52" ht="55.2">
      <c r="A1546" s="3" t="s">
        <v>1590</v>
      </c>
      <c r="D1546">
        <v>2</v>
      </c>
      <c r="J1546">
        <v>13</v>
      </c>
      <c r="AY1546">
        <f t="shared" si="48"/>
        <v>43</v>
      </c>
      <c r="AZ1546">
        <f t="shared" si="49"/>
        <v>3</v>
      </c>
    </row>
    <row r="1547" spans="1:52" ht="55.2">
      <c r="A1547" s="3" t="s">
        <v>1591</v>
      </c>
      <c r="D1547">
        <v>2</v>
      </c>
      <c r="J1547">
        <v>13</v>
      </c>
      <c r="AY1547">
        <f t="shared" si="48"/>
        <v>43</v>
      </c>
      <c r="AZ1547">
        <f t="shared" si="49"/>
        <v>3</v>
      </c>
    </row>
    <row r="1548" spans="1:52" ht="55.2">
      <c r="A1548" s="3" t="s">
        <v>1592</v>
      </c>
      <c r="D1548">
        <v>2</v>
      </c>
      <c r="J1548">
        <v>13</v>
      </c>
      <c r="AY1548">
        <f t="shared" si="48"/>
        <v>43</v>
      </c>
      <c r="AZ1548">
        <f t="shared" si="49"/>
        <v>3</v>
      </c>
    </row>
    <row r="1549" spans="1:52" ht="55.2">
      <c r="A1549" s="3" t="s">
        <v>1593</v>
      </c>
      <c r="D1549">
        <v>2</v>
      </c>
      <c r="J1549">
        <v>13</v>
      </c>
      <c r="AY1549">
        <f t="shared" si="48"/>
        <v>43</v>
      </c>
      <c r="AZ1549">
        <f t="shared" si="49"/>
        <v>3</v>
      </c>
    </row>
    <row r="1550" spans="1:52" ht="55.2">
      <c r="A1550" s="3" t="s">
        <v>1594</v>
      </c>
      <c r="D1550">
        <v>2</v>
      </c>
      <c r="J1550">
        <v>13</v>
      </c>
      <c r="AY1550">
        <f t="shared" si="48"/>
        <v>43</v>
      </c>
      <c r="AZ1550">
        <f t="shared" si="49"/>
        <v>3</v>
      </c>
    </row>
    <row r="1551" spans="1:52" ht="55.2">
      <c r="A1551" s="3" t="s">
        <v>1595</v>
      </c>
      <c r="D1551">
        <v>2</v>
      </c>
      <c r="J1551">
        <v>13</v>
      </c>
      <c r="AY1551">
        <f t="shared" si="48"/>
        <v>43</v>
      </c>
      <c r="AZ1551">
        <f t="shared" si="49"/>
        <v>3</v>
      </c>
    </row>
    <row r="1552" spans="1:52" ht="55.2">
      <c r="A1552" s="3" t="s">
        <v>1596</v>
      </c>
      <c r="D1552">
        <v>2</v>
      </c>
      <c r="J1552">
        <v>13</v>
      </c>
      <c r="AY1552">
        <f t="shared" si="48"/>
        <v>43</v>
      </c>
      <c r="AZ1552">
        <f t="shared" si="49"/>
        <v>3</v>
      </c>
    </row>
    <row r="1553" spans="1:52" ht="55.2">
      <c r="A1553" s="3" t="s">
        <v>1597</v>
      </c>
      <c r="D1553">
        <v>2</v>
      </c>
      <c r="J1553">
        <v>13</v>
      </c>
      <c r="AY1553">
        <f t="shared" si="48"/>
        <v>43</v>
      </c>
      <c r="AZ1553">
        <f t="shared" si="49"/>
        <v>3</v>
      </c>
    </row>
    <row r="1554" spans="1:52" ht="55.2">
      <c r="A1554" s="3" t="s">
        <v>1598</v>
      </c>
      <c r="C1554">
        <v>2</v>
      </c>
      <c r="D1554">
        <v>2</v>
      </c>
      <c r="J1554">
        <v>13</v>
      </c>
      <c r="AY1554">
        <f t="shared" si="48"/>
        <v>43</v>
      </c>
      <c r="AZ1554">
        <f t="shared" si="49"/>
        <v>2</v>
      </c>
    </row>
    <row r="1555" spans="1:52" ht="55.2">
      <c r="A1555" s="3" t="s">
        <v>1599</v>
      </c>
      <c r="C1555">
        <v>2</v>
      </c>
      <c r="D1555">
        <v>2</v>
      </c>
      <c r="J1555">
        <v>13</v>
      </c>
      <c r="AY1555">
        <f t="shared" si="48"/>
        <v>43</v>
      </c>
      <c r="AZ1555">
        <f t="shared" si="49"/>
        <v>2</v>
      </c>
    </row>
    <row r="1556" spans="1:52" ht="55.2">
      <c r="A1556" s="3" t="s">
        <v>1600</v>
      </c>
      <c r="C1556">
        <v>2</v>
      </c>
      <c r="D1556">
        <v>2</v>
      </c>
      <c r="J1556">
        <v>13</v>
      </c>
      <c r="AY1556">
        <f t="shared" si="48"/>
        <v>43</v>
      </c>
      <c r="AZ1556">
        <f t="shared" si="49"/>
        <v>2</v>
      </c>
    </row>
    <row r="1557" spans="1:52" ht="55.2">
      <c r="A1557" s="3" t="s">
        <v>1601</v>
      </c>
      <c r="C1557">
        <v>2</v>
      </c>
      <c r="D1557">
        <v>2</v>
      </c>
      <c r="J1557">
        <v>13</v>
      </c>
      <c r="AY1557">
        <f t="shared" si="48"/>
        <v>43</v>
      </c>
      <c r="AZ1557">
        <f t="shared" si="49"/>
        <v>2</v>
      </c>
    </row>
    <row r="1558" spans="1:52" ht="55.2">
      <c r="A1558" s="3" t="s">
        <v>1602</v>
      </c>
      <c r="C1558">
        <v>2</v>
      </c>
      <c r="D1558">
        <v>2</v>
      </c>
      <c r="K1558">
        <v>4</v>
      </c>
      <c r="AY1558">
        <f t="shared" si="48"/>
        <v>43</v>
      </c>
      <c r="AZ1558">
        <f t="shared" si="49"/>
        <v>2</v>
      </c>
    </row>
    <row r="1559" spans="1:52" ht="55.2">
      <c r="A1559" s="3" t="s">
        <v>1603</v>
      </c>
      <c r="C1559">
        <v>2</v>
      </c>
      <c r="D1559">
        <v>2</v>
      </c>
      <c r="K1559">
        <v>4</v>
      </c>
      <c r="AY1559">
        <f t="shared" si="48"/>
        <v>43</v>
      </c>
      <c r="AZ1559">
        <f t="shared" si="49"/>
        <v>2</v>
      </c>
    </row>
    <row r="1560" spans="1:52" ht="55.2">
      <c r="A1560" s="3" t="s">
        <v>1604</v>
      </c>
      <c r="C1560">
        <v>2</v>
      </c>
      <c r="D1560">
        <v>2</v>
      </c>
      <c r="K1560">
        <v>4</v>
      </c>
      <c r="AY1560">
        <f t="shared" si="48"/>
        <v>43</v>
      </c>
      <c r="AZ1560">
        <f t="shared" si="49"/>
        <v>2</v>
      </c>
    </row>
    <row r="1561" spans="1:52" ht="55.2">
      <c r="A1561" s="3" t="s">
        <v>1605</v>
      </c>
      <c r="C1561">
        <v>2</v>
      </c>
      <c r="D1561">
        <v>2</v>
      </c>
      <c r="K1561">
        <v>4</v>
      </c>
      <c r="AY1561">
        <f t="shared" si="48"/>
        <v>43</v>
      </c>
      <c r="AZ1561">
        <f t="shared" si="49"/>
        <v>2</v>
      </c>
    </row>
    <row r="1562" spans="1:52" ht="55.2">
      <c r="A1562" s="3" t="s">
        <v>1606</v>
      </c>
      <c r="C1562">
        <v>2</v>
      </c>
      <c r="D1562">
        <v>2</v>
      </c>
      <c r="K1562">
        <v>4</v>
      </c>
      <c r="AY1562">
        <f t="shared" si="48"/>
        <v>43</v>
      </c>
      <c r="AZ1562">
        <f t="shared" si="49"/>
        <v>2</v>
      </c>
    </row>
    <row r="1563" spans="1:52" ht="55.2">
      <c r="A1563" s="3" t="s">
        <v>1607</v>
      </c>
      <c r="C1563">
        <v>2</v>
      </c>
      <c r="D1563">
        <v>2</v>
      </c>
      <c r="K1563">
        <v>4</v>
      </c>
      <c r="AY1563">
        <f t="shared" si="48"/>
        <v>43</v>
      </c>
      <c r="AZ1563">
        <f t="shared" si="49"/>
        <v>2</v>
      </c>
    </row>
    <row r="1564" spans="1:52" ht="55.2">
      <c r="A1564" s="3" t="s">
        <v>1608</v>
      </c>
      <c r="C1564">
        <v>2</v>
      </c>
      <c r="D1564">
        <v>2</v>
      </c>
      <c r="K1564">
        <v>4</v>
      </c>
      <c r="AY1564">
        <f t="shared" si="48"/>
        <v>43</v>
      </c>
      <c r="AZ1564">
        <f t="shared" si="49"/>
        <v>2</v>
      </c>
    </row>
    <row r="1565" spans="1:52" ht="55.2">
      <c r="A1565" s="3" t="s">
        <v>1609</v>
      </c>
      <c r="C1565">
        <v>2</v>
      </c>
      <c r="D1565">
        <v>2</v>
      </c>
      <c r="K1565">
        <v>4</v>
      </c>
      <c r="AY1565">
        <f t="shared" si="48"/>
        <v>43</v>
      </c>
      <c r="AZ1565">
        <f t="shared" si="49"/>
        <v>2</v>
      </c>
    </row>
    <row r="1566" spans="1:52" ht="55.2">
      <c r="A1566" s="3" t="s">
        <v>1610</v>
      </c>
      <c r="C1566">
        <v>2</v>
      </c>
      <c r="D1566">
        <v>2</v>
      </c>
      <c r="K1566">
        <v>4</v>
      </c>
      <c r="AY1566">
        <f t="shared" si="48"/>
        <v>43</v>
      </c>
      <c r="AZ1566">
        <f t="shared" si="49"/>
        <v>2</v>
      </c>
    </row>
    <row r="1567" spans="1:52" ht="55.2">
      <c r="A1567" s="3" t="s">
        <v>1611</v>
      </c>
      <c r="C1567">
        <v>2</v>
      </c>
      <c r="D1567">
        <v>2</v>
      </c>
      <c r="K1567">
        <v>4</v>
      </c>
      <c r="AY1567">
        <f t="shared" si="48"/>
        <v>43</v>
      </c>
      <c r="AZ1567">
        <f t="shared" si="49"/>
        <v>2</v>
      </c>
    </row>
    <row r="1568" spans="1:52" ht="55.2">
      <c r="A1568" s="3" t="s">
        <v>1612</v>
      </c>
      <c r="C1568">
        <v>2</v>
      </c>
      <c r="D1568">
        <v>2</v>
      </c>
      <c r="K1568">
        <v>4</v>
      </c>
      <c r="AY1568">
        <f t="shared" si="48"/>
        <v>43</v>
      </c>
      <c r="AZ1568">
        <f t="shared" si="49"/>
        <v>2</v>
      </c>
    </row>
    <row r="1569" spans="1:52" ht="55.2">
      <c r="A1569" s="3" t="s">
        <v>1613</v>
      </c>
      <c r="C1569">
        <v>2</v>
      </c>
      <c r="D1569">
        <v>2</v>
      </c>
      <c r="K1569">
        <v>4</v>
      </c>
      <c r="AY1569">
        <f t="shared" ref="AY1569:AY1632" si="50">COUNTBLANK(F1569:AW1569)</f>
        <v>43</v>
      </c>
      <c r="AZ1569">
        <f t="shared" ref="AZ1569:AZ1632" si="51">COUNTBLANK(B1569:E1569)</f>
        <v>2</v>
      </c>
    </row>
    <row r="1570" spans="1:52" ht="55.2">
      <c r="A1570" s="3" t="s">
        <v>1614</v>
      </c>
      <c r="C1570">
        <v>2</v>
      </c>
      <c r="D1570">
        <v>2</v>
      </c>
      <c r="K1570">
        <v>4</v>
      </c>
      <c r="AY1570">
        <f t="shared" si="50"/>
        <v>43</v>
      </c>
      <c r="AZ1570">
        <f t="shared" si="51"/>
        <v>2</v>
      </c>
    </row>
    <row r="1571" spans="1:52" ht="55.2">
      <c r="A1571" s="3" t="s">
        <v>1615</v>
      </c>
      <c r="C1571">
        <v>2</v>
      </c>
      <c r="D1571">
        <v>2</v>
      </c>
      <c r="K1571">
        <v>4</v>
      </c>
      <c r="AY1571">
        <f t="shared" si="50"/>
        <v>43</v>
      </c>
      <c r="AZ1571">
        <f t="shared" si="51"/>
        <v>2</v>
      </c>
    </row>
    <row r="1572" spans="1:52" ht="55.2">
      <c r="A1572" s="3" t="s">
        <v>1616</v>
      </c>
      <c r="C1572">
        <v>2</v>
      </c>
      <c r="D1572">
        <v>2</v>
      </c>
      <c r="K1572">
        <v>4</v>
      </c>
      <c r="AY1572">
        <f t="shared" si="50"/>
        <v>43</v>
      </c>
      <c r="AZ1572">
        <f t="shared" si="51"/>
        <v>2</v>
      </c>
    </row>
    <row r="1573" spans="1:52" ht="55.2">
      <c r="A1573" s="3" t="s">
        <v>1617</v>
      </c>
      <c r="C1573">
        <v>2</v>
      </c>
      <c r="D1573">
        <v>2</v>
      </c>
      <c r="K1573">
        <v>4</v>
      </c>
      <c r="AY1573">
        <f t="shared" si="50"/>
        <v>43</v>
      </c>
      <c r="AZ1573">
        <f t="shared" si="51"/>
        <v>2</v>
      </c>
    </row>
    <row r="1574" spans="1:52" ht="55.2">
      <c r="A1574" s="3" t="s">
        <v>1618</v>
      </c>
      <c r="C1574">
        <v>2</v>
      </c>
      <c r="D1574">
        <v>2</v>
      </c>
      <c r="K1574">
        <v>4</v>
      </c>
      <c r="AY1574">
        <f t="shared" si="50"/>
        <v>43</v>
      </c>
      <c r="AZ1574">
        <f t="shared" si="51"/>
        <v>2</v>
      </c>
    </row>
    <row r="1575" spans="1:52" ht="55.2">
      <c r="A1575" s="3" t="s">
        <v>1619</v>
      </c>
      <c r="C1575">
        <v>2</v>
      </c>
      <c r="D1575">
        <v>2</v>
      </c>
      <c r="K1575">
        <v>4</v>
      </c>
      <c r="AY1575">
        <f t="shared" si="50"/>
        <v>43</v>
      </c>
      <c r="AZ1575">
        <f t="shared" si="51"/>
        <v>2</v>
      </c>
    </row>
    <row r="1576" spans="1:52" ht="55.2">
      <c r="A1576" s="3" t="s">
        <v>1620</v>
      </c>
      <c r="C1576">
        <v>2</v>
      </c>
      <c r="D1576">
        <v>2</v>
      </c>
      <c r="K1576">
        <v>4</v>
      </c>
      <c r="AY1576">
        <f t="shared" si="50"/>
        <v>43</v>
      </c>
      <c r="AZ1576">
        <f t="shared" si="51"/>
        <v>2</v>
      </c>
    </row>
    <row r="1577" spans="1:52" ht="55.2">
      <c r="A1577" s="3" t="s">
        <v>1621</v>
      </c>
      <c r="C1577">
        <v>2</v>
      </c>
      <c r="D1577">
        <v>2</v>
      </c>
      <c r="K1577">
        <v>4</v>
      </c>
      <c r="AY1577">
        <f t="shared" si="50"/>
        <v>43</v>
      </c>
      <c r="AZ1577">
        <f t="shared" si="51"/>
        <v>2</v>
      </c>
    </row>
    <row r="1578" spans="1:52" ht="55.2">
      <c r="A1578" s="3" t="s">
        <v>1622</v>
      </c>
      <c r="C1578">
        <v>2</v>
      </c>
      <c r="D1578">
        <v>2</v>
      </c>
      <c r="K1578">
        <v>4</v>
      </c>
      <c r="AY1578">
        <f t="shared" si="50"/>
        <v>43</v>
      </c>
      <c r="AZ1578">
        <f t="shared" si="51"/>
        <v>2</v>
      </c>
    </row>
    <row r="1579" spans="1:52" ht="55.2">
      <c r="A1579" s="3" t="s">
        <v>1623</v>
      </c>
      <c r="C1579">
        <v>2</v>
      </c>
      <c r="D1579">
        <v>2</v>
      </c>
      <c r="K1579">
        <v>4</v>
      </c>
      <c r="AY1579">
        <f t="shared" si="50"/>
        <v>43</v>
      </c>
      <c r="AZ1579">
        <f t="shared" si="51"/>
        <v>2</v>
      </c>
    </row>
    <row r="1580" spans="1:52" ht="55.2">
      <c r="A1580" s="3" t="s">
        <v>1624</v>
      </c>
      <c r="C1580">
        <v>2</v>
      </c>
      <c r="D1580">
        <v>2</v>
      </c>
      <c r="K1580">
        <v>4</v>
      </c>
      <c r="AY1580">
        <f t="shared" si="50"/>
        <v>43</v>
      </c>
      <c r="AZ1580">
        <f t="shared" si="51"/>
        <v>2</v>
      </c>
    </row>
    <row r="1581" spans="1:52" ht="55.2">
      <c r="A1581" s="3" t="s">
        <v>1625</v>
      </c>
      <c r="C1581">
        <v>2</v>
      </c>
      <c r="D1581">
        <v>2</v>
      </c>
      <c r="K1581">
        <v>4</v>
      </c>
      <c r="AY1581">
        <f t="shared" si="50"/>
        <v>43</v>
      </c>
      <c r="AZ1581">
        <f t="shared" si="51"/>
        <v>2</v>
      </c>
    </row>
    <row r="1582" spans="1:52" ht="55.2">
      <c r="A1582" s="3" t="s">
        <v>1626</v>
      </c>
      <c r="C1582">
        <v>2</v>
      </c>
      <c r="D1582">
        <v>2</v>
      </c>
      <c r="K1582">
        <v>4</v>
      </c>
      <c r="AY1582">
        <f t="shared" si="50"/>
        <v>43</v>
      </c>
      <c r="AZ1582">
        <f t="shared" si="51"/>
        <v>2</v>
      </c>
    </row>
    <row r="1583" spans="1:52" ht="55.2">
      <c r="A1583" s="3" t="s">
        <v>1627</v>
      </c>
      <c r="C1583">
        <v>2</v>
      </c>
      <c r="D1583">
        <v>2</v>
      </c>
      <c r="K1583">
        <v>4</v>
      </c>
      <c r="AY1583">
        <f t="shared" si="50"/>
        <v>43</v>
      </c>
      <c r="AZ1583">
        <f t="shared" si="51"/>
        <v>2</v>
      </c>
    </row>
    <row r="1584" spans="1:52" ht="55.2">
      <c r="A1584" s="3" t="s">
        <v>1628</v>
      </c>
      <c r="C1584">
        <v>2</v>
      </c>
      <c r="D1584">
        <v>2</v>
      </c>
      <c r="K1584">
        <v>4</v>
      </c>
      <c r="AY1584">
        <f t="shared" si="50"/>
        <v>43</v>
      </c>
      <c r="AZ1584">
        <f t="shared" si="51"/>
        <v>2</v>
      </c>
    </row>
    <row r="1585" spans="1:52" ht="55.2">
      <c r="A1585" s="3" t="s">
        <v>1629</v>
      </c>
      <c r="C1585">
        <v>2</v>
      </c>
      <c r="D1585">
        <v>2</v>
      </c>
      <c r="K1585">
        <v>4</v>
      </c>
      <c r="AY1585">
        <f t="shared" si="50"/>
        <v>43</v>
      </c>
      <c r="AZ1585">
        <f t="shared" si="51"/>
        <v>2</v>
      </c>
    </row>
    <row r="1586" spans="1:52" ht="55.2">
      <c r="A1586" s="3" t="s">
        <v>1630</v>
      </c>
      <c r="C1586">
        <v>2</v>
      </c>
      <c r="D1586">
        <v>2</v>
      </c>
      <c r="K1586">
        <v>4</v>
      </c>
      <c r="AY1586">
        <f t="shared" si="50"/>
        <v>43</v>
      </c>
      <c r="AZ1586">
        <f t="shared" si="51"/>
        <v>2</v>
      </c>
    </row>
    <row r="1587" spans="1:52" ht="55.2">
      <c r="A1587" s="3" t="s">
        <v>1631</v>
      </c>
      <c r="C1587">
        <v>2</v>
      </c>
      <c r="D1587">
        <v>2</v>
      </c>
      <c r="K1587">
        <v>4</v>
      </c>
      <c r="AY1587">
        <f t="shared" si="50"/>
        <v>43</v>
      </c>
      <c r="AZ1587">
        <f t="shared" si="51"/>
        <v>2</v>
      </c>
    </row>
    <row r="1588" spans="1:52" ht="55.2">
      <c r="A1588" s="3" t="s">
        <v>1632</v>
      </c>
      <c r="C1588">
        <v>2</v>
      </c>
      <c r="D1588">
        <v>2</v>
      </c>
      <c r="K1588">
        <v>4</v>
      </c>
      <c r="AY1588">
        <f t="shared" si="50"/>
        <v>43</v>
      </c>
      <c r="AZ1588">
        <f t="shared" si="51"/>
        <v>2</v>
      </c>
    </row>
    <row r="1589" spans="1:52" ht="55.2">
      <c r="A1589" s="3" t="s">
        <v>1633</v>
      </c>
      <c r="C1589">
        <v>2</v>
      </c>
      <c r="D1589">
        <v>2</v>
      </c>
      <c r="K1589">
        <v>4</v>
      </c>
      <c r="AY1589">
        <f t="shared" si="50"/>
        <v>43</v>
      </c>
      <c r="AZ1589">
        <f t="shared" si="51"/>
        <v>2</v>
      </c>
    </row>
    <row r="1590" spans="1:52" ht="55.2">
      <c r="A1590" s="3" t="s">
        <v>1634</v>
      </c>
      <c r="C1590">
        <v>2</v>
      </c>
      <c r="D1590">
        <v>2</v>
      </c>
      <c r="K1590">
        <v>4</v>
      </c>
      <c r="AY1590">
        <f t="shared" si="50"/>
        <v>43</v>
      </c>
      <c r="AZ1590">
        <f t="shared" si="51"/>
        <v>2</v>
      </c>
    </row>
    <row r="1591" spans="1:52" ht="55.2">
      <c r="A1591" s="3" t="s">
        <v>1635</v>
      </c>
      <c r="C1591">
        <v>2</v>
      </c>
      <c r="D1591">
        <v>2</v>
      </c>
      <c r="K1591">
        <v>4</v>
      </c>
      <c r="AY1591">
        <f t="shared" si="50"/>
        <v>43</v>
      </c>
      <c r="AZ1591">
        <f t="shared" si="51"/>
        <v>2</v>
      </c>
    </row>
    <row r="1592" spans="1:52" ht="55.2">
      <c r="A1592" s="3" t="s">
        <v>1636</v>
      </c>
      <c r="C1592">
        <v>2</v>
      </c>
      <c r="D1592">
        <v>2</v>
      </c>
      <c r="K1592">
        <v>4</v>
      </c>
      <c r="AY1592">
        <f t="shared" si="50"/>
        <v>43</v>
      </c>
      <c r="AZ1592">
        <f t="shared" si="51"/>
        <v>2</v>
      </c>
    </row>
    <row r="1593" spans="1:52" ht="55.2">
      <c r="A1593" s="3" t="s">
        <v>1637</v>
      </c>
      <c r="C1593">
        <v>2</v>
      </c>
      <c r="D1593">
        <v>2</v>
      </c>
      <c r="K1593">
        <v>4</v>
      </c>
      <c r="AY1593">
        <f t="shared" si="50"/>
        <v>43</v>
      </c>
      <c r="AZ1593">
        <f t="shared" si="51"/>
        <v>2</v>
      </c>
    </row>
    <row r="1594" spans="1:52" ht="55.2">
      <c r="A1594" s="3" t="s">
        <v>1638</v>
      </c>
      <c r="C1594">
        <v>2</v>
      </c>
      <c r="D1594">
        <v>2</v>
      </c>
      <c r="K1594">
        <v>4</v>
      </c>
      <c r="AY1594">
        <f t="shared" si="50"/>
        <v>43</v>
      </c>
      <c r="AZ1594">
        <f t="shared" si="51"/>
        <v>2</v>
      </c>
    </row>
    <row r="1595" spans="1:52" ht="55.2">
      <c r="A1595" s="3" t="s">
        <v>1639</v>
      </c>
      <c r="C1595">
        <v>2</v>
      </c>
      <c r="D1595">
        <v>2</v>
      </c>
      <c r="K1595">
        <v>4</v>
      </c>
      <c r="AY1595">
        <f t="shared" si="50"/>
        <v>43</v>
      </c>
      <c r="AZ1595">
        <f t="shared" si="51"/>
        <v>2</v>
      </c>
    </row>
    <row r="1596" spans="1:52" ht="55.2">
      <c r="A1596" s="3" t="s">
        <v>1640</v>
      </c>
      <c r="C1596">
        <v>2</v>
      </c>
      <c r="D1596">
        <v>2</v>
      </c>
      <c r="K1596">
        <v>4</v>
      </c>
      <c r="AY1596">
        <f t="shared" si="50"/>
        <v>43</v>
      </c>
      <c r="AZ1596">
        <f t="shared" si="51"/>
        <v>2</v>
      </c>
    </row>
    <row r="1597" spans="1:52" ht="55.2">
      <c r="A1597" s="3" t="s">
        <v>1641</v>
      </c>
      <c r="C1597">
        <v>2</v>
      </c>
      <c r="D1597">
        <v>2</v>
      </c>
      <c r="K1597">
        <v>4</v>
      </c>
      <c r="AY1597">
        <f t="shared" si="50"/>
        <v>43</v>
      </c>
      <c r="AZ1597">
        <f t="shared" si="51"/>
        <v>2</v>
      </c>
    </row>
    <row r="1598" spans="1:52" ht="55.2">
      <c r="A1598" s="3" t="s">
        <v>1642</v>
      </c>
      <c r="C1598">
        <v>2</v>
      </c>
      <c r="D1598">
        <v>2</v>
      </c>
      <c r="K1598">
        <v>4</v>
      </c>
      <c r="AY1598">
        <f t="shared" si="50"/>
        <v>43</v>
      </c>
      <c r="AZ1598">
        <f t="shared" si="51"/>
        <v>2</v>
      </c>
    </row>
    <row r="1599" spans="1:52" ht="55.2">
      <c r="A1599" s="3" t="s">
        <v>1643</v>
      </c>
      <c r="C1599">
        <v>2</v>
      </c>
      <c r="D1599">
        <v>2</v>
      </c>
      <c r="K1599">
        <v>4</v>
      </c>
      <c r="AY1599">
        <f t="shared" si="50"/>
        <v>43</v>
      </c>
      <c r="AZ1599">
        <f t="shared" si="51"/>
        <v>2</v>
      </c>
    </row>
    <row r="1600" spans="1:52" ht="55.2">
      <c r="A1600" s="3" t="s">
        <v>1644</v>
      </c>
      <c r="C1600">
        <v>2</v>
      </c>
      <c r="D1600">
        <v>2</v>
      </c>
      <c r="K1600">
        <v>4</v>
      </c>
      <c r="AY1600">
        <f t="shared" si="50"/>
        <v>43</v>
      </c>
      <c r="AZ1600">
        <f t="shared" si="51"/>
        <v>2</v>
      </c>
    </row>
    <row r="1601" spans="1:52" ht="55.2">
      <c r="A1601" s="3" t="s">
        <v>1645</v>
      </c>
      <c r="C1601">
        <v>2</v>
      </c>
      <c r="D1601">
        <v>2</v>
      </c>
      <c r="K1601">
        <v>4</v>
      </c>
      <c r="AY1601">
        <f t="shared" si="50"/>
        <v>43</v>
      </c>
      <c r="AZ1601">
        <f t="shared" si="51"/>
        <v>2</v>
      </c>
    </row>
    <row r="1602" spans="1:52" ht="55.2">
      <c r="A1602" s="3" t="s">
        <v>1646</v>
      </c>
      <c r="C1602">
        <v>2</v>
      </c>
      <c r="D1602">
        <v>2</v>
      </c>
      <c r="K1602">
        <v>4</v>
      </c>
      <c r="AY1602">
        <f t="shared" si="50"/>
        <v>43</v>
      </c>
      <c r="AZ1602">
        <f t="shared" si="51"/>
        <v>2</v>
      </c>
    </row>
    <row r="1603" spans="1:52" ht="55.2">
      <c r="A1603" s="3" t="s">
        <v>1647</v>
      </c>
      <c r="C1603">
        <v>2</v>
      </c>
      <c r="D1603">
        <v>2</v>
      </c>
      <c r="K1603">
        <v>4</v>
      </c>
      <c r="AY1603">
        <f t="shared" si="50"/>
        <v>43</v>
      </c>
      <c r="AZ1603">
        <f t="shared" si="51"/>
        <v>2</v>
      </c>
    </row>
    <row r="1604" spans="1:52" ht="55.2">
      <c r="A1604" s="3" t="s">
        <v>1648</v>
      </c>
      <c r="C1604">
        <v>2</v>
      </c>
      <c r="D1604">
        <v>2</v>
      </c>
      <c r="K1604">
        <v>4</v>
      </c>
      <c r="AY1604">
        <f t="shared" si="50"/>
        <v>43</v>
      </c>
      <c r="AZ1604">
        <f t="shared" si="51"/>
        <v>2</v>
      </c>
    </row>
    <row r="1605" spans="1:52" ht="55.2">
      <c r="A1605" s="3" t="s">
        <v>1649</v>
      </c>
      <c r="C1605">
        <v>2</v>
      </c>
      <c r="D1605">
        <v>2</v>
      </c>
      <c r="K1605">
        <v>4</v>
      </c>
      <c r="AY1605">
        <f t="shared" si="50"/>
        <v>43</v>
      </c>
      <c r="AZ1605">
        <f t="shared" si="51"/>
        <v>2</v>
      </c>
    </row>
    <row r="1606" spans="1:52" ht="55.2">
      <c r="A1606" s="3" t="s">
        <v>1650</v>
      </c>
      <c r="C1606">
        <v>2</v>
      </c>
      <c r="D1606">
        <v>2</v>
      </c>
      <c r="K1606">
        <v>4</v>
      </c>
      <c r="AY1606">
        <f t="shared" si="50"/>
        <v>43</v>
      </c>
      <c r="AZ1606">
        <f t="shared" si="51"/>
        <v>2</v>
      </c>
    </row>
    <row r="1607" spans="1:52" ht="55.2">
      <c r="A1607" s="3" t="s">
        <v>1651</v>
      </c>
      <c r="C1607">
        <v>2</v>
      </c>
      <c r="D1607">
        <v>2</v>
      </c>
      <c r="K1607">
        <v>4</v>
      </c>
      <c r="AY1607">
        <f t="shared" si="50"/>
        <v>43</v>
      </c>
      <c r="AZ1607">
        <f t="shared" si="51"/>
        <v>2</v>
      </c>
    </row>
    <row r="1608" spans="1:52" ht="55.2">
      <c r="A1608" s="3" t="s">
        <v>1652</v>
      </c>
      <c r="C1608">
        <v>2</v>
      </c>
      <c r="D1608">
        <v>2</v>
      </c>
      <c r="K1608">
        <v>4</v>
      </c>
      <c r="AY1608">
        <f t="shared" si="50"/>
        <v>43</v>
      </c>
      <c r="AZ1608">
        <f t="shared" si="51"/>
        <v>2</v>
      </c>
    </row>
    <row r="1609" spans="1:52" ht="55.2">
      <c r="A1609" s="3" t="s">
        <v>1653</v>
      </c>
      <c r="C1609">
        <v>2</v>
      </c>
      <c r="D1609">
        <v>2</v>
      </c>
      <c r="K1609">
        <v>4</v>
      </c>
      <c r="AY1609">
        <f t="shared" si="50"/>
        <v>43</v>
      </c>
      <c r="AZ1609">
        <f t="shared" si="51"/>
        <v>2</v>
      </c>
    </row>
    <row r="1610" spans="1:52" ht="55.2">
      <c r="A1610" s="3" t="s">
        <v>1654</v>
      </c>
      <c r="C1610">
        <v>2</v>
      </c>
      <c r="D1610">
        <v>2</v>
      </c>
      <c r="K1610">
        <v>4</v>
      </c>
      <c r="AY1610">
        <f t="shared" si="50"/>
        <v>43</v>
      </c>
      <c r="AZ1610">
        <f t="shared" si="51"/>
        <v>2</v>
      </c>
    </row>
    <row r="1611" spans="1:52" ht="55.2">
      <c r="A1611" s="3" t="s">
        <v>1655</v>
      </c>
      <c r="C1611">
        <v>2</v>
      </c>
      <c r="D1611">
        <v>2</v>
      </c>
      <c r="K1611">
        <v>4</v>
      </c>
      <c r="AY1611">
        <f t="shared" si="50"/>
        <v>43</v>
      </c>
      <c r="AZ1611">
        <f t="shared" si="51"/>
        <v>2</v>
      </c>
    </row>
    <row r="1612" spans="1:52" ht="55.2">
      <c r="A1612" s="3" t="s">
        <v>1656</v>
      </c>
      <c r="C1612">
        <v>2</v>
      </c>
      <c r="D1612">
        <v>2</v>
      </c>
      <c r="K1612">
        <v>4</v>
      </c>
      <c r="AY1612">
        <f t="shared" si="50"/>
        <v>43</v>
      </c>
      <c r="AZ1612">
        <f t="shared" si="51"/>
        <v>2</v>
      </c>
    </row>
    <row r="1613" spans="1:52" ht="55.2">
      <c r="A1613" s="3" t="s">
        <v>1657</v>
      </c>
      <c r="C1613">
        <v>2</v>
      </c>
      <c r="D1613">
        <v>2</v>
      </c>
      <c r="K1613">
        <v>4</v>
      </c>
      <c r="AY1613">
        <f t="shared" si="50"/>
        <v>43</v>
      </c>
      <c r="AZ1613">
        <f t="shared" si="51"/>
        <v>2</v>
      </c>
    </row>
    <row r="1614" spans="1:52" ht="55.2">
      <c r="A1614" s="3" t="s">
        <v>1658</v>
      </c>
      <c r="C1614">
        <v>2</v>
      </c>
      <c r="D1614">
        <v>2</v>
      </c>
      <c r="K1614">
        <v>4</v>
      </c>
      <c r="AY1614">
        <f t="shared" si="50"/>
        <v>43</v>
      </c>
      <c r="AZ1614">
        <f t="shared" si="51"/>
        <v>2</v>
      </c>
    </row>
    <row r="1615" spans="1:52" ht="55.2">
      <c r="A1615" s="3" t="s">
        <v>1659</v>
      </c>
      <c r="C1615">
        <v>2</v>
      </c>
      <c r="D1615">
        <v>2</v>
      </c>
      <c r="K1615">
        <v>4</v>
      </c>
      <c r="AY1615">
        <f t="shared" si="50"/>
        <v>43</v>
      </c>
      <c r="AZ1615">
        <f t="shared" si="51"/>
        <v>2</v>
      </c>
    </row>
    <row r="1616" spans="1:52" ht="55.2">
      <c r="A1616" s="3" t="s">
        <v>1660</v>
      </c>
      <c r="C1616">
        <v>2</v>
      </c>
      <c r="D1616">
        <v>2</v>
      </c>
      <c r="K1616">
        <v>4</v>
      </c>
      <c r="AY1616">
        <f t="shared" si="50"/>
        <v>43</v>
      </c>
      <c r="AZ1616">
        <f t="shared" si="51"/>
        <v>2</v>
      </c>
    </row>
    <row r="1617" spans="1:52" ht="55.2">
      <c r="A1617" s="3" t="s">
        <v>1661</v>
      </c>
      <c r="C1617">
        <v>2</v>
      </c>
      <c r="D1617">
        <v>2</v>
      </c>
      <c r="K1617">
        <v>4</v>
      </c>
      <c r="AY1617">
        <f t="shared" si="50"/>
        <v>43</v>
      </c>
      <c r="AZ1617">
        <f t="shared" si="51"/>
        <v>2</v>
      </c>
    </row>
    <row r="1618" spans="1:52" ht="55.2">
      <c r="A1618" s="3" t="s">
        <v>1662</v>
      </c>
      <c r="C1618">
        <v>2</v>
      </c>
      <c r="D1618">
        <v>2</v>
      </c>
      <c r="K1618">
        <v>4</v>
      </c>
      <c r="AY1618">
        <f t="shared" si="50"/>
        <v>43</v>
      </c>
      <c r="AZ1618">
        <f t="shared" si="51"/>
        <v>2</v>
      </c>
    </row>
    <row r="1619" spans="1:52" ht="55.2">
      <c r="A1619" s="3" t="s">
        <v>1663</v>
      </c>
      <c r="C1619">
        <v>2</v>
      </c>
      <c r="D1619">
        <v>2</v>
      </c>
      <c r="K1619">
        <v>4</v>
      </c>
      <c r="AY1619">
        <f t="shared" si="50"/>
        <v>43</v>
      </c>
      <c r="AZ1619">
        <f t="shared" si="51"/>
        <v>2</v>
      </c>
    </row>
    <row r="1620" spans="1:52" ht="55.2">
      <c r="A1620" s="3" t="s">
        <v>1664</v>
      </c>
      <c r="C1620">
        <v>2</v>
      </c>
      <c r="D1620">
        <v>2</v>
      </c>
      <c r="K1620">
        <v>4</v>
      </c>
      <c r="AY1620">
        <f t="shared" si="50"/>
        <v>43</v>
      </c>
      <c r="AZ1620">
        <f t="shared" si="51"/>
        <v>2</v>
      </c>
    </row>
    <row r="1621" spans="1:52" ht="55.2">
      <c r="A1621" s="3" t="s">
        <v>1665</v>
      </c>
      <c r="C1621">
        <v>2</v>
      </c>
      <c r="D1621">
        <v>2</v>
      </c>
      <c r="K1621">
        <v>4</v>
      </c>
      <c r="AY1621">
        <f t="shared" si="50"/>
        <v>43</v>
      </c>
      <c r="AZ1621">
        <f t="shared" si="51"/>
        <v>2</v>
      </c>
    </row>
    <row r="1622" spans="1:52" ht="55.2">
      <c r="A1622" s="3" t="s">
        <v>1666</v>
      </c>
      <c r="C1622">
        <v>2</v>
      </c>
      <c r="D1622">
        <v>2</v>
      </c>
      <c r="K1622">
        <v>4</v>
      </c>
      <c r="AY1622">
        <f t="shared" si="50"/>
        <v>43</v>
      </c>
      <c r="AZ1622">
        <f t="shared" si="51"/>
        <v>2</v>
      </c>
    </row>
    <row r="1623" spans="1:52" ht="55.2">
      <c r="A1623" s="3" t="s">
        <v>1667</v>
      </c>
      <c r="C1623">
        <v>2</v>
      </c>
      <c r="D1623">
        <v>2</v>
      </c>
      <c r="K1623">
        <v>4</v>
      </c>
      <c r="AY1623">
        <f t="shared" si="50"/>
        <v>43</v>
      </c>
      <c r="AZ1623">
        <f t="shared" si="51"/>
        <v>2</v>
      </c>
    </row>
    <row r="1624" spans="1:52" ht="55.2">
      <c r="A1624" s="3" t="s">
        <v>1668</v>
      </c>
      <c r="C1624">
        <v>2</v>
      </c>
      <c r="D1624">
        <v>2</v>
      </c>
      <c r="K1624">
        <v>4</v>
      </c>
      <c r="AY1624">
        <f t="shared" si="50"/>
        <v>43</v>
      </c>
      <c r="AZ1624">
        <f t="shared" si="51"/>
        <v>2</v>
      </c>
    </row>
    <row r="1625" spans="1:52" ht="55.2">
      <c r="A1625" s="3" t="s">
        <v>1669</v>
      </c>
      <c r="C1625">
        <v>2</v>
      </c>
      <c r="D1625">
        <v>2</v>
      </c>
      <c r="K1625">
        <v>4</v>
      </c>
      <c r="AY1625">
        <f t="shared" si="50"/>
        <v>43</v>
      </c>
      <c r="AZ1625">
        <f t="shared" si="51"/>
        <v>2</v>
      </c>
    </row>
    <row r="1626" spans="1:52" ht="55.2">
      <c r="A1626" s="3" t="s">
        <v>1670</v>
      </c>
      <c r="C1626">
        <v>2</v>
      </c>
      <c r="D1626">
        <v>2</v>
      </c>
      <c r="K1626">
        <v>4</v>
      </c>
      <c r="AY1626">
        <f t="shared" si="50"/>
        <v>43</v>
      </c>
      <c r="AZ1626">
        <f t="shared" si="51"/>
        <v>2</v>
      </c>
    </row>
    <row r="1627" spans="1:52" ht="55.2">
      <c r="A1627" s="3" t="s">
        <v>1671</v>
      </c>
      <c r="C1627">
        <v>2</v>
      </c>
      <c r="D1627">
        <v>2</v>
      </c>
      <c r="K1627">
        <v>4</v>
      </c>
      <c r="AY1627">
        <f t="shared" si="50"/>
        <v>43</v>
      </c>
      <c r="AZ1627">
        <f t="shared" si="51"/>
        <v>2</v>
      </c>
    </row>
    <row r="1628" spans="1:52" ht="55.2">
      <c r="A1628" s="3" t="s">
        <v>1672</v>
      </c>
      <c r="C1628">
        <v>2</v>
      </c>
      <c r="D1628">
        <v>2</v>
      </c>
      <c r="K1628">
        <v>4</v>
      </c>
      <c r="AY1628">
        <f t="shared" si="50"/>
        <v>43</v>
      </c>
      <c r="AZ1628">
        <f t="shared" si="51"/>
        <v>2</v>
      </c>
    </row>
    <row r="1629" spans="1:52" ht="55.2">
      <c r="A1629" s="3" t="s">
        <v>1673</v>
      </c>
      <c r="C1629">
        <v>2</v>
      </c>
      <c r="D1629">
        <v>2</v>
      </c>
      <c r="K1629">
        <v>4</v>
      </c>
      <c r="AY1629">
        <f t="shared" si="50"/>
        <v>43</v>
      </c>
      <c r="AZ1629">
        <f t="shared" si="51"/>
        <v>2</v>
      </c>
    </row>
    <row r="1630" spans="1:52" ht="55.2">
      <c r="A1630" s="3" t="s">
        <v>1674</v>
      </c>
      <c r="C1630">
        <v>2</v>
      </c>
      <c r="D1630">
        <v>2</v>
      </c>
      <c r="K1630">
        <v>4</v>
      </c>
      <c r="AY1630">
        <f t="shared" si="50"/>
        <v>43</v>
      </c>
      <c r="AZ1630">
        <f t="shared" si="51"/>
        <v>2</v>
      </c>
    </row>
    <row r="1631" spans="1:52" ht="55.2">
      <c r="A1631" s="3" t="s">
        <v>1675</v>
      </c>
      <c r="C1631">
        <v>2</v>
      </c>
      <c r="D1631">
        <v>2</v>
      </c>
      <c r="K1631">
        <v>4</v>
      </c>
      <c r="AY1631">
        <f t="shared" si="50"/>
        <v>43</v>
      </c>
      <c r="AZ1631">
        <f t="shared" si="51"/>
        <v>2</v>
      </c>
    </row>
    <row r="1632" spans="1:52" ht="55.2">
      <c r="A1632" s="3" t="s">
        <v>1676</v>
      </c>
      <c r="C1632">
        <v>2</v>
      </c>
      <c r="D1632">
        <v>2</v>
      </c>
      <c r="K1632">
        <v>4</v>
      </c>
      <c r="AY1632">
        <f t="shared" si="50"/>
        <v>43</v>
      </c>
      <c r="AZ1632">
        <f t="shared" si="51"/>
        <v>2</v>
      </c>
    </row>
    <row r="1633" spans="1:52" ht="55.2">
      <c r="A1633" s="3" t="s">
        <v>1677</v>
      </c>
      <c r="C1633">
        <v>2</v>
      </c>
      <c r="D1633">
        <v>2</v>
      </c>
      <c r="K1633">
        <v>4</v>
      </c>
      <c r="AY1633">
        <f t="shared" ref="AY1633:AY1696" si="52">COUNTBLANK(F1633:AW1633)</f>
        <v>43</v>
      </c>
      <c r="AZ1633">
        <f t="shared" ref="AZ1633:AZ1696" si="53">COUNTBLANK(B1633:E1633)</f>
        <v>2</v>
      </c>
    </row>
    <row r="1634" spans="1:52" ht="55.2">
      <c r="A1634" s="3" t="s">
        <v>1678</v>
      </c>
      <c r="C1634">
        <v>2</v>
      </c>
      <c r="D1634">
        <v>2</v>
      </c>
      <c r="K1634">
        <v>4</v>
      </c>
      <c r="AY1634">
        <f t="shared" si="52"/>
        <v>43</v>
      </c>
      <c r="AZ1634">
        <f t="shared" si="53"/>
        <v>2</v>
      </c>
    </row>
    <row r="1635" spans="1:52" ht="55.2">
      <c r="A1635" s="3" t="s">
        <v>1679</v>
      </c>
      <c r="C1635">
        <v>2</v>
      </c>
      <c r="D1635">
        <v>2</v>
      </c>
      <c r="K1635">
        <v>4</v>
      </c>
      <c r="AY1635">
        <f t="shared" si="52"/>
        <v>43</v>
      </c>
      <c r="AZ1635">
        <f t="shared" si="53"/>
        <v>2</v>
      </c>
    </row>
    <row r="1636" spans="1:52" ht="55.2">
      <c r="A1636" s="3" t="s">
        <v>1680</v>
      </c>
      <c r="C1636">
        <v>2</v>
      </c>
      <c r="D1636">
        <v>2</v>
      </c>
      <c r="K1636">
        <v>4</v>
      </c>
      <c r="AY1636">
        <f t="shared" si="52"/>
        <v>43</v>
      </c>
      <c r="AZ1636">
        <f t="shared" si="53"/>
        <v>2</v>
      </c>
    </row>
    <row r="1637" spans="1:52" ht="55.2">
      <c r="A1637" s="3" t="s">
        <v>1681</v>
      </c>
      <c r="C1637">
        <v>2</v>
      </c>
      <c r="D1637">
        <v>2</v>
      </c>
      <c r="K1637">
        <v>4</v>
      </c>
      <c r="AY1637">
        <f t="shared" si="52"/>
        <v>43</v>
      </c>
      <c r="AZ1637">
        <f t="shared" si="53"/>
        <v>2</v>
      </c>
    </row>
    <row r="1638" spans="1:52" ht="55.2">
      <c r="A1638" s="3" t="s">
        <v>1682</v>
      </c>
      <c r="C1638">
        <v>2</v>
      </c>
      <c r="D1638">
        <v>2</v>
      </c>
      <c r="K1638">
        <v>4</v>
      </c>
      <c r="AY1638">
        <f t="shared" si="52"/>
        <v>43</v>
      </c>
      <c r="AZ1638">
        <f t="shared" si="53"/>
        <v>2</v>
      </c>
    </row>
    <row r="1639" spans="1:52" ht="55.2">
      <c r="A1639" s="3" t="s">
        <v>1683</v>
      </c>
      <c r="C1639">
        <v>2</v>
      </c>
      <c r="D1639">
        <v>2</v>
      </c>
      <c r="K1639">
        <v>4</v>
      </c>
      <c r="AY1639">
        <f t="shared" si="52"/>
        <v>43</v>
      </c>
      <c r="AZ1639">
        <f t="shared" si="53"/>
        <v>2</v>
      </c>
    </row>
    <row r="1640" spans="1:52" ht="55.2">
      <c r="A1640" s="3" t="s">
        <v>1684</v>
      </c>
      <c r="C1640">
        <v>2</v>
      </c>
      <c r="D1640">
        <v>2</v>
      </c>
      <c r="K1640">
        <v>4</v>
      </c>
      <c r="AY1640">
        <f t="shared" si="52"/>
        <v>43</v>
      </c>
      <c r="AZ1640">
        <f t="shared" si="53"/>
        <v>2</v>
      </c>
    </row>
    <row r="1641" spans="1:52" ht="55.2">
      <c r="A1641" s="3" t="s">
        <v>1685</v>
      </c>
      <c r="C1641">
        <v>2</v>
      </c>
      <c r="D1641">
        <v>2</v>
      </c>
      <c r="K1641">
        <v>4</v>
      </c>
      <c r="AY1641">
        <f t="shared" si="52"/>
        <v>43</v>
      </c>
      <c r="AZ1641">
        <f t="shared" si="53"/>
        <v>2</v>
      </c>
    </row>
    <row r="1642" spans="1:52" ht="55.2">
      <c r="A1642" s="3" t="s">
        <v>1686</v>
      </c>
      <c r="C1642">
        <v>2</v>
      </c>
      <c r="D1642">
        <v>2</v>
      </c>
      <c r="K1642">
        <v>4</v>
      </c>
      <c r="AY1642">
        <f t="shared" si="52"/>
        <v>43</v>
      </c>
      <c r="AZ1642">
        <f t="shared" si="53"/>
        <v>2</v>
      </c>
    </row>
    <row r="1643" spans="1:52" ht="55.2">
      <c r="A1643" s="3" t="s">
        <v>1687</v>
      </c>
      <c r="C1643">
        <v>2</v>
      </c>
      <c r="D1643">
        <v>2</v>
      </c>
      <c r="K1643">
        <v>4</v>
      </c>
      <c r="AY1643">
        <f t="shared" si="52"/>
        <v>43</v>
      </c>
      <c r="AZ1643">
        <f t="shared" si="53"/>
        <v>2</v>
      </c>
    </row>
    <row r="1644" spans="1:52" ht="55.2">
      <c r="A1644" s="3" t="s">
        <v>1688</v>
      </c>
      <c r="C1644">
        <v>2</v>
      </c>
      <c r="D1644">
        <v>2</v>
      </c>
      <c r="K1644">
        <v>4</v>
      </c>
      <c r="AY1644">
        <f t="shared" si="52"/>
        <v>43</v>
      </c>
      <c r="AZ1644">
        <f t="shared" si="53"/>
        <v>2</v>
      </c>
    </row>
    <row r="1645" spans="1:52" ht="55.2">
      <c r="A1645" s="3" t="s">
        <v>1689</v>
      </c>
      <c r="C1645">
        <v>2</v>
      </c>
      <c r="D1645">
        <v>2</v>
      </c>
      <c r="K1645">
        <v>4</v>
      </c>
      <c r="AY1645">
        <f t="shared" si="52"/>
        <v>43</v>
      </c>
      <c r="AZ1645">
        <f t="shared" si="53"/>
        <v>2</v>
      </c>
    </row>
    <row r="1646" spans="1:52" ht="55.2">
      <c r="A1646" s="3" t="s">
        <v>1690</v>
      </c>
      <c r="C1646">
        <v>2</v>
      </c>
      <c r="D1646">
        <v>2</v>
      </c>
      <c r="K1646">
        <v>4</v>
      </c>
      <c r="AY1646">
        <f t="shared" si="52"/>
        <v>43</v>
      </c>
      <c r="AZ1646">
        <f t="shared" si="53"/>
        <v>2</v>
      </c>
    </row>
    <row r="1647" spans="1:52" ht="55.2">
      <c r="A1647" s="3" t="s">
        <v>1691</v>
      </c>
      <c r="C1647">
        <v>2</v>
      </c>
      <c r="D1647">
        <v>2</v>
      </c>
      <c r="J1647">
        <v>14</v>
      </c>
      <c r="AY1647">
        <f t="shared" si="52"/>
        <v>43</v>
      </c>
      <c r="AZ1647">
        <f t="shared" si="53"/>
        <v>2</v>
      </c>
    </row>
    <row r="1648" spans="1:52" ht="55.2">
      <c r="A1648" s="3" t="s">
        <v>1692</v>
      </c>
      <c r="C1648">
        <v>2</v>
      </c>
      <c r="D1648">
        <v>2</v>
      </c>
      <c r="J1648">
        <v>14</v>
      </c>
      <c r="AY1648">
        <f t="shared" si="52"/>
        <v>43</v>
      </c>
      <c r="AZ1648">
        <f t="shared" si="53"/>
        <v>2</v>
      </c>
    </row>
    <row r="1649" spans="1:52" ht="55.2">
      <c r="A1649" s="3" t="s">
        <v>1693</v>
      </c>
      <c r="C1649">
        <v>2</v>
      </c>
      <c r="D1649">
        <v>2</v>
      </c>
      <c r="J1649">
        <v>14</v>
      </c>
      <c r="AY1649">
        <f t="shared" si="52"/>
        <v>43</v>
      </c>
      <c r="AZ1649">
        <f t="shared" si="53"/>
        <v>2</v>
      </c>
    </row>
    <row r="1650" spans="1:52" ht="55.2">
      <c r="A1650" s="3" t="s">
        <v>1694</v>
      </c>
      <c r="C1650">
        <v>2</v>
      </c>
      <c r="D1650">
        <v>2</v>
      </c>
      <c r="J1650">
        <v>14</v>
      </c>
      <c r="AY1650">
        <f t="shared" si="52"/>
        <v>43</v>
      </c>
      <c r="AZ1650">
        <f t="shared" si="53"/>
        <v>2</v>
      </c>
    </row>
    <row r="1651" spans="1:52" ht="55.2">
      <c r="A1651" s="3" t="s">
        <v>1695</v>
      </c>
      <c r="C1651">
        <v>2</v>
      </c>
      <c r="D1651">
        <v>2</v>
      </c>
      <c r="J1651">
        <v>14</v>
      </c>
      <c r="AY1651">
        <f t="shared" si="52"/>
        <v>43</v>
      </c>
      <c r="AZ1651">
        <f t="shared" si="53"/>
        <v>2</v>
      </c>
    </row>
    <row r="1652" spans="1:52" ht="55.2">
      <c r="A1652" s="3" t="s">
        <v>1696</v>
      </c>
      <c r="C1652">
        <v>2</v>
      </c>
      <c r="D1652">
        <v>2</v>
      </c>
      <c r="J1652">
        <v>14</v>
      </c>
      <c r="AY1652">
        <f t="shared" si="52"/>
        <v>43</v>
      </c>
      <c r="AZ1652">
        <f t="shared" si="53"/>
        <v>2</v>
      </c>
    </row>
    <row r="1653" spans="1:52" ht="55.2">
      <c r="A1653" s="3" t="s">
        <v>1697</v>
      </c>
      <c r="C1653">
        <v>2</v>
      </c>
      <c r="D1653">
        <v>2</v>
      </c>
      <c r="J1653">
        <v>14</v>
      </c>
      <c r="AY1653">
        <f t="shared" si="52"/>
        <v>43</v>
      </c>
      <c r="AZ1653">
        <f t="shared" si="53"/>
        <v>2</v>
      </c>
    </row>
    <row r="1654" spans="1:52" ht="55.2">
      <c r="A1654" s="3" t="s">
        <v>1698</v>
      </c>
      <c r="C1654">
        <v>2</v>
      </c>
      <c r="D1654">
        <v>2</v>
      </c>
      <c r="J1654">
        <v>14</v>
      </c>
      <c r="AY1654">
        <f t="shared" si="52"/>
        <v>43</v>
      </c>
      <c r="AZ1654">
        <f t="shared" si="53"/>
        <v>2</v>
      </c>
    </row>
    <row r="1655" spans="1:52" ht="55.2">
      <c r="A1655" s="3" t="s">
        <v>1699</v>
      </c>
      <c r="C1655">
        <v>2</v>
      </c>
      <c r="D1655">
        <v>2</v>
      </c>
      <c r="J1655">
        <v>14</v>
      </c>
      <c r="AY1655">
        <f t="shared" si="52"/>
        <v>43</v>
      </c>
      <c r="AZ1655">
        <f t="shared" si="53"/>
        <v>2</v>
      </c>
    </row>
    <row r="1656" spans="1:52" ht="55.2">
      <c r="A1656" s="3" t="s">
        <v>1700</v>
      </c>
      <c r="C1656">
        <v>2</v>
      </c>
      <c r="D1656">
        <v>2</v>
      </c>
      <c r="J1656">
        <v>14</v>
      </c>
      <c r="AY1656">
        <f t="shared" si="52"/>
        <v>43</v>
      </c>
      <c r="AZ1656">
        <f t="shared" si="53"/>
        <v>2</v>
      </c>
    </row>
    <row r="1657" spans="1:52" ht="55.2">
      <c r="A1657" s="3" t="s">
        <v>1701</v>
      </c>
      <c r="C1657">
        <v>2</v>
      </c>
      <c r="D1657">
        <v>2</v>
      </c>
      <c r="J1657">
        <v>14</v>
      </c>
      <c r="AY1657">
        <f t="shared" si="52"/>
        <v>43</v>
      </c>
      <c r="AZ1657">
        <f t="shared" si="53"/>
        <v>2</v>
      </c>
    </row>
    <row r="1658" spans="1:52" ht="55.2">
      <c r="A1658" s="3" t="s">
        <v>1702</v>
      </c>
      <c r="C1658">
        <v>2</v>
      </c>
      <c r="J1658">
        <v>14</v>
      </c>
      <c r="AY1658">
        <f t="shared" si="52"/>
        <v>43</v>
      </c>
      <c r="AZ1658">
        <f t="shared" si="53"/>
        <v>3</v>
      </c>
    </row>
    <row r="1659" spans="1:52" ht="55.2">
      <c r="A1659" s="3" t="s">
        <v>1703</v>
      </c>
      <c r="C1659">
        <v>2</v>
      </c>
      <c r="J1659">
        <v>14</v>
      </c>
      <c r="AY1659">
        <f t="shared" si="52"/>
        <v>43</v>
      </c>
      <c r="AZ1659">
        <f t="shared" si="53"/>
        <v>3</v>
      </c>
    </row>
    <row r="1660" spans="1:52" ht="55.2">
      <c r="A1660" s="3" t="s">
        <v>1704</v>
      </c>
      <c r="C1660">
        <v>2</v>
      </c>
      <c r="J1660">
        <v>14</v>
      </c>
      <c r="AY1660">
        <f t="shared" si="52"/>
        <v>43</v>
      </c>
      <c r="AZ1660">
        <f t="shared" si="53"/>
        <v>3</v>
      </c>
    </row>
    <row r="1661" spans="1:52" ht="55.2">
      <c r="A1661" s="3" t="s">
        <v>1705</v>
      </c>
      <c r="C1661">
        <v>2</v>
      </c>
      <c r="AT1661">
        <v>5</v>
      </c>
      <c r="AY1661">
        <f t="shared" si="52"/>
        <v>43</v>
      </c>
      <c r="AZ1661">
        <f t="shared" si="53"/>
        <v>3</v>
      </c>
    </row>
    <row r="1662" spans="1:52" ht="55.2">
      <c r="A1662" s="3" t="s">
        <v>1706</v>
      </c>
      <c r="C1662">
        <v>2</v>
      </c>
      <c r="AT1662">
        <v>5</v>
      </c>
      <c r="AY1662">
        <f t="shared" si="52"/>
        <v>43</v>
      </c>
      <c r="AZ1662">
        <f t="shared" si="53"/>
        <v>3</v>
      </c>
    </row>
    <row r="1663" spans="1:52" ht="55.2">
      <c r="A1663" s="3" t="s">
        <v>1707</v>
      </c>
      <c r="C1663">
        <v>2</v>
      </c>
      <c r="AT1663">
        <v>5</v>
      </c>
      <c r="AY1663">
        <f t="shared" si="52"/>
        <v>43</v>
      </c>
      <c r="AZ1663">
        <f t="shared" si="53"/>
        <v>3</v>
      </c>
    </row>
    <row r="1664" spans="1:52" ht="55.2">
      <c r="A1664" s="3" t="s">
        <v>1708</v>
      </c>
      <c r="C1664">
        <v>2</v>
      </c>
      <c r="AT1664">
        <v>5</v>
      </c>
      <c r="AY1664">
        <f t="shared" si="52"/>
        <v>43</v>
      </c>
      <c r="AZ1664">
        <f t="shared" si="53"/>
        <v>3</v>
      </c>
    </row>
    <row r="1665" spans="1:52" ht="55.2">
      <c r="A1665" s="3" t="s">
        <v>1709</v>
      </c>
      <c r="C1665">
        <v>2</v>
      </c>
      <c r="AT1665">
        <v>5</v>
      </c>
      <c r="AY1665">
        <f t="shared" si="52"/>
        <v>43</v>
      </c>
      <c r="AZ1665">
        <f t="shared" si="53"/>
        <v>3</v>
      </c>
    </row>
    <row r="1666" spans="1:52" ht="55.2">
      <c r="A1666" s="3" t="s">
        <v>1710</v>
      </c>
      <c r="C1666">
        <v>2</v>
      </c>
      <c r="AT1666">
        <v>5</v>
      </c>
      <c r="AY1666">
        <f t="shared" si="52"/>
        <v>43</v>
      </c>
      <c r="AZ1666">
        <f t="shared" si="53"/>
        <v>3</v>
      </c>
    </row>
    <row r="1667" spans="1:52" ht="55.2">
      <c r="A1667" s="3" t="s">
        <v>1711</v>
      </c>
      <c r="C1667">
        <v>2</v>
      </c>
      <c r="AT1667">
        <v>5</v>
      </c>
      <c r="AY1667">
        <f t="shared" si="52"/>
        <v>43</v>
      </c>
      <c r="AZ1667">
        <f t="shared" si="53"/>
        <v>3</v>
      </c>
    </row>
    <row r="1668" spans="1:52" ht="55.2">
      <c r="A1668" s="3" t="s">
        <v>1712</v>
      </c>
      <c r="C1668">
        <v>2</v>
      </c>
      <c r="AT1668">
        <v>5</v>
      </c>
      <c r="AY1668">
        <f t="shared" si="52"/>
        <v>43</v>
      </c>
      <c r="AZ1668">
        <f t="shared" si="53"/>
        <v>3</v>
      </c>
    </row>
    <row r="1669" spans="1:52" ht="55.2">
      <c r="A1669" s="3" t="s">
        <v>1713</v>
      </c>
      <c r="C1669">
        <v>2</v>
      </c>
      <c r="AT1669">
        <v>5</v>
      </c>
      <c r="AY1669">
        <f t="shared" si="52"/>
        <v>43</v>
      </c>
      <c r="AZ1669">
        <f t="shared" si="53"/>
        <v>3</v>
      </c>
    </row>
    <row r="1670" spans="1:52" ht="55.2">
      <c r="A1670" s="3" t="s">
        <v>1714</v>
      </c>
      <c r="C1670">
        <v>2</v>
      </c>
      <c r="AT1670">
        <v>5</v>
      </c>
      <c r="AY1670">
        <f t="shared" si="52"/>
        <v>43</v>
      </c>
      <c r="AZ1670">
        <f t="shared" si="53"/>
        <v>3</v>
      </c>
    </row>
    <row r="1671" spans="1:52" ht="55.2">
      <c r="A1671" s="3" t="s">
        <v>1715</v>
      </c>
      <c r="C1671">
        <v>2</v>
      </c>
      <c r="AT1671">
        <v>5</v>
      </c>
      <c r="AY1671">
        <f t="shared" si="52"/>
        <v>43</v>
      </c>
      <c r="AZ1671">
        <f t="shared" si="53"/>
        <v>3</v>
      </c>
    </row>
    <row r="1672" spans="1:52" ht="55.2">
      <c r="A1672" s="3" t="s">
        <v>1716</v>
      </c>
      <c r="C1672">
        <v>2</v>
      </c>
      <c r="AT1672">
        <v>5</v>
      </c>
      <c r="AY1672">
        <f t="shared" si="52"/>
        <v>43</v>
      </c>
      <c r="AZ1672">
        <f t="shared" si="53"/>
        <v>3</v>
      </c>
    </row>
    <row r="1673" spans="1:52" ht="55.2">
      <c r="A1673" s="3" t="s">
        <v>1717</v>
      </c>
      <c r="C1673">
        <v>2</v>
      </c>
      <c r="AT1673">
        <v>5</v>
      </c>
      <c r="AY1673">
        <f t="shared" si="52"/>
        <v>43</v>
      </c>
      <c r="AZ1673">
        <f t="shared" si="53"/>
        <v>3</v>
      </c>
    </row>
    <row r="1674" spans="1:52" ht="55.2">
      <c r="A1674" s="3" t="s">
        <v>1718</v>
      </c>
      <c r="C1674">
        <v>2</v>
      </c>
      <c r="AT1674">
        <v>5</v>
      </c>
      <c r="AY1674">
        <f t="shared" si="52"/>
        <v>43</v>
      </c>
      <c r="AZ1674">
        <f t="shared" si="53"/>
        <v>3</v>
      </c>
    </row>
    <row r="1675" spans="1:52" ht="55.2">
      <c r="A1675" s="3" t="s">
        <v>1719</v>
      </c>
      <c r="C1675">
        <v>2</v>
      </c>
      <c r="AT1675">
        <v>5</v>
      </c>
      <c r="AY1675">
        <f t="shared" si="52"/>
        <v>43</v>
      </c>
      <c r="AZ1675">
        <f t="shared" si="53"/>
        <v>3</v>
      </c>
    </row>
    <row r="1676" spans="1:52" ht="55.2">
      <c r="A1676" s="3" t="s">
        <v>1720</v>
      </c>
      <c r="C1676">
        <v>2</v>
      </c>
      <c r="AT1676">
        <v>5</v>
      </c>
      <c r="AY1676">
        <f t="shared" si="52"/>
        <v>43</v>
      </c>
      <c r="AZ1676">
        <f t="shared" si="53"/>
        <v>3</v>
      </c>
    </row>
    <row r="1677" spans="1:52" ht="55.2">
      <c r="A1677" s="3" t="s">
        <v>1721</v>
      </c>
      <c r="C1677">
        <v>2</v>
      </c>
      <c r="AT1677">
        <v>5</v>
      </c>
      <c r="AY1677">
        <f t="shared" si="52"/>
        <v>43</v>
      </c>
      <c r="AZ1677">
        <f t="shared" si="53"/>
        <v>3</v>
      </c>
    </row>
    <row r="1678" spans="1:52" ht="55.2">
      <c r="A1678" s="3" t="s">
        <v>1722</v>
      </c>
      <c r="C1678">
        <v>2</v>
      </c>
      <c r="AT1678">
        <v>5</v>
      </c>
      <c r="AY1678">
        <f t="shared" si="52"/>
        <v>43</v>
      </c>
      <c r="AZ1678">
        <f t="shared" si="53"/>
        <v>3</v>
      </c>
    </row>
    <row r="1679" spans="1:52" ht="55.2">
      <c r="A1679" s="3" t="s">
        <v>1723</v>
      </c>
      <c r="C1679">
        <v>2</v>
      </c>
      <c r="AT1679">
        <v>5</v>
      </c>
      <c r="AY1679">
        <f t="shared" si="52"/>
        <v>43</v>
      </c>
      <c r="AZ1679">
        <f t="shared" si="53"/>
        <v>3</v>
      </c>
    </row>
    <row r="1680" spans="1:52" ht="55.2">
      <c r="A1680" s="3" t="s">
        <v>1724</v>
      </c>
      <c r="C1680">
        <v>2</v>
      </c>
      <c r="AT1680">
        <v>5</v>
      </c>
      <c r="AY1680">
        <f t="shared" si="52"/>
        <v>43</v>
      </c>
      <c r="AZ1680">
        <f t="shared" si="53"/>
        <v>3</v>
      </c>
    </row>
    <row r="1681" spans="1:52" ht="55.2">
      <c r="A1681" s="3" t="s">
        <v>1725</v>
      </c>
      <c r="C1681">
        <v>2</v>
      </c>
      <c r="AT1681">
        <v>5</v>
      </c>
      <c r="AY1681">
        <f t="shared" si="52"/>
        <v>43</v>
      </c>
      <c r="AZ1681">
        <f t="shared" si="53"/>
        <v>3</v>
      </c>
    </row>
    <row r="1682" spans="1:52" ht="55.2">
      <c r="A1682" s="3" t="s">
        <v>1726</v>
      </c>
      <c r="C1682">
        <v>2</v>
      </c>
      <c r="AT1682">
        <v>5</v>
      </c>
      <c r="AY1682">
        <f t="shared" si="52"/>
        <v>43</v>
      </c>
      <c r="AZ1682">
        <f t="shared" si="53"/>
        <v>3</v>
      </c>
    </row>
    <row r="1683" spans="1:52" ht="55.2">
      <c r="A1683" s="3" t="s">
        <v>1727</v>
      </c>
      <c r="C1683">
        <v>2</v>
      </c>
      <c r="AT1683">
        <v>5</v>
      </c>
      <c r="AY1683">
        <f t="shared" si="52"/>
        <v>43</v>
      </c>
      <c r="AZ1683">
        <f t="shared" si="53"/>
        <v>3</v>
      </c>
    </row>
    <row r="1684" spans="1:52" ht="55.2">
      <c r="A1684" s="3" t="s">
        <v>1728</v>
      </c>
      <c r="C1684">
        <v>2</v>
      </c>
      <c r="AT1684">
        <v>5</v>
      </c>
      <c r="AY1684">
        <f t="shared" si="52"/>
        <v>43</v>
      </c>
      <c r="AZ1684">
        <f t="shared" si="53"/>
        <v>3</v>
      </c>
    </row>
    <row r="1685" spans="1:52" ht="55.2">
      <c r="A1685" s="3" t="s">
        <v>1729</v>
      </c>
      <c r="C1685">
        <v>2</v>
      </c>
      <c r="AT1685">
        <v>5</v>
      </c>
      <c r="AY1685">
        <f t="shared" si="52"/>
        <v>43</v>
      </c>
      <c r="AZ1685">
        <f t="shared" si="53"/>
        <v>3</v>
      </c>
    </row>
    <row r="1686" spans="1:52" ht="55.2">
      <c r="A1686" s="3" t="s">
        <v>1730</v>
      </c>
      <c r="C1686">
        <v>2</v>
      </c>
      <c r="AT1686">
        <v>5</v>
      </c>
      <c r="AY1686">
        <f t="shared" si="52"/>
        <v>43</v>
      </c>
      <c r="AZ1686">
        <f t="shared" si="53"/>
        <v>3</v>
      </c>
    </row>
    <row r="1687" spans="1:52" ht="55.2">
      <c r="A1687" s="3" t="s">
        <v>1731</v>
      </c>
      <c r="C1687">
        <v>2</v>
      </c>
      <c r="AT1687">
        <v>5</v>
      </c>
      <c r="AY1687">
        <f t="shared" si="52"/>
        <v>43</v>
      </c>
      <c r="AZ1687">
        <f t="shared" si="53"/>
        <v>3</v>
      </c>
    </row>
    <row r="1688" spans="1:52" ht="55.2">
      <c r="A1688" s="3" t="s">
        <v>1732</v>
      </c>
      <c r="C1688">
        <v>2</v>
      </c>
      <c r="AT1688">
        <v>5</v>
      </c>
      <c r="AY1688">
        <f t="shared" si="52"/>
        <v>43</v>
      </c>
      <c r="AZ1688">
        <f t="shared" si="53"/>
        <v>3</v>
      </c>
    </row>
    <row r="1689" spans="1:52" ht="55.2">
      <c r="A1689" s="3" t="s">
        <v>1733</v>
      </c>
      <c r="C1689">
        <v>2</v>
      </c>
      <c r="AT1689">
        <v>5</v>
      </c>
      <c r="AY1689">
        <f t="shared" si="52"/>
        <v>43</v>
      </c>
      <c r="AZ1689">
        <f t="shared" si="53"/>
        <v>3</v>
      </c>
    </row>
    <row r="1690" spans="1:52" ht="55.2">
      <c r="A1690" s="3" t="s">
        <v>1734</v>
      </c>
      <c r="C1690">
        <v>2</v>
      </c>
      <c r="AT1690">
        <v>5</v>
      </c>
      <c r="AY1690">
        <f t="shared" si="52"/>
        <v>43</v>
      </c>
      <c r="AZ1690">
        <f t="shared" si="53"/>
        <v>3</v>
      </c>
    </row>
    <row r="1691" spans="1:52" ht="55.2">
      <c r="A1691" s="3" t="s">
        <v>1735</v>
      </c>
      <c r="C1691">
        <v>2</v>
      </c>
      <c r="AT1691">
        <v>5</v>
      </c>
      <c r="AY1691">
        <f t="shared" si="52"/>
        <v>43</v>
      </c>
      <c r="AZ1691">
        <f t="shared" si="53"/>
        <v>3</v>
      </c>
    </row>
    <row r="1692" spans="1:52" ht="55.2">
      <c r="A1692" s="3" t="s">
        <v>1736</v>
      </c>
      <c r="C1692">
        <v>2</v>
      </c>
      <c r="AT1692">
        <v>5</v>
      </c>
      <c r="AY1692">
        <f t="shared" si="52"/>
        <v>43</v>
      </c>
      <c r="AZ1692">
        <f t="shared" si="53"/>
        <v>3</v>
      </c>
    </row>
    <row r="1693" spans="1:52" ht="55.2">
      <c r="A1693" s="3" t="s">
        <v>1737</v>
      </c>
      <c r="C1693">
        <v>2</v>
      </c>
      <c r="AT1693">
        <v>5</v>
      </c>
      <c r="AY1693">
        <f t="shared" si="52"/>
        <v>43</v>
      </c>
      <c r="AZ1693">
        <f t="shared" si="53"/>
        <v>3</v>
      </c>
    </row>
    <row r="1694" spans="1:52" ht="55.2">
      <c r="A1694" s="3" t="s">
        <v>1738</v>
      </c>
      <c r="C1694">
        <v>2</v>
      </c>
      <c r="AT1694">
        <v>5</v>
      </c>
      <c r="AY1694">
        <f t="shared" si="52"/>
        <v>43</v>
      </c>
      <c r="AZ1694">
        <f t="shared" si="53"/>
        <v>3</v>
      </c>
    </row>
    <row r="1695" spans="1:52" ht="55.2">
      <c r="A1695" s="3" t="s">
        <v>1739</v>
      </c>
      <c r="C1695">
        <v>2</v>
      </c>
      <c r="AT1695">
        <v>5</v>
      </c>
      <c r="AY1695">
        <f t="shared" si="52"/>
        <v>43</v>
      </c>
      <c r="AZ1695">
        <f t="shared" si="53"/>
        <v>3</v>
      </c>
    </row>
    <row r="1696" spans="1:52" ht="55.2">
      <c r="A1696" s="3" t="s">
        <v>1740</v>
      </c>
      <c r="C1696">
        <v>2</v>
      </c>
      <c r="AT1696">
        <v>5</v>
      </c>
      <c r="AY1696">
        <f t="shared" si="52"/>
        <v>43</v>
      </c>
      <c r="AZ1696">
        <f t="shared" si="53"/>
        <v>3</v>
      </c>
    </row>
    <row r="1697" spans="1:52" ht="55.2">
      <c r="A1697" s="3" t="s">
        <v>1741</v>
      </c>
      <c r="C1697">
        <v>2</v>
      </c>
      <c r="AT1697">
        <v>5</v>
      </c>
      <c r="AY1697">
        <f t="shared" ref="AY1697:AY1760" si="54">COUNTBLANK(F1697:AW1697)</f>
        <v>43</v>
      </c>
      <c r="AZ1697">
        <f t="shared" ref="AZ1697:AZ1760" si="55">COUNTBLANK(B1697:E1697)</f>
        <v>3</v>
      </c>
    </row>
    <row r="1698" spans="1:52" ht="55.2">
      <c r="A1698" s="3" t="s">
        <v>1742</v>
      </c>
      <c r="C1698">
        <v>2</v>
      </c>
      <c r="AT1698">
        <v>5</v>
      </c>
      <c r="AY1698">
        <f t="shared" si="54"/>
        <v>43</v>
      </c>
      <c r="AZ1698">
        <f t="shared" si="55"/>
        <v>3</v>
      </c>
    </row>
    <row r="1699" spans="1:52" ht="55.2">
      <c r="A1699" s="3" t="s">
        <v>1743</v>
      </c>
      <c r="C1699">
        <v>2</v>
      </c>
      <c r="AT1699">
        <v>5</v>
      </c>
      <c r="AY1699">
        <f t="shared" si="54"/>
        <v>43</v>
      </c>
      <c r="AZ1699">
        <f t="shared" si="55"/>
        <v>3</v>
      </c>
    </row>
    <row r="1700" spans="1:52" ht="55.2">
      <c r="A1700" s="3" t="s">
        <v>1744</v>
      </c>
      <c r="C1700">
        <v>2</v>
      </c>
      <c r="AT1700">
        <v>5</v>
      </c>
      <c r="AY1700">
        <f t="shared" si="54"/>
        <v>43</v>
      </c>
      <c r="AZ1700">
        <f t="shared" si="55"/>
        <v>3</v>
      </c>
    </row>
    <row r="1701" spans="1:52" ht="55.2">
      <c r="A1701" s="3" t="s">
        <v>1745</v>
      </c>
      <c r="C1701">
        <v>2</v>
      </c>
      <c r="AT1701">
        <v>5</v>
      </c>
      <c r="AY1701">
        <f t="shared" si="54"/>
        <v>43</v>
      </c>
      <c r="AZ1701">
        <f t="shared" si="55"/>
        <v>3</v>
      </c>
    </row>
    <row r="1702" spans="1:52" ht="55.2">
      <c r="A1702" s="3" t="s">
        <v>1746</v>
      </c>
      <c r="C1702">
        <v>2</v>
      </c>
      <c r="AT1702">
        <v>5</v>
      </c>
      <c r="AY1702">
        <f t="shared" si="54"/>
        <v>43</v>
      </c>
      <c r="AZ1702">
        <f t="shared" si="55"/>
        <v>3</v>
      </c>
    </row>
    <row r="1703" spans="1:52" ht="55.2">
      <c r="A1703" s="3" t="s">
        <v>1747</v>
      </c>
      <c r="C1703">
        <v>2</v>
      </c>
      <c r="AT1703">
        <v>5</v>
      </c>
      <c r="AY1703">
        <f t="shared" si="54"/>
        <v>43</v>
      </c>
      <c r="AZ1703">
        <f t="shared" si="55"/>
        <v>3</v>
      </c>
    </row>
    <row r="1704" spans="1:52" ht="55.2">
      <c r="A1704" s="3" t="s">
        <v>1748</v>
      </c>
      <c r="C1704">
        <v>2</v>
      </c>
      <c r="AT1704">
        <v>5</v>
      </c>
      <c r="AY1704">
        <f t="shared" si="54"/>
        <v>43</v>
      </c>
      <c r="AZ1704">
        <f t="shared" si="55"/>
        <v>3</v>
      </c>
    </row>
    <row r="1705" spans="1:52" ht="55.2">
      <c r="A1705" s="3" t="s">
        <v>1749</v>
      </c>
      <c r="C1705">
        <v>2</v>
      </c>
      <c r="AT1705">
        <v>5</v>
      </c>
      <c r="AY1705">
        <f t="shared" si="54"/>
        <v>43</v>
      </c>
      <c r="AZ1705">
        <f t="shared" si="55"/>
        <v>3</v>
      </c>
    </row>
    <row r="1706" spans="1:52" ht="55.2">
      <c r="A1706" s="3" t="s">
        <v>1750</v>
      </c>
      <c r="C1706">
        <v>2</v>
      </c>
      <c r="AT1706">
        <v>5</v>
      </c>
      <c r="AY1706">
        <f t="shared" si="54"/>
        <v>43</v>
      </c>
      <c r="AZ1706">
        <f t="shared" si="55"/>
        <v>3</v>
      </c>
    </row>
    <row r="1707" spans="1:52" ht="55.2">
      <c r="A1707" s="3" t="s">
        <v>1751</v>
      </c>
      <c r="C1707">
        <v>2</v>
      </c>
      <c r="AT1707">
        <v>5</v>
      </c>
      <c r="AY1707">
        <f t="shared" si="54"/>
        <v>43</v>
      </c>
      <c r="AZ1707">
        <f t="shared" si="55"/>
        <v>3</v>
      </c>
    </row>
    <row r="1708" spans="1:52" ht="55.2">
      <c r="A1708" s="3" t="s">
        <v>1752</v>
      </c>
      <c r="C1708">
        <v>2</v>
      </c>
      <c r="AT1708">
        <v>5</v>
      </c>
      <c r="AY1708">
        <f t="shared" si="54"/>
        <v>43</v>
      </c>
      <c r="AZ1708">
        <f t="shared" si="55"/>
        <v>3</v>
      </c>
    </row>
    <row r="1709" spans="1:52" ht="55.2">
      <c r="A1709" s="3" t="s">
        <v>1753</v>
      </c>
      <c r="C1709">
        <v>2</v>
      </c>
      <c r="AT1709">
        <v>5</v>
      </c>
      <c r="AY1709">
        <f t="shared" si="54"/>
        <v>43</v>
      </c>
      <c r="AZ1709">
        <f t="shared" si="55"/>
        <v>3</v>
      </c>
    </row>
    <row r="1710" spans="1:52" ht="55.2">
      <c r="A1710" s="3" t="s">
        <v>1754</v>
      </c>
      <c r="C1710">
        <v>2</v>
      </c>
      <c r="AT1710">
        <v>5</v>
      </c>
      <c r="AY1710">
        <f t="shared" si="54"/>
        <v>43</v>
      </c>
      <c r="AZ1710">
        <f t="shared" si="55"/>
        <v>3</v>
      </c>
    </row>
    <row r="1711" spans="1:52" ht="55.2">
      <c r="A1711" s="3" t="s">
        <v>1755</v>
      </c>
      <c r="C1711">
        <v>2</v>
      </c>
      <c r="AT1711">
        <v>5</v>
      </c>
      <c r="AY1711">
        <f t="shared" si="54"/>
        <v>43</v>
      </c>
      <c r="AZ1711">
        <f t="shared" si="55"/>
        <v>3</v>
      </c>
    </row>
    <row r="1712" spans="1:52" ht="55.2">
      <c r="A1712" s="3" t="s">
        <v>1756</v>
      </c>
      <c r="C1712">
        <v>2</v>
      </c>
      <c r="AT1712">
        <v>5</v>
      </c>
      <c r="AY1712">
        <f t="shared" si="54"/>
        <v>43</v>
      </c>
      <c r="AZ1712">
        <f t="shared" si="55"/>
        <v>3</v>
      </c>
    </row>
    <row r="1713" spans="1:52" ht="55.2">
      <c r="A1713" s="3" t="s">
        <v>1757</v>
      </c>
      <c r="C1713">
        <v>2</v>
      </c>
      <c r="AT1713">
        <v>5</v>
      </c>
      <c r="AY1713">
        <f t="shared" si="54"/>
        <v>43</v>
      </c>
      <c r="AZ1713">
        <f t="shared" si="55"/>
        <v>3</v>
      </c>
    </row>
    <row r="1714" spans="1:52" ht="55.2">
      <c r="A1714" s="3" t="s">
        <v>1758</v>
      </c>
      <c r="C1714">
        <v>2</v>
      </c>
      <c r="AT1714">
        <v>5</v>
      </c>
      <c r="AY1714">
        <f t="shared" si="54"/>
        <v>43</v>
      </c>
      <c r="AZ1714">
        <f t="shared" si="55"/>
        <v>3</v>
      </c>
    </row>
    <row r="1715" spans="1:52" ht="55.2">
      <c r="A1715" s="3" t="s">
        <v>1759</v>
      </c>
      <c r="C1715">
        <v>2</v>
      </c>
      <c r="AT1715">
        <v>5</v>
      </c>
      <c r="AY1715">
        <f t="shared" si="54"/>
        <v>43</v>
      </c>
      <c r="AZ1715">
        <f t="shared" si="55"/>
        <v>3</v>
      </c>
    </row>
    <row r="1716" spans="1:52" ht="55.2">
      <c r="A1716" s="3" t="s">
        <v>1760</v>
      </c>
      <c r="C1716">
        <v>2</v>
      </c>
      <c r="AT1716">
        <v>5</v>
      </c>
      <c r="AY1716">
        <f t="shared" si="54"/>
        <v>43</v>
      </c>
      <c r="AZ1716">
        <f t="shared" si="55"/>
        <v>3</v>
      </c>
    </row>
    <row r="1717" spans="1:52" ht="55.2">
      <c r="A1717" s="3" t="s">
        <v>1761</v>
      </c>
      <c r="C1717">
        <v>2</v>
      </c>
      <c r="AT1717">
        <v>5</v>
      </c>
      <c r="AY1717">
        <f t="shared" si="54"/>
        <v>43</v>
      </c>
      <c r="AZ1717">
        <f t="shared" si="55"/>
        <v>3</v>
      </c>
    </row>
    <row r="1718" spans="1:52" ht="55.2">
      <c r="A1718" s="3" t="s">
        <v>1762</v>
      </c>
      <c r="C1718">
        <v>2</v>
      </c>
      <c r="AT1718">
        <v>5</v>
      </c>
      <c r="AY1718">
        <f t="shared" si="54"/>
        <v>43</v>
      </c>
      <c r="AZ1718">
        <f t="shared" si="55"/>
        <v>3</v>
      </c>
    </row>
    <row r="1719" spans="1:52" ht="55.2">
      <c r="A1719" s="3" t="s">
        <v>1763</v>
      </c>
      <c r="C1719">
        <v>2</v>
      </c>
      <c r="AT1719">
        <v>5</v>
      </c>
      <c r="AY1719">
        <f t="shared" si="54"/>
        <v>43</v>
      </c>
      <c r="AZ1719">
        <f t="shared" si="55"/>
        <v>3</v>
      </c>
    </row>
    <row r="1720" spans="1:52" ht="55.2">
      <c r="A1720" s="3" t="s">
        <v>1764</v>
      </c>
      <c r="C1720">
        <v>2</v>
      </c>
      <c r="AT1720">
        <v>5</v>
      </c>
      <c r="AY1720">
        <f t="shared" si="54"/>
        <v>43</v>
      </c>
      <c r="AZ1720">
        <f t="shared" si="55"/>
        <v>3</v>
      </c>
    </row>
    <row r="1721" spans="1:52" ht="55.2">
      <c r="A1721" s="3" t="s">
        <v>1765</v>
      </c>
      <c r="C1721">
        <v>2</v>
      </c>
      <c r="AT1721">
        <v>5</v>
      </c>
      <c r="AY1721">
        <f t="shared" si="54"/>
        <v>43</v>
      </c>
      <c r="AZ1721">
        <f t="shared" si="55"/>
        <v>3</v>
      </c>
    </row>
    <row r="1722" spans="1:52" ht="55.2">
      <c r="A1722" s="3" t="s">
        <v>1766</v>
      </c>
      <c r="C1722">
        <v>2</v>
      </c>
      <c r="AT1722">
        <v>5</v>
      </c>
      <c r="AY1722">
        <f t="shared" si="54"/>
        <v>43</v>
      </c>
      <c r="AZ1722">
        <f t="shared" si="55"/>
        <v>3</v>
      </c>
    </row>
    <row r="1723" spans="1:52" ht="55.2">
      <c r="A1723" s="3" t="s">
        <v>1767</v>
      </c>
      <c r="C1723">
        <v>2</v>
      </c>
      <c r="AT1723">
        <v>5</v>
      </c>
      <c r="AY1723">
        <f t="shared" si="54"/>
        <v>43</v>
      </c>
      <c r="AZ1723">
        <f t="shared" si="55"/>
        <v>3</v>
      </c>
    </row>
    <row r="1724" spans="1:52" ht="55.2">
      <c r="A1724" s="3" t="s">
        <v>1768</v>
      </c>
      <c r="C1724">
        <v>2</v>
      </c>
      <c r="AT1724">
        <v>5</v>
      </c>
      <c r="AY1724">
        <f t="shared" si="54"/>
        <v>43</v>
      </c>
      <c r="AZ1724">
        <f t="shared" si="55"/>
        <v>3</v>
      </c>
    </row>
    <row r="1725" spans="1:52" ht="55.2">
      <c r="A1725" s="3" t="s">
        <v>1769</v>
      </c>
      <c r="C1725">
        <v>2</v>
      </c>
      <c r="AT1725">
        <v>5</v>
      </c>
      <c r="AY1725">
        <f t="shared" si="54"/>
        <v>43</v>
      </c>
      <c r="AZ1725">
        <f t="shared" si="55"/>
        <v>3</v>
      </c>
    </row>
    <row r="1726" spans="1:52" ht="55.2">
      <c r="A1726" s="3" t="s">
        <v>1770</v>
      </c>
      <c r="C1726">
        <v>2</v>
      </c>
      <c r="AT1726">
        <v>5</v>
      </c>
      <c r="AY1726">
        <f t="shared" si="54"/>
        <v>43</v>
      </c>
      <c r="AZ1726">
        <f t="shared" si="55"/>
        <v>3</v>
      </c>
    </row>
    <row r="1727" spans="1:52" ht="55.2">
      <c r="A1727" s="3" t="s">
        <v>1771</v>
      </c>
      <c r="C1727">
        <v>2</v>
      </c>
      <c r="AT1727">
        <v>5</v>
      </c>
      <c r="AY1727">
        <f t="shared" si="54"/>
        <v>43</v>
      </c>
      <c r="AZ1727">
        <f t="shared" si="55"/>
        <v>3</v>
      </c>
    </row>
    <row r="1728" spans="1:52" ht="55.2">
      <c r="A1728" s="3" t="s">
        <v>1772</v>
      </c>
      <c r="C1728">
        <v>2</v>
      </c>
      <c r="AT1728">
        <v>5</v>
      </c>
      <c r="AY1728">
        <f t="shared" si="54"/>
        <v>43</v>
      </c>
      <c r="AZ1728">
        <f t="shared" si="55"/>
        <v>3</v>
      </c>
    </row>
    <row r="1729" spans="1:52" ht="55.2">
      <c r="A1729" s="3" t="s">
        <v>1773</v>
      </c>
      <c r="C1729">
        <v>2</v>
      </c>
      <c r="AT1729">
        <v>5</v>
      </c>
      <c r="AY1729">
        <f t="shared" si="54"/>
        <v>43</v>
      </c>
      <c r="AZ1729">
        <f t="shared" si="55"/>
        <v>3</v>
      </c>
    </row>
    <row r="1730" spans="1:52" ht="55.2">
      <c r="A1730" s="3" t="s">
        <v>1774</v>
      </c>
      <c r="C1730">
        <v>2</v>
      </c>
      <c r="AT1730">
        <v>5</v>
      </c>
      <c r="AY1730">
        <f t="shared" si="54"/>
        <v>43</v>
      </c>
      <c r="AZ1730">
        <f t="shared" si="55"/>
        <v>3</v>
      </c>
    </row>
    <row r="1731" spans="1:52" ht="55.2">
      <c r="A1731" s="3" t="s">
        <v>1775</v>
      </c>
      <c r="C1731">
        <v>2</v>
      </c>
      <c r="AT1731">
        <v>5</v>
      </c>
      <c r="AY1731">
        <f t="shared" si="54"/>
        <v>43</v>
      </c>
      <c r="AZ1731">
        <f t="shared" si="55"/>
        <v>3</v>
      </c>
    </row>
    <row r="1732" spans="1:52" ht="55.2">
      <c r="A1732" s="3" t="s">
        <v>1776</v>
      </c>
      <c r="C1732">
        <v>2</v>
      </c>
      <c r="AT1732">
        <v>5</v>
      </c>
      <c r="AY1732">
        <f t="shared" si="54"/>
        <v>43</v>
      </c>
      <c r="AZ1732">
        <f t="shared" si="55"/>
        <v>3</v>
      </c>
    </row>
    <row r="1733" spans="1:52" ht="55.2">
      <c r="A1733" s="3" t="s">
        <v>1777</v>
      </c>
      <c r="C1733">
        <v>2</v>
      </c>
      <c r="AT1733">
        <v>5</v>
      </c>
      <c r="AY1733">
        <f t="shared" si="54"/>
        <v>43</v>
      </c>
      <c r="AZ1733">
        <f t="shared" si="55"/>
        <v>3</v>
      </c>
    </row>
    <row r="1734" spans="1:52" ht="55.2">
      <c r="A1734" s="3" t="s">
        <v>1778</v>
      </c>
      <c r="C1734">
        <v>2</v>
      </c>
      <c r="AT1734">
        <v>5</v>
      </c>
      <c r="AY1734">
        <f t="shared" si="54"/>
        <v>43</v>
      </c>
      <c r="AZ1734">
        <f t="shared" si="55"/>
        <v>3</v>
      </c>
    </row>
    <row r="1735" spans="1:52" ht="55.2">
      <c r="A1735" s="3" t="s">
        <v>1779</v>
      </c>
      <c r="C1735">
        <v>2</v>
      </c>
      <c r="AT1735">
        <v>5</v>
      </c>
      <c r="AY1735">
        <f t="shared" si="54"/>
        <v>43</v>
      </c>
      <c r="AZ1735">
        <f t="shared" si="55"/>
        <v>3</v>
      </c>
    </row>
    <row r="1736" spans="1:52" ht="55.2">
      <c r="A1736" s="3" t="s">
        <v>1780</v>
      </c>
      <c r="C1736">
        <v>2</v>
      </c>
      <c r="AT1736">
        <v>5</v>
      </c>
      <c r="AY1736">
        <f t="shared" si="54"/>
        <v>43</v>
      </c>
      <c r="AZ1736">
        <f t="shared" si="55"/>
        <v>3</v>
      </c>
    </row>
    <row r="1737" spans="1:52" ht="55.2">
      <c r="A1737" s="3" t="s">
        <v>1781</v>
      </c>
      <c r="C1737">
        <v>2</v>
      </c>
      <c r="AT1737">
        <v>5</v>
      </c>
      <c r="AY1737">
        <f t="shared" si="54"/>
        <v>43</v>
      </c>
      <c r="AZ1737">
        <f t="shared" si="55"/>
        <v>3</v>
      </c>
    </row>
    <row r="1738" spans="1:52" ht="55.2">
      <c r="A1738" s="3" t="s">
        <v>1782</v>
      </c>
      <c r="C1738">
        <v>2</v>
      </c>
      <c r="AT1738">
        <v>5</v>
      </c>
      <c r="AY1738">
        <f t="shared" si="54"/>
        <v>43</v>
      </c>
      <c r="AZ1738">
        <f t="shared" si="55"/>
        <v>3</v>
      </c>
    </row>
    <row r="1739" spans="1:52" ht="55.2">
      <c r="A1739" s="3" t="s">
        <v>1783</v>
      </c>
      <c r="C1739">
        <v>2</v>
      </c>
      <c r="AT1739">
        <v>5</v>
      </c>
      <c r="AY1739">
        <f t="shared" si="54"/>
        <v>43</v>
      </c>
      <c r="AZ1739">
        <f t="shared" si="55"/>
        <v>3</v>
      </c>
    </row>
    <row r="1740" spans="1:52" ht="55.2">
      <c r="A1740" s="3" t="s">
        <v>1784</v>
      </c>
      <c r="C1740">
        <v>2</v>
      </c>
      <c r="AT1740">
        <v>5</v>
      </c>
      <c r="AY1740">
        <f t="shared" si="54"/>
        <v>43</v>
      </c>
      <c r="AZ1740">
        <f t="shared" si="55"/>
        <v>3</v>
      </c>
    </row>
    <row r="1741" spans="1:52" ht="55.2">
      <c r="A1741" s="3" t="s">
        <v>1785</v>
      </c>
      <c r="C1741">
        <v>2</v>
      </c>
      <c r="AT1741">
        <v>5</v>
      </c>
      <c r="AY1741">
        <f t="shared" si="54"/>
        <v>43</v>
      </c>
      <c r="AZ1741">
        <f t="shared" si="55"/>
        <v>3</v>
      </c>
    </row>
    <row r="1742" spans="1:52" ht="55.2">
      <c r="A1742" s="3" t="s">
        <v>1786</v>
      </c>
      <c r="C1742">
        <v>2</v>
      </c>
      <c r="AT1742">
        <v>5</v>
      </c>
      <c r="AY1742">
        <f t="shared" si="54"/>
        <v>43</v>
      </c>
      <c r="AZ1742">
        <f t="shared" si="55"/>
        <v>3</v>
      </c>
    </row>
    <row r="1743" spans="1:52" ht="55.2">
      <c r="A1743" s="3" t="s">
        <v>1787</v>
      </c>
      <c r="C1743">
        <v>2</v>
      </c>
      <c r="AT1743">
        <v>5</v>
      </c>
      <c r="AY1743">
        <f t="shared" si="54"/>
        <v>43</v>
      </c>
      <c r="AZ1743">
        <f t="shared" si="55"/>
        <v>3</v>
      </c>
    </row>
    <row r="1744" spans="1:52" ht="55.2">
      <c r="A1744" s="3" t="s">
        <v>1788</v>
      </c>
      <c r="C1744">
        <v>2</v>
      </c>
      <c r="AT1744">
        <v>5</v>
      </c>
      <c r="AY1744">
        <f t="shared" si="54"/>
        <v>43</v>
      </c>
      <c r="AZ1744">
        <f t="shared" si="55"/>
        <v>3</v>
      </c>
    </row>
    <row r="1745" spans="1:52" ht="55.2">
      <c r="A1745" s="3" t="s">
        <v>1789</v>
      </c>
      <c r="C1745">
        <v>2</v>
      </c>
      <c r="AT1745">
        <v>5</v>
      </c>
      <c r="AY1745">
        <f t="shared" si="54"/>
        <v>43</v>
      </c>
      <c r="AZ1745">
        <f t="shared" si="55"/>
        <v>3</v>
      </c>
    </row>
    <row r="1746" spans="1:52" ht="55.2">
      <c r="A1746" s="3" t="s">
        <v>1790</v>
      </c>
      <c r="C1746">
        <v>2</v>
      </c>
      <c r="AT1746">
        <v>5</v>
      </c>
      <c r="AY1746">
        <f t="shared" si="54"/>
        <v>43</v>
      </c>
      <c r="AZ1746">
        <f t="shared" si="55"/>
        <v>3</v>
      </c>
    </row>
    <row r="1747" spans="1:52" ht="55.2">
      <c r="A1747" s="3" t="s">
        <v>1791</v>
      </c>
      <c r="C1747">
        <v>2</v>
      </c>
      <c r="AT1747">
        <v>5</v>
      </c>
      <c r="AY1747">
        <f t="shared" si="54"/>
        <v>43</v>
      </c>
      <c r="AZ1747">
        <f t="shared" si="55"/>
        <v>3</v>
      </c>
    </row>
    <row r="1748" spans="1:52" ht="55.2">
      <c r="A1748" s="3" t="s">
        <v>1792</v>
      </c>
      <c r="C1748">
        <v>2</v>
      </c>
      <c r="AT1748">
        <v>5</v>
      </c>
      <c r="AY1748">
        <f t="shared" si="54"/>
        <v>43</v>
      </c>
      <c r="AZ1748">
        <f t="shared" si="55"/>
        <v>3</v>
      </c>
    </row>
    <row r="1749" spans="1:52" ht="55.2">
      <c r="A1749" s="3" t="s">
        <v>1793</v>
      </c>
      <c r="C1749">
        <v>2</v>
      </c>
      <c r="AT1749">
        <v>5</v>
      </c>
      <c r="AY1749">
        <f t="shared" si="54"/>
        <v>43</v>
      </c>
      <c r="AZ1749">
        <f t="shared" si="55"/>
        <v>3</v>
      </c>
    </row>
    <row r="1750" spans="1:52" ht="55.2">
      <c r="A1750" s="3" t="s">
        <v>1794</v>
      </c>
      <c r="C1750">
        <v>2</v>
      </c>
      <c r="AT1750">
        <v>5</v>
      </c>
      <c r="AY1750">
        <f t="shared" si="54"/>
        <v>43</v>
      </c>
      <c r="AZ1750">
        <f t="shared" si="55"/>
        <v>3</v>
      </c>
    </row>
    <row r="1751" spans="1:52" ht="55.2">
      <c r="A1751" s="3" t="s">
        <v>1795</v>
      </c>
      <c r="C1751">
        <v>2</v>
      </c>
      <c r="AT1751">
        <v>5</v>
      </c>
      <c r="AY1751">
        <f t="shared" si="54"/>
        <v>43</v>
      </c>
      <c r="AZ1751">
        <f t="shared" si="55"/>
        <v>3</v>
      </c>
    </row>
    <row r="1752" spans="1:52" ht="55.2">
      <c r="A1752" s="3" t="s">
        <v>1796</v>
      </c>
      <c r="C1752">
        <v>2</v>
      </c>
      <c r="AT1752">
        <v>5</v>
      </c>
      <c r="AY1752">
        <f t="shared" si="54"/>
        <v>43</v>
      </c>
      <c r="AZ1752">
        <f t="shared" si="55"/>
        <v>3</v>
      </c>
    </row>
    <row r="1753" spans="1:52" ht="55.2">
      <c r="A1753" s="3" t="s">
        <v>1797</v>
      </c>
      <c r="C1753">
        <v>2</v>
      </c>
      <c r="AT1753">
        <v>5</v>
      </c>
      <c r="AY1753">
        <f t="shared" si="54"/>
        <v>43</v>
      </c>
      <c r="AZ1753">
        <f t="shared" si="55"/>
        <v>3</v>
      </c>
    </row>
    <row r="1754" spans="1:52" ht="55.2">
      <c r="A1754" s="3" t="s">
        <v>1798</v>
      </c>
      <c r="C1754">
        <v>2</v>
      </c>
      <c r="AT1754">
        <v>5</v>
      </c>
      <c r="AY1754">
        <f t="shared" si="54"/>
        <v>43</v>
      </c>
      <c r="AZ1754">
        <f t="shared" si="55"/>
        <v>3</v>
      </c>
    </row>
    <row r="1755" spans="1:52" ht="55.2">
      <c r="A1755" s="3" t="s">
        <v>1799</v>
      </c>
      <c r="C1755">
        <v>2</v>
      </c>
      <c r="AT1755">
        <v>5</v>
      </c>
      <c r="AY1755">
        <f t="shared" si="54"/>
        <v>43</v>
      </c>
      <c r="AZ1755">
        <f t="shared" si="55"/>
        <v>3</v>
      </c>
    </row>
    <row r="1756" spans="1:52" ht="55.2">
      <c r="A1756" s="3" t="s">
        <v>1800</v>
      </c>
      <c r="C1756">
        <v>2</v>
      </c>
      <c r="AT1756">
        <v>5</v>
      </c>
      <c r="AY1756">
        <f t="shared" si="54"/>
        <v>43</v>
      </c>
      <c r="AZ1756">
        <f t="shared" si="55"/>
        <v>3</v>
      </c>
    </row>
    <row r="1757" spans="1:52" ht="55.2">
      <c r="A1757" s="3" t="s">
        <v>1801</v>
      </c>
      <c r="C1757">
        <v>2</v>
      </c>
      <c r="AT1757">
        <v>5</v>
      </c>
      <c r="AY1757">
        <f t="shared" si="54"/>
        <v>43</v>
      </c>
      <c r="AZ1757">
        <f t="shared" si="55"/>
        <v>3</v>
      </c>
    </row>
    <row r="1758" spans="1:52" ht="55.2">
      <c r="A1758" s="3" t="s">
        <v>1802</v>
      </c>
      <c r="C1758">
        <v>2</v>
      </c>
      <c r="AT1758">
        <v>5</v>
      </c>
      <c r="AY1758">
        <f t="shared" si="54"/>
        <v>43</v>
      </c>
      <c r="AZ1758">
        <f t="shared" si="55"/>
        <v>3</v>
      </c>
    </row>
    <row r="1759" spans="1:52" ht="55.2">
      <c r="A1759" s="3" t="s">
        <v>1803</v>
      </c>
      <c r="C1759">
        <v>2</v>
      </c>
      <c r="AT1759">
        <v>5</v>
      </c>
      <c r="AY1759">
        <f t="shared" si="54"/>
        <v>43</v>
      </c>
      <c r="AZ1759">
        <f t="shared" si="55"/>
        <v>3</v>
      </c>
    </row>
    <row r="1760" spans="1:52" ht="55.2">
      <c r="A1760" s="3" t="s">
        <v>1804</v>
      </c>
      <c r="C1760">
        <v>2</v>
      </c>
      <c r="AT1760">
        <v>5</v>
      </c>
      <c r="AY1760">
        <f t="shared" si="54"/>
        <v>43</v>
      </c>
      <c r="AZ1760">
        <f t="shared" si="55"/>
        <v>3</v>
      </c>
    </row>
    <row r="1761" spans="1:52" ht="55.2">
      <c r="A1761" s="3" t="s">
        <v>1805</v>
      </c>
      <c r="C1761">
        <v>2</v>
      </c>
      <c r="AT1761">
        <v>5</v>
      </c>
      <c r="AY1761">
        <f t="shared" ref="AY1761:AY1824" si="56">COUNTBLANK(F1761:AW1761)</f>
        <v>43</v>
      </c>
      <c r="AZ1761">
        <f t="shared" ref="AZ1761:AZ1824" si="57">COUNTBLANK(B1761:E1761)</f>
        <v>3</v>
      </c>
    </row>
    <row r="1762" spans="1:52" ht="55.2">
      <c r="A1762" s="3" t="s">
        <v>1806</v>
      </c>
      <c r="C1762">
        <v>2</v>
      </c>
      <c r="AT1762">
        <v>5</v>
      </c>
      <c r="AY1762">
        <f t="shared" si="56"/>
        <v>43</v>
      </c>
      <c r="AZ1762">
        <f t="shared" si="57"/>
        <v>3</v>
      </c>
    </row>
    <row r="1763" spans="1:52" ht="55.2">
      <c r="A1763" s="3" t="s">
        <v>1807</v>
      </c>
      <c r="C1763">
        <v>2</v>
      </c>
      <c r="AT1763">
        <v>5</v>
      </c>
      <c r="AY1763">
        <f t="shared" si="56"/>
        <v>43</v>
      </c>
      <c r="AZ1763">
        <f t="shared" si="57"/>
        <v>3</v>
      </c>
    </row>
    <row r="1764" spans="1:52" ht="55.2">
      <c r="A1764" s="3" t="s">
        <v>1808</v>
      </c>
      <c r="C1764">
        <v>2</v>
      </c>
      <c r="AT1764">
        <v>5</v>
      </c>
      <c r="AY1764">
        <f t="shared" si="56"/>
        <v>43</v>
      </c>
      <c r="AZ1764">
        <f t="shared" si="57"/>
        <v>3</v>
      </c>
    </row>
    <row r="1765" spans="1:52" ht="55.2">
      <c r="A1765" s="3" t="s">
        <v>1809</v>
      </c>
      <c r="C1765">
        <v>2</v>
      </c>
      <c r="AT1765">
        <v>5</v>
      </c>
      <c r="AY1765">
        <f t="shared" si="56"/>
        <v>43</v>
      </c>
      <c r="AZ1765">
        <f t="shared" si="57"/>
        <v>3</v>
      </c>
    </row>
    <row r="1766" spans="1:52" ht="55.2">
      <c r="A1766" s="3" t="s">
        <v>1810</v>
      </c>
      <c r="C1766">
        <v>2</v>
      </c>
      <c r="AT1766">
        <v>5</v>
      </c>
      <c r="AY1766">
        <f t="shared" si="56"/>
        <v>43</v>
      </c>
      <c r="AZ1766">
        <f t="shared" si="57"/>
        <v>3</v>
      </c>
    </row>
    <row r="1767" spans="1:52" ht="55.2">
      <c r="A1767" s="3" t="s">
        <v>1811</v>
      </c>
      <c r="C1767">
        <v>2</v>
      </c>
      <c r="AT1767">
        <v>5</v>
      </c>
      <c r="AY1767">
        <f t="shared" si="56"/>
        <v>43</v>
      </c>
      <c r="AZ1767">
        <f t="shared" si="57"/>
        <v>3</v>
      </c>
    </row>
    <row r="1768" spans="1:52" ht="55.2">
      <c r="A1768" s="3" t="s">
        <v>1812</v>
      </c>
      <c r="C1768">
        <v>2</v>
      </c>
      <c r="AT1768">
        <v>5</v>
      </c>
      <c r="AY1768">
        <f t="shared" si="56"/>
        <v>43</v>
      </c>
      <c r="AZ1768">
        <f t="shared" si="57"/>
        <v>3</v>
      </c>
    </row>
    <row r="1769" spans="1:52" ht="55.2">
      <c r="A1769" s="3" t="s">
        <v>1813</v>
      </c>
      <c r="C1769">
        <v>2</v>
      </c>
      <c r="AT1769">
        <v>5</v>
      </c>
      <c r="AY1769">
        <f t="shared" si="56"/>
        <v>43</v>
      </c>
      <c r="AZ1769">
        <f t="shared" si="57"/>
        <v>3</v>
      </c>
    </row>
    <row r="1770" spans="1:52" ht="55.2">
      <c r="A1770" s="3" t="s">
        <v>1814</v>
      </c>
      <c r="C1770">
        <v>2</v>
      </c>
      <c r="AT1770">
        <v>5</v>
      </c>
      <c r="AY1770">
        <f t="shared" si="56"/>
        <v>43</v>
      </c>
      <c r="AZ1770">
        <f t="shared" si="57"/>
        <v>3</v>
      </c>
    </row>
    <row r="1771" spans="1:52" ht="55.2">
      <c r="A1771" s="3" t="s">
        <v>1815</v>
      </c>
      <c r="C1771">
        <v>2</v>
      </c>
      <c r="AT1771">
        <v>5</v>
      </c>
      <c r="AY1771">
        <f t="shared" si="56"/>
        <v>43</v>
      </c>
      <c r="AZ1771">
        <f t="shared" si="57"/>
        <v>3</v>
      </c>
    </row>
    <row r="1772" spans="1:52" ht="55.2">
      <c r="A1772" s="3" t="s">
        <v>1816</v>
      </c>
      <c r="C1772">
        <v>2</v>
      </c>
      <c r="AT1772">
        <v>5</v>
      </c>
      <c r="AY1772">
        <f t="shared" si="56"/>
        <v>43</v>
      </c>
      <c r="AZ1772">
        <f t="shared" si="57"/>
        <v>3</v>
      </c>
    </row>
    <row r="1773" spans="1:52" ht="55.2">
      <c r="A1773" s="3" t="s">
        <v>1817</v>
      </c>
      <c r="C1773">
        <v>2</v>
      </c>
      <c r="AT1773">
        <v>5</v>
      </c>
      <c r="AY1773">
        <f t="shared" si="56"/>
        <v>43</v>
      </c>
      <c r="AZ1773">
        <f t="shared" si="57"/>
        <v>3</v>
      </c>
    </row>
    <row r="1774" spans="1:52" ht="55.2">
      <c r="A1774" s="3" t="s">
        <v>1818</v>
      </c>
      <c r="C1774">
        <v>2</v>
      </c>
      <c r="AT1774">
        <v>5</v>
      </c>
      <c r="AY1774">
        <f t="shared" si="56"/>
        <v>43</v>
      </c>
      <c r="AZ1774">
        <f t="shared" si="57"/>
        <v>3</v>
      </c>
    </row>
    <row r="1775" spans="1:52" ht="55.2">
      <c r="A1775" s="3" t="s">
        <v>1819</v>
      </c>
      <c r="C1775">
        <v>2</v>
      </c>
      <c r="AT1775">
        <v>5</v>
      </c>
      <c r="AY1775">
        <f t="shared" si="56"/>
        <v>43</v>
      </c>
      <c r="AZ1775">
        <f t="shared" si="57"/>
        <v>3</v>
      </c>
    </row>
    <row r="1776" spans="1:52" ht="55.2">
      <c r="A1776" s="3" t="s">
        <v>1820</v>
      </c>
      <c r="C1776">
        <v>2</v>
      </c>
      <c r="AT1776">
        <v>5</v>
      </c>
      <c r="AY1776">
        <f t="shared" si="56"/>
        <v>43</v>
      </c>
      <c r="AZ1776">
        <f t="shared" si="57"/>
        <v>3</v>
      </c>
    </row>
    <row r="1777" spans="1:52" ht="55.2">
      <c r="A1777" s="3" t="s">
        <v>1821</v>
      </c>
      <c r="C1777">
        <v>2</v>
      </c>
      <c r="AT1777">
        <v>5</v>
      </c>
      <c r="AY1777">
        <f t="shared" si="56"/>
        <v>43</v>
      </c>
      <c r="AZ1777">
        <f t="shared" si="57"/>
        <v>3</v>
      </c>
    </row>
    <row r="1778" spans="1:52" ht="55.2">
      <c r="A1778" s="3" t="s">
        <v>1822</v>
      </c>
      <c r="C1778">
        <v>2</v>
      </c>
      <c r="AT1778">
        <v>5</v>
      </c>
      <c r="AY1778">
        <f t="shared" si="56"/>
        <v>43</v>
      </c>
      <c r="AZ1778">
        <f t="shared" si="57"/>
        <v>3</v>
      </c>
    </row>
    <row r="1779" spans="1:52" ht="55.2">
      <c r="A1779" s="3" t="s">
        <v>1823</v>
      </c>
      <c r="C1779">
        <v>2</v>
      </c>
      <c r="AT1779">
        <v>5</v>
      </c>
      <c r="AY1779">
        <f t="shared" si="56"/>
        <v>43</v>
      </c>
      <c r="AZ1779">
        <f t="shared" si="57"/>
        <v>3</v>
      </c>
    </row>
    <row r="1780" spans="1:52" ht="55.2">
      <c r="A1780" s="3" t="s">
        <v>1824</v>
      </c>
      <c r="C1780">
        <v>2</v>
      </c>
      <c r="AT1780">
        <v>5</v>
      </c>
      <c r="AY1780">
        <f t="shared" si="56"/>
        <v>43</v>
      </c>
      <c r="AZ1780">
        <f t="shared" si="57"/>
        <v>3</v>
      </c>
    </row>
    <row r="1781" spans="1:52" ht="55.2">
      <c r="A1781" s="3" t="s">
        <v>1825</v>
      </c>
      <c r="C1781">
        <v>2</v>
      </c>
      <c r="AT1781">
        <v>5</v>
      </c>
      <c r="AY1781">
        <f t="shared" si="56"/>
        <v>43</v>
      </c>
      <c r="AZ1781">
        <f t="shared" si="57"/>
        <v>3</v>
      </c>
    </row>
    <row r="1782" spans="1:52" ht="55.2">
      <c r="A1782" s="3" t="s">
        <v>1826</v>
      </c>
      <c r="C1782">
        <v>2</v>
      </c>
      <c r="AT1782">
        <v>5</v>
      </c>
      <c r="AY1782">
        <f t="shared" si="56"/>
        <v>43</v>
      </c>
      <c r="AZ1782">
        <f t="shared" si="57"/>
        <v>3</v>
      </c>
    </row>
    <row r="1783" spans="1:52" ht="55.2">
      <c r="A1783" s="3" t="s">
        <v>1827</v>
      </c>
      <c r="C1783">
        <v>2</v>
      </c>
      <c r="AT1783">
        <v>5</v>
      </c>
      <c r="AY1783">
        <f t="shared" si="56"/>
        <v>43</v>
      </c>
      <c r="AZ1783">
        <f t="shared" si="57"/>
        <v>3</v>
      </c>
    </row>
    <row r="1784" spans="1:52" ht="55.2">
      <c r="A1784" s="3" t="s">
        <v>1828</v>
      </c>
      <c r="C1784">
        <v>2</v>
      </c>
      <c r="AT1784">
        <v>5</v>
      </c>
      <c r="AY1784">
        <f t="shared" si="56"/>
        <v>43</v>
      </c>
      <c r="AZ1784">
        <f t="shared" si="57"/>
        <v>3</v>
      </c>
    </row>
    <row r="1785" spans="1:52" ht="55.2">
      <c r="A1785" s="3" t="s">
        <v>1829</v>
      </c>
      <c r="C1785">
        <v>2</v>
      </c>
      <c r="AT1785">
        <v>5</v>
      </c>
      <c r="AY1785">
        <f t="shared" si="56"/>
        <v>43</v>
      </c>
      <c r="AZ1785">
        <f t="shared" si="57"/>
        <v>3</v>
      </c>
    </row>
    <row r="1786" spans="1:52" ht="55.2">
      <c r="A1786" s="3" t="s">
        <v>1830</v>
      </c>
      <c r="C1786">
        <v>2</v>
      </c>
      <c r="AT1786">
        <v>5</v>
      </c>
      <c r="AY1786">
        <f t="shared" si="56"/>
        <v>43</v>
      </c>
      <c r="AZ1786">
        <f t="shared" si="57"/>
        <v>3</v>
      </c>
    </row>
    <row r="1787" spans="1:52" ht="55.2">
      <c r="A1787" s="3" t="s">
        <v>1831</v>
      </c>
      <c r="C1787">
        <v>2</v>
      </c>
      <c r="AT1787">
        <v>5</v>
      </c>
      <c r="AY1787">
        <f t="shared" si="56"/>
        <v>43</v>
      </c>
      <c r="AZ1787">
        <f t="shared" si="57"/>
        <v>3</v>
      </c>
    </row>
    <row r="1788" spans="1:52" ht="55.2">
      <c r="A1788" s="3" t="s">
        <v>1832</v>
      </c>
      <c r="C1788">
        <v>2</v>
      </c>
      <c r="AT1788">
        <v>5</v>
      </c>
      <c r="AY1788">
        <f t="shared" si="56"/>
        <v>43</v>
      </c>
      <c r="AZ1788">
        <f t="shared" si="57"/>
        <v>3</v>
      </c>
    </row>
    <row r="1789" spans="1:52" ht="55.2">
      <c r="A1789" s="3" t="s">
        <v>1833</v>
      </c>
      <c r="C1789">
        <v>2</v>
      </c>
      <c r="AT1789">
        <v>5</v>
      </c>
      <c r="AY1789">
        <f t="shared" si="56"/>
        <v>43</v>
      </c>
      <c r="AZ1789">
        <f t="shared" si="57"/>
        <v>3</v>
      </c>
    </row>
    <row r="1790" spans="1:52" ht="55.2">
      <c r="A1790" s="3" t="s">
        <v>1834</v>
      </c>
      <c r="C1790">
        <v>2</v>
      </c>
      <c r="AT1790">
        <v>5</v>
      </c>
      <c r="AY1790">
        <f t="shared" si="56"/>
        <v>43</v>
      </c>
      <c r="AZ1790">
        <f t="shared" si="57"/>
        <v>3</v>
      </c>
    </row>
    <row r="1791" spans="1:52" ht="55.2">
      <c r="A1791" s="3" t="s">
        <v>1835</v>
      </c>
      <c r="C1791">
        <v>2</v>
      </c>
      <c r="AT1791">
        <v>5</v>
      </c>
      <c r="AY1791">
        <f t="shared" si="56"/>
        <v>43</v>
      </c>
      <c r="AZ1791">
        <f t="shared" si="57"/>
        <v>3</v>
      </c>
    </row>
    <row r="1792" spans="1:52" ht="55.2">
      <c r="A1792" s="3" t="s">
        <v>1836</v>
      </c>
      <c r="C1792">
        <v>2</v>
      </c>
      <c r="AT1792">
        <v>5</v>
      </c>
      <c r="AY1792">
        <f t="shared" si="56"/>
        <v>43</v>
      </c>
      <c r="AZ1792">
        <f t="shared" si="57"/>
        <v>3</v>
      </c>
    </row>
    <row r="1793" spans="1:52" ht="55.2">
      <c r="A1793" s="3" t="s">
        <v>1837</v>
      </c>
      <c r="C1793">
        <v>2</v>
      </c>
      <c r="AT1793">
        <v>5</v>
      </c>
      <c r="AY1793">
        <f t="shared" si="56"/>
        <v>43</v>
      </c>
      <c r="AZ1793">
        <f t="shared" si="57"/>
        <v>3</v>
      </c>
    </row>
    <row r="1794" spans="1:52" ht="55.2">
      <c r="A1794" s="3" t="s">
        <v>1838</v>
      </c>
      <c r="C1794">
        <v>2</v>
      </c>
      <c r="AT1794">
        <v>5</v>
      </c>
      <c r="AY1794">
        <f t="shared" si="56"/>
        <v>43</v>
      </c>
      <c r="AZ1794">
        <f t="shared" si="57"/>
        <v>3</v>
      </c>
    </row>
    <row r="1795" spans="1:52" ht="55.2">
      <c r="A1795" s="3" t="s">
        <v>1839</v>
      </c>
      <c r="C1795">
        <v>2</v>
      </c>
      <c r="AT1795">
        <v>5</v>
      </c>
      <c r="AY1795">
        <f t="shared" si="56"/>
        <v>43</v>
      </c>
      <c r="AZ1795">
        <f t="shared" si="57"/>
        <v>3</v>
      </c>
    </row>
    <row r="1796" spans="1:52" ht="55.2">
      <c r="A1796" s="3" t="s">
        <v>1840</v>
      </c>
      <c r="C1796">
        <v>2</v>
      </c>
      <c r="AT1796">
        <v>5</v>
      </c>
      <c r="AY1796">
        <f t="shared" si="56"/>
        <v>43</v>
      </c>
      <c r="AZ1796">
        <f t="shared" si="57"/>
        <v>3</v>
      </c>
    </row>
    <row r="1797" spans="1:52" ht="55.2">
      <c r="A1797" s="3" t="s">
        <v>1841</v>
      </c>
      <c r="C1797">
        <v>2</v>
      </c>
      <c r="AT1797">
        <v>5</v>
      </c>
      <c r="AY1797">
        <f t="shared" si="56"/>
        <v>43</v>
      </c>
      <c r="AZ1797">
        <f t="shared" si="57"/>
        <v>3</v>
      </c>
    </row>
    <row r="1798" spans="1:52" ht="55.2">
      <c r="A1798" s="3" t="s">
        <v>1842</v>
      </c>
      <c r="C1798">
        <v>2</v>
      </c>
      <c r="AT1798">
        <v>5</v>
      </c>
      <c r="AY1798">
        <f t="shared" si="56"/>
        <v>43</v>
      </c>
      <c r="AZ1798">
        <f t="shared" si="57"/>
        <v>3</v>
      </c>
    </row>
    <row r="1799" spans="1:52" ht="55.2">
      <c r="A1799" s="3" t="s">
        <v>1843</v>
      </c>
      <c r="C1799">
        <v>2</v>
      </c>
      <c r="AT1799">
        <v>5</v>
      </c>
      <c r="AY1799">
        <f t="shared" si="56"/>
        <v>43</v>
      </c>
      <c r="AZ1799">
        <f t="shared" si="57"/>
        <v>3</v>
      </c>
    </row>
    <row r="1800" spans="1:52" ht="55.2">
      <c r="A1800" s="3" t="s">
        <v>1844</v>
      </c>
      <c r="C1800">
        <v>2</v>
      </c>
      <c r="AT1800">
        <v>5</v>
      </c>
      <c r="AY1800">
        <f t="shared" si="56"/>
        <v>43</v>
      </c>
      <c r="AZ1800">
        <f t="shared" si="57"/>
        <v>3</v>
      </c>
    </row>
    <row r="1801" spans="1:52" ht="55.2">
      <c r="A1801" s="3" t="s">
        <v>1845</v>
      </c>
      <c r="C1801">
        <v>2</v>
      </c>
      <c r="AT1801">
        <v>5</v>
      </c>
      <c r="AY1801">
        <f t="shared" si="56"/>
        <v>43</v>
      </c>
      <c r="AZ1801">
        <f t="shared" si="57"/>
        <v>3</v>
      </c>
    </row>
    <row r="1802" spans="1:52" ht="55.2">
      <c r="A1802" s="3" t="s">
        <v>1846</v>
      </c>
      <c r="C1802">
        <v>2</v>
      </c>
      <c r="AT1802">
        <v>5</v>
      </c>
      <c r="AY1802">
        <f t="shared" si="56"/>
        <v>43</v>
      </c>
      <c r="AZ1802">
        <f t="shared" si="57"/>
        <v>3</v>
      </c>
    </row>
    <row r="1803" spans="1:52" ht="55.2">
      <c r="A1803" s="3" t="s">
        <v>1847</v>
      </c>
      <c r="C1803">
        <v>2</v>
      </c>
      <c r="AT1803">
        <v>5</v>
      </c>
      <c r="AY1803">
        <f t="shared" si="56"/>
        <v>43</v>
      </c>
      <c r="AZ1803">
        <f t="shared" si="57"/>
        <v>3</v>
      </c>
    </row>
    <row r="1804" spans="1:52" ht="55.2">
      <c r="A1804" s="3" t="s">
        <v>1848</v>
      </c>
      <c r="C1804">
        <v>2</v>
      </c>
      <c r="AT1804">
        <v>5</v>
      </c>
      <c r="AY1804">
        <f t="shared" si="56"/>
        <v>43</v>
      </c>
      <c r="AZ1804">
        <f t="shared" si="57"/>
        <v>3</v>
      </c>
    </row>
    <row r="1805" spans="1:52" ht="55.2">
      <c r="A1805" s="3" t="s">
        <v>1849</v>
      </c>
      <c r="C1805">
        <v>2</v>
      </c>
      <c r="AT1805">
        <v>5</v>
      </c>
      <c r="AY1805">
        <f t="shared" si="56"/>
        <v>43</v>
      </c>
      <c r="AZ1805">
        <f t="shared" si="57"/>
        <v>3</v>
      </c>
    </row>
    <row r="1806" spans="1:52" ht="55.2">
      <c r="A1806" s="3" t="s">
        <v>1850</v>
      </c>
      <c r="C1806">
        <v>2</v>
      </c>
      <c r="AT1806">
        <v>5</v>
      </c>
      <c r="AY1806">
        <f t="shared" si="56"/>
        <v>43</v>
      </c>
      <c r="AZ1806">
        <f t="shared" si="57"/>
        <v>3</v>
      </c>
    </row>
    <row r="1807" spans="1:52" ht="55.2">
      <c r="A1807" s="3" t="s">
        <v>1851</v>
      </c>
      <c r="C1807">
        <v>2</v>
      </c>
      <c r="AT1807">
        <v>5</v>
      </c>
      <c r="AY1807">
        <f t="shared" si="56"/>
        <v>43</v>
      </c>
      <c r="AZ1807">
        <f t="shared" si="57"/>
        <v>3</v>
      </c>
    </row>
    <row r="1808" spans="1:52" ht="55.2">
      <c r="A1808" s="3" t="s">
        <v>1852</v>
      </c>
      <c r="C1808">
        <v>2</v>
      </c>
      <c r="AT1808">
        <v>5</v>
      </c>
      <c r="AY1808">
        <f t="shared" si="56"/>
        <v>43</v>
      </c>
      <c r="AZ1808">
        <f t="shared" si="57"/>
        <v>3</v>
      </c>
    </row>
    <row r="1809" spans="1:52" ht="55.2">
      <c r="A1809" s="3" t="s">
        <v>1853</v>
      </c>
      <c r="C1809">
        <v>2</v>
      </c>
      <c r="AT1809">
        <v>5</v>
      </c>
      <c r="AY1809">
        <f t="shared" si="56"/>
        <v>43</v>
      </c>
      <c r="AZ1809">
        <f t="shared" si="57"/>
        <v>3</v>
      </c>
    </row>
    <row r="1810" spans="1:52" ht="55.2">
      <c r="A1810" s="3" t="s">
        <v>1854</v>
      </c>
      <c r="C1810">
        <v>2</v>
      </c>
      <c r="AT1810">
        <v>5</v>
      </c>
      <c r="AY1810">
        <f t="shared" si="56"/>
        <v>43</v>
      </c>
      <c r="AZ1810">
        <f t="shared" si="57"/>
        <v>3</v>
      </c>
    </row>
    <row r="1811" spans="1:52" ht="55.2">
      <c r="A1811" s="3" t="s">
        <v>1855</v>
      </c>
      <c r="C1811">
        <v>2</v>
      </c>
      <c r="AT1811">
        <v>5</v>
      </c>
      <c r="AY1811">
        <f t="shared" si="56"/>
        <v>43</v>
      </c>
      <c r="AZ1811">
        <f t="shared" si="57"/>
        <v>3</v>
      </c>
    </row>
    <row r="1812" spans="1:52" ht="55.2">
      <c r="A1812" s="3" t="s">
        <v>1856</v>
      </c>
      <c r="C1812">
        <v>2</v>
      </c>
      <c r="AT1812">
        <v>5</v>
      </c>
      <c r="AY1812">
        <f t="shared" si="56"/>
        <v>43</v>
      </c>
      <c r="AZ1812">
        <f t="shared" si="57"/>
        <v>3</v>
      </c>
    </row>
    <row r="1813" spans="1:52" ht="55.2">
      <c r="A1813" s="3" t="s">
        <v>1857</v>
      </c>
      <c r="C1813">
        <v>2</v>
      </c>
      <c r="AT1813">
        <v>5</v>
      </c>
      <c r="AY1813">
        <f t="shared" si="56"/>
        <v>43</v>
      </c>
      <c r="AZ1813">
        <f t="shared" si="57"/>
        <v>3</v>
      </c>
    </row>
    <row r="1814" spans="1:52" ht="55.2">
      <c r="A1814" s="3" t="s">
        <v>1858</v>
      </c>
      <c r="C1814">
        <v>2</v>
      </c>
      <c r="AT1814">
        <v>5</v>
      </c>
      <c r="AY1814">
        <f t="shared" si="56"/>
        <v>43</v>
      </c>
      <c r="AZ1814">
        <f t="shared" si="57"/>
        <v>3</v>
      </c>
    </row>
    <row r="1815" spans="1:52" ht="55.2">
      <c r="A1815" s="3" t="s">
        <v>1859</v>
      </c>
      <c r="C1815">
        <v>2</v>
      </c>
      <c r="AT1815">
        <v>5</v>
      </c>
      <c r="AY1815">
        <f t="shared" si="56"/>
        <v>43</v>
      </c>
      <c r="AZ1815">
        <f t="shared" si="57"/>
        <v>3</v>
      </c>
    </row>
    <row r="1816" spans="1:52" ht="55.2">
      <c r="A1816" s="3" t="s">
        <v>1860</v>
      </c>
      <c r="C1816">
        <v>2</v>
      </c>
      <c r="AT1816">
        <v>5</v>
      </c>
      <c r="AY1816">
        <f t="shared" si="56"/>
        <v>43</v>
      </c>
      <c r="AZ1816">
        <f t="shared" si="57"/>
        <v>3</v>
      </c>
    </row>
    <row r="1817" spans="1:52" ht="55.2">
      <c r="A1817" s="3" t="s">
        <v>1861</v>
      </c>
      <c r="C1817">
        <v>2</v>
      </c>
      <c r="AT1817">
        <v>5</v>
      </c>
      <c r="AY1817">
        <f t="shared" si="56"/>
        <v>43</v>
      </c>
      <c r="AZ1817">
        <f t="shared" si="57"/>
        <v>3</v>
      </c>
    </row>
    <row r="1818" spans="1:52" ht="55.2">
      <c r="A1818" s="3" t="s">
        <v>1862</v>
      </c>
      <c r="C1818">
        <v>2</v>
      </c>
      <c r="AT1818">
        <v>5</v>
      </c>
      <c r="AY1818">
        <f t="shared" si="56"/>
        <v>43</v>
      </c>
      <c r="AZ1818">
        <f t="shared" si="57"/>
        <v>3</v>
      </c>
    </row>
    <row r="1819" spans="1:52" ht="55.2">
      <c r="A1819" s="3" t="s">
        <v>1863</v>
      </c>
      <c r="C1819">
        <v>2</v>
      </c>
      <c r="AT1819">
        <v>5</v>
      </c>
      <c r="AY1819">
        <f t="shared" si="56"/>
        <v>43</v>
      </c>
      <c r="AZ1819">
        <f t="shared" si="57"/>
        <v>3</v>
      </c>
    </row>
    <row r="1820" spans="1:52" ht="55.2">
      <c r="A1820" s="3" t="s">
        <v>1864</v>
      </c>
      <c r="C1820">
        <v>2</v>
      </c>
      <c r="AT1820">
        <v>5</v>
      </c>
      <c r="AY1820">
        <f t="shared" si="56"/>
        <v>43</v>
      </c>
      <c r="AZ1820">
        <f t="shared" si="57"/>
        <v>3</v>
      </c>
    </row>
    <row r="1821" spans="1:52" ht="55.2">
      <c r="A1821" s="3" t="s">
        <v>1865</v>
      </c>
      <c r="C1821">
        <v>2</v>
      </c>
      <c r="X1821">
        <v>1</v>
      </c>
      <c r="AY1821">
        <f t="shared" si="56"/>
        <v>43</v>
      </c>
      <c r="AZ1821">
        <f t="shared" si="57"/>
        <v>3</v>
      </c>
    </row>
    <row r="1822" spans="1:52" ht="55.2">
      <c r="A1822" s="3" t="s">
        <v>1866</v>
      </c>
      <c r="C1822">
        <v>2</v>
      </c>
      <c r="X1822">
        <v>1</v>
      </c>
      <c r="AY1822">
        <f t="shared" si="56"/>
        <v>43</v>
      </c>
      <c r="AZ1822">
        <f t="shared" si="57"/>
        <v>3</v>
      </c>
    </row>
    <row r="1823" spans="1:52" ht="55.2">
      <c r="A1823" s="3" t="s">
        <v>1867</v>
      </c>
      <c r="C1823">
        <v>2</v>
      </c>
      <c r="X1823">
        <v>1</v>
      </c>
      <c r="AY1823">
        <f t="shared" si="56"/>
        <v>43</v>
      </c>
      <c r="AZ1823">
        <f t="shared" si="57"/>
        <v>3</v>
      </c>
    </row>
    <row r="1824" spans="1:52" ht="55.2">
      <c r="A1824" s="3" t="s">
        <v>1868</v>
      </c>
      <c r="C1824">
        <v>2</v>
      </c>
      <c r="X1824">
        <v>1</v>
      </c>
      <c r="AY1824">
        <f t="shared" si="56"/>
        <v>43</v>
      </c>
      <c r="AZ1824">
        <f t="shared" si="57"/>
        <v>3</v>
      </c>
    </row>
    <row r="1825" spans="1:52" ht="55.2">
      <c r="A1825" s="3" t="s">
        <v>1869</v>
      </c>
      <c r="C1825">
        <v>2</v>
      </c>
      <c r="X1825">
        <v>1</v>
      </c>
      <c r="AY1825">
        <f t="shared" ref="AY1825:AY1888" si="58">COUNTBLANK(F1825:AW1825)</f>
        <v>43</v>
      </c>
      <c r="AZ1825">
        <f t="shared" ref="AZ1825:AZ1888" si="59">COUNTBLANK(B1825:E1825)</f>
        <v>3</v>
      </c>
    </row>
    <row r="1826" spans="1:52" ht="55.2">
      <c r="A1826" s="3" t="s">
        <v>1870</v>
      </c>
      <c r="C1826">
        <v>2</v>
      </c>
      <c r="X1826">
        <v>1</v>
      </c>
      <c r="AY1826">
        <f t="shared" si="58"/>
        <v>43</v>
      </c>
      <c r="AZ1826">
        <f t="shared" si="59"/>
        <v>3</v>
      </c>
    </row>
    <row r="1827" spans="1:52" ht="55.2">
      <c r="A1827" s="3" t="s">
        <v>1871</v>
      </c>
      <c r="C1827">
        <v>2</v>
      </c>
      <c r="X1827">
        <v>1</v>
      </c>
      <c r="AY1827">
        <f t="shared" si="58"/>
        <v>43</v>
      </c>
      <c r="AZ1827">
        <f t="shared" si="59"/>
        <v>3</v>
      </c>
    </row>
    <row r="1828" spans="1:52" ht="55.2">
      <c r="A1828" s="3" t="s">
        <v>1872</v>
      </c>
      <c r="C1828">
        <v>2</v>
      </c>
      <c r="X1828">
        <v>1</v>
      </c>
      <c r="AY1828">
        <f t="shared" si="58"/>
        <v>43</v>
      </c>
      <c r="AZ1828">
        <f t="shared" si="59"/>
        <v>3</v>
      </c>
    </row>
    <row r="1829" spans="1:52" ht="55.2">
      <c r="A1829" s="3" t="s">
        <v>1873</v>
      </c>
      <c r="C1829">
        <v>2</v>
      </c>
      <c r="X1829">
        <v>1</v>
      </c>
      <c r="AY1829">
        <f t="shared" si="58"/>
        <v>43</v>
      </c>
      <c r="AZ1829">
        <f t="shared" si="59"/>
        <v>3</v>
      </c>
    </row>
    <row r="1830" spans="1:52" ht="55.2">
      <c r="A1830" s="3" t="s">
        <v>1874</v>
      </c>
      <c r="C1830">
        <v>2</v>
      </c>
      <c r="X1830">
        <v>1</v>
      </c>
      <c r="AY1830">
        <f t="shared" si="58"/>
        <v>43</v>
      </c>
      <c r="AZ1830">
        <f t="shared" si="59"/>
        <v>3</v>
      </c>
    </row>
    <row r="1831" spans="1:52" ht="55.2">
      <c r="A1831" s="3" t="s">
        <v>1875</v>
      </c>
      <c r="C1831">
        <v>2</v>
      </c>
      <c r="X1831">
        <v>1</v>
      </c>
      <c r="AY1831">
        <f t="shared" si="58"/>
        <v>43</v>
      </c>
      <c r="AZ1831">
        <f t="shared" si="59"/>
        <v>3</v>
      </c>
    </row>
    <row r="1832" spans="1:52" ht="55.2">
      <c r="A1832" s="3" t="s">
        <v>1876</v>
      </c>
      <c r="C1832">
        <v>2</v>
      </c>
      <c r="X1832">
        <v>1</v>
      </c>
      <c r="AY1832">
        <f t="shared" si="58"/>
        <v>43</v>
      </c>
      <c r="AZ1832">
        <f t="shared" si="59"/>
        <v>3</v>
      </c>
    </row>
    <row r="1833" spans="1:52" ht="55.2">
      <c r="A1833" s="3" t="s">
        <v>1877</v>
      </c>
      <c r="C1833">
        <v>2</v>
      </c>
      <c r="X1833">
        <v>1</v>
      </c>
      <c r="AY1833">
        <f t="shared" si="58"/>
        <v>43</v>
      </c>
      <c r="AZ1833">
        <f t="shared" si="59"/>
        <v>3</v>
      </c>
    </row>
    <row r="1834" spans="1:52" ht="55.2">
      <c r="A1834" s="3" t="s">
        <v>1878</v>
      </c>
      <c r="C1834">
        <v>2</v>
      </c>
      <c r="X1834">
        <v>1</v>
      </c>
      <c r="AY1834">
        <f t="shared" si="58"/>
        <v>43</v>
      </c>
      <c r="AZ1834">
        <f t="shared" si="59"/>
        <v>3</v>
      </c>
    </row>
    <row r="1835" spans="1:52" ht="55.2">
      <c r="A1835" s="3" t="s">
        <v>1879</v>
      </c>
      <c r="C1835">
        <v>2</v>
      </c>
      <c r="X1835">
        <v>1</v>
      </c>
      <c r="AY1835">
        <f t="shared" si="58"/>
        <v>43</v>
      </c>
      <c r="AZ1835">
        <f t="shared" si="59"/>
        <v>3</v>
      </c>
    </row>
    <row r="1836" spans="1:52" ht="55.2">
      <c r="A1836" s="3" t="s">
        <v>1880</v>
      </c>
      <c r="C1836">
        <v>2</v>
      </c>
      <c r="X1836">
        <v>1</v>
      </c>
      <c r="AY1836">
        <f t="shared" si="58"/>
        <v>43</v>
      </c>
      <c r="AZ1836">
        <f t="shared" si="59"/>
        <v>3</v>
      </c>
    </row>
    <row r="1837" spans="1:52" ht="55.2">
      <c r="A1837" s="3" t="s">
        <v>1881</v>
      </c>
      <c r="C1837">
        <v>2</v>
      </c>
      <c r="X1837">
        <v>1</v>
      </c>
      <c r="AY1837">
        <f t="shared" si="58"/>
        <v>43</v>
      </c>
      <c r="AZ1837">
        <f t="shared" si="59"/>
        <v>3</v>
      </c>
    </row>
    <row r="1838" spans="1:52" ht="55.2">
      <c r="A1838" s="3" t="s">
        <v>1882</v>
      </c>
      <c r="C1838">
        <v>2</v>
      </c>
      <c r="X1838">
        <v>1</v>
      </c>
      <c r="AY1838">
        <f t="shared" si="58"/>
        <v>43</v>
      </c>
      <c r="AZ1838">
        <f t="shared" si="59"/>
        <v>3</v>
      </c>
    </row>
    <row r="1839" spans="1:52" ht="55.2">
      <c r="A1839" s="3" t="s">
        <v>1883</v>
      </c>
      <c r="C1839">
        <v>2</v>
      </c>
      <c r="X1839">
        <v>1</v>
      </c>
      <c r="AY1839">
        <f t="shared" si="58"/>
        <v>43</v>
      </c>
      <c r="AZ1839">
        <f t="shared" si="59"/>
        <v>3</v>
      </c>
    </row>
    <row r="1840" spans="1:52" ht="55.2">
      <c r="A1840" s="3" t="s">
        <v>1884</v>
      </c>
      <c r="C1840">
        <v>2</v>
      </c>
      <c r="X1840">
        <v>1</v>
      </c>
      <c r="AY1840">
        <f t="shared" si="58"/>
        <v>43</v>
      </c>
      <c r="AZ1840">
        <f t="shared" si="59"/>
        <v>3</v>
      </c>
    </row>
    <row r="1841" spans="1:52" ht="55.2">
      <c r="A1841" s="3" t="s">
        <v>1885</v>
      </c>
      <c r="C1841">
        <v>2</v>
      </c>
      <c r="X1841">
        <v>1</v>
      </c>
      <c r="AY1841">
        <f t="shared" si="58"/>
        <v>43</v>
      </c>
      <c r="AZ1841">
        <f t="shared" si="59"/>
        <v>3</v>
      </c>
    </row>
    <row r="1842" spans="1:52" ht="55.2">
      <c r="A1842" s="3" t="s">
        <v>1886</v>
      </c>
      <c r="C1842">
        <v>2</v>
      </c>
      <c r="X1842">
        <v>1</v>
      </c>
      <c r="AY1842">
        <f t="shared" si="58"/>
        <v>43</v>
      </c>
      <c r="AZ1842">
        <f t="shared" si="59"/>
        <v>3</v>
      </c>
    </row>
    <row r="1843" spans="1:52" ht="55.2">
      <c r="A1843" s="3" t="s">
        <v>1887</v>
      </c>
      <c r="C1843">
        <v>2</v>
      </c>
      <c r="X1843">
        <v>1</v>
      </c>
      <c r="AY1843">
        <f t="shared" si="58"/>
        <v>43</v>
      </c>
      <c r="AZ1843">
        <f t="shared" si="59"/>
        <v>3</v>
      </c>
    </row>
    <row r="1844" spans="1:52" ht="55.2">
      <c r="A1844" s="3" t="s">
        <v>1888</v>
      </c>
      <c r="C1844">
        <v>2</v>
      </c>
      <c r="X1844">
        <v>1</v>
      </c>
      <c r="AY1844">
        <f t="shared" si="58"/>
        <v>43</v>
      </c>
      <c r="AZ1844">
        <f t="shared" si="59"/>
        <v>3</v>
      </c>
    </row>
    <row r="1845" spans="1:52" ht="55.2">
      <c r="A1845" s="3" t="s">
        <v>1889</v>
      </c>
      <c r="C1845">
        <v>2</v>
      </c>
      <c r="X1845">
        <v>1</v>
      </c>
      <c r="AY1845">
        <f t="shared" si="58"/>
        <v>43</v>
      </c>
      <c r="AZ1845">
        <f t="shared" si="59"/>
        <v>3</v>
      </c>
    </row>
    <row r="1846" spans="1:52" ht="55.2">
      <c r="A1846" s="3" t="s">
        <v>1890</v>
      </c>
      <c r="C1846">
        <v>2</v>
      </c>
      <c r="X1846">
        <v>1</v>
      </c>
      <c r="AY1846">
        <f t="shared" si="58"/>
        <v>43</v>
      </c>
      <c r="AZ1846">
        <f t="shared" si="59"/>
        <v>3</v>
      </c>
    </row>
    <row r="1847" spans="1:52" ht="55.2">
      <c r="A1847" s="3" t="s">
        <v>1891</v>
      </c>
      <c r="C1847">
        <v>2</v>
      </c>
      <c r="X1847">
        <v>1</v>
      </c>
      <c r="AY1847">
        <f t="shared" si="58"/>
        <v>43</v>
      </c>
      <c r="AZ1847">
        <f t="shared" si="59"/>
        <v>3</v>
      </c>
    </row>
    <row r="1848" spans="1:52" ht="55.2">
      <c r="A1848" s="3" t="s">
        <v>1892</v>
      </c>
      <c r="C1848">
        <v>2</v>
      </c>
      <c r="X1848">
        <v>1</v>
      </c>
      <c r="AY1848">
        <f t="shared" si="58"/>
        <v>43</v>
      </c>
      <c r="AZ1848">
        <f t="shared" si="59"/>
        <v>3</v>
      </c>
    </row>
    <row r="1849" spans="1:52" ht="55.2">
      <c r="A1849" s="3" t="s">
        <v>1893</v>
      </c>
      <c r="C1849">
        <v>2</v>
      </c>
      <c r="X1849">
        <v>1</v>
      </c>
      <c r="AY1849">
        <f t="shared" si="58"/>
        <v>43</v>
      </c>
      <c r="AZ1849">
        <f t="shared" si="59"/>
        <v>3</v>
      </c>
    </row>
    <row r="1850" spans="1:52" ht="55.2">
      <c r="A1850" s="3" t="s">
        <v>1894</v>
      </c>
      <c r="C1850">
        <v>2</v>
      </c>
      <c r="X1850">
        <v>1</v>
      </c>
      <c r="AY1850">
        <f t="shared" si="58"/>
        <v>43</v>
      </c>
      <c r="AZ1850">
        <f t="shared" si="59"/>
        <v>3</v>
      </c>
    </row>
    <row r="1851" spans="1:52" ht="55.2">
      <c r="A1851" s="3" t="s">
        <v>1895</v>
      </c>
      <c r="C1851">
        <v>2</v>
      </c>
      <c r="X1851">
        <v>1</v>
      </c>
      <c r="AY1851">
        <f t="shared" si="58"/>
        <v>43</v>
      </c>
      <c r="AZ1851">
        <f t="shared" si="59"/>
        <v>3</v>
      </c>
    </row>
    <row r="1852" spans="1:52" ht="55.2">
      <c r="A1852" s="3" t="s">
        <v>1896</v>
      </c>
      <c r="C1852">
        <v>2</v>
      </c>
      <c r="X1852">
        <v>1</v>
      </c>
      <c r="AY1852">
        <f t="shared" si="58"/>
        <v>43</v>
      </c>
      <c r="AZ1852">
        <f t="shared" si="59"/>
        <v>3</v>
      </c>
    </row>
    <row r="1853" spans="1:52" ht="55.2">
      <c r="A1853" s="3" t="s">
        <v>1897</v>
      </c>
      <c r="C1853">
        <v>2</v>
      </c>
      <c r="X1853">
        <v>1</v>
      </c>
      <c r="AY1853">
        <f t="shared" si="58"/>
        <v>43</v>
      </c>
      <c r="AZ1853">
        <f t="shared" si="59"/>
        <v>3</v>
      </c>
    </row>
    <row r="1854" spans="1:52" ht="55.2">
      <c r="A1854" s="3" t="s">
        <v>1898</v>
      </c>
      <c r="C1854">
        <v>2</v>
      </c>
      <c r="X1854">
        <v>1</v>
      </c>
      <c r="AY1854">
        <f t="shared" si="58"/>
        <v>43</v>
      </c>
      <c r="AZ1854">
        <f t="shared" si="59"/>
        <v>3</v>
      </c>
    </row>
    <row r="1855" spans="1:52" ht="55.2">
      <c r="A1855" s="3" t="s">
        <v>1899</v>
      </c>
      <c r="C1855">
        <v>2</v>
      </c>
      <c r="X1855">
        <v>1</v>
      </c>
      <c r="AY1855">
        <f t="shared" si="58"/>
        <v>43</v>
      </c>
      <c r="AZ1855">
        <f t="shared" si="59"/>
        <v>3</v>
      </c>
    </row>
    <row r="1856" spans="1:52" ht="55.2">
      <c r="A1856" s="3" t="s">
        <v>1900</v>
      </c>
      <c r="C1856">
        <v>2</v>
      </c>
      <c r="X1856">
        <v>1</v>
      </c>
      <c r="AY1856">
        <f t="shared" si="58"/>
        <v>43</v>
      </c>
      <c r="AZ1856">
        <f t="shared" si="59"/>
        <v>3</v>
      </c>
    </row>
    <row r="1857" spans="1:52" ht="55.2">
      <c r="A1857" s="3" t="s">
        <v>1901</v>
      </c>
      <c r="C1857">
        <v>2</v>
      </c>
      <c r="X1857">
        <v>1</v>
      </c>
      <c r="AY1857">
        <f t="shared" si="58"/>
        <v>43</v>
      </c>
      <c r="AZ1857">
        <f t="shared" si="59"/>
        <v>3</v>
      </c>
    </row>
    <row r="1858" spans="1:52" ht="55.2">
      <c r="A1858" s="3" t="s">
        <v>1902</v>
      </c>
      <c r="C1858">
        <v>2</v>
      </c>
      <c r="X1858">
        <v>1</v>
      </c>
      <c r="AY1858">
        <f t="shared" si="58"/>
        <v>43</v>
      </c>
      <c r="AZ1858">
        <f t="shared" si="59"/>
        <v>3</v>
      </c>
    </row>
    <row r="1859" spans="1:52" ht="55.2">
      <c r="A1859" s="3" t="s">
        <v>1903</v>
      </c>
      <c r="C1859">
        <v>2</v>
      </c>
      <c r="X1859">
        <v>1</v>
      </c>
      <c r="AY1859">
        <f t="shared" si="58"/>
        <v>43</v>
      </c>
      <c r="AZ1859">
        <f t="shared" si="59"/>
        <v>3</v>
      </c>
    </row>
    <row r="1860" spans="1:52" ht="55.2">
      <c r="A1860" s="3" t="s">
        <v>1904</v>
      </c>
      <c r="C1860">
        <v>2</v>
      </c>
      <c r="X1860">
        <v>1</v>
      </c>
      <c r="AY1860">
        <f t="shared" si="58"/>
        <v>43</v>
      </c>
      <c r="AZ1860">
        <f t="shared" si="59"/>
        <v>3</v>
      </c>
    </row>
    <row r="1861" spans="1:52" ht="55.2">
      <c r="A1861" s="3" t="s">
        <v>1905</v>
      </c>
      <c r="C1861">
        <v>2</v>
      </c>
      <c r="X1861">
        <v>1</v>
      </c>
      <c r="AY1861">
        <f t="shared" si="58"/>
        <v>43</v>
      </c>
      <c r="AZ1861">
        <f t="shared" si="59"/>
        <v>3</v>
      </c>
    </row>
    <row r="1862" spans="1:52" ht="55.2">
      <c r="A1862" s="3" t="s">
        <v>1906</v>
      </c>
      <c r="C1862">
        <v>2</v>
      </c>
      <c r="X1862">
        <v>1</v>
      </c>
      <c r="AY1862">
        <f t="shared" si="58"/>
        <v>43</v>
      </c>
      <c r="AZ1862">
        <f t="shared" si="59"/>
        <v>3</v>
      </c>
    </row>
    <row r="1863" spans="1:52" ht="55.2">
      <c r="A1863" s="3" t="s">
        <v>1907</v>
      </c>
      <c r="C1863">
        <v>2</v>
      </c>
      <c r="X1863">
        <v>1</v>
      </c>
      <c r="AY1863">
        <f t="shared" si="58"/>
        <v>43</v>
      </c>
      <c r="AZ1863">
        <f t="shared" si="59"/>
        <v>3</v>
      </c>
    </row>
    <row r="1864" spans="1:52" ht="55.2">
      <c r="A1864" s="3" t="s">
        <v>1908</v>
      </c>
      <c r="C1864">
        <v>2</v>
      </c>
      <c r="X1864">
        <v>1</v>
      </c>
      <c r="AY1864">
        <f t="shared" si="58"/>
        <v>43</v>
      </c>
      <c r="AZ1864">
        <f t="shared" si="59"/>
        <v>3</v>
      </c>
    </row>
    <row r="1865" spans="1:52" ht="55.2">
      <c r="A1865" s="3" t="s">
        <v>1909</v>
      </c>
      <c r="C1865">
        <v>2</v>
      </c>
      <c r="X1865">
        <v>1</v>
      </c>
      <c r="AY1865">
        <f t="shared" si="58"/>
        <v>43</v>
      </c>
      <c r="AZ1865">
        <f t="shared" si="59"/>
        <v>3</v>
      </c>
    </row>
    <row r="1866" spans="1:52" ht="55.2">
      <c r="A1866" s="3" t="s">
        <v>1910</v>
      </c>
      <c r="C1866">
        <v>2</v>
      </c>
      <c r="X1866">
        <v>1</v>
      </c>
      <c r="AY1866">
        <f t="shared" si="58"/>
        <v>43</v>
      </c>
      <c r="AZ1866">
        <f t="shared" si="59"/>
        <v>3</v>
      </c>
    </row>
    <row r="1867" spans="1:52" ht="55.2">
      <c r="A1867" s="3" t="s">
        <v>1911</v>
      </c>
      <c r="C1867">
        <v>2</v>
      </c>
      <c r="X1867">
        <v>1</v>
      </c>
      <c r="AY1867">
        <f t="shared" si="58"/>
        <v>43</v>
      </c>
      <c r="AZ1867">
        <f t="shared" si="59"/>
        <v>3</v>
      </c>
    </row>
    <row r="1868" spans="1:52" ht="55.2">
      <c r="A1868" s="3" t="s">
        <v>1912</v>
      </c>
      <c r="C1868">
        <v>2</v>
      </c>
      <c r="X1868">
        <v>1</v>
      </c>
      <c r="AY1868">
        <f t="shared" si="58"/>
        <v>43</v>
      </c>
      <c r="AZ1868">
        <f t="shared" si="59"/>
        <v>3</v>
      </c>
    </row>
    <row r="1869" spans="1:52" ht="55.2">
      <c r="A1869" s="3" t="s">
        <v>1913</v>
      </c>
      <c r="C1869">
        <v>2</v>
      </c>
      <c r="X1869">
        <v>1</v>
      </c>
      <c r="AY1869">
        <f t="shared" si="58"/>
        <v>43</v>
      </c>
      <c r="AZ1869">
        <f t="shared" si="59"/>
        <v>3</v>
      </c>
    </row>
    <row r="1870" spans="1:52" ht="55.2">
      <c r="A1870" s="3" t="s">
        <v>1914</v>
      </c>
      <c r="C1870">
        <v>2</v>
      </c>
      <c r="X1870">
        <v>1</v>
      </c>
      <c r="AY1870">
        <f t="shared" si="58"/>
        <v>43</v>
      </c>
      <c r="AZ1870">
        <f t="shared" si="59"/>
        <v>3</v>
      </c>
    </row>
    <row r="1871" spans="1:52" ht="55.2">
      <c r="A1871" s="3" t="s">
        <v>1915</v>
      </c>
      <c r="C1871">
        <v>2</v>
      </c>
      <c r="X1871">
        <v>1</v>
      </c>
      <c r="AY1871">
        <f t="shared" si="58"/>
        <v>43</v>
      </c>
      <c r="AZ1871">
        <f t="shared" si="59"/>
        <v>3</v>
      </c>
    </row>
    <row r="1872" spans="1:52" ht="55.2">
      <c r="A1872" s="3" t="s">
        <v>1916</v>
      </c>
      <c r="C1872">
        <v>2</v>
      </c>
      <c r="X1872">
        <v>1</v>
      </c>
      <c r="AY1872">
        <f t="shared" si="58"/>
        <v>43</v>
      </c>
      <c r="AZ1872">
        <f t="shared" si="59"/>
        <v>3</v>
      </c>
    </row>
    <row r="1873" spans="1:52" ht="55.2">
      <c r="A1873" s="3" t="s">
        <v>1917</v>
      </c>
      <c r="C1873">
        <v>2</v>
      </c>
      <c r="X1873">
        <v>1</v>
      </c>
      <c r="AY1873">
        <f t="shared" si="58"/>
        <v>43</v>
      </c>
      <c r="AZ1873">
        <f t="shared" si="59"/>
        <v>3</v>
      </c>
    </row>
    <row r="1874" spans="1:52" ht="55.2">
      <c r="A1874" s="3" t="s">
        <v>1918</v>
      </c>
      <c r="C1874">
        <v>2</v>
      </c>
      <c r="X1874">
        <v>1</v>
      </c>
      <c r="AY1874">
        <f t="shared" si="58"/>
        <v>43</v>
      </c>
      <c r="AZ1874">
        <f t="shared" si="59"/>
        <v>3</v>
      </c>
    </row>
    <row r="1875" spans="1:52" ht="55.2">
      <c r="A1875" s="3" t="s">
        <v>1919</v>
      </c>
      <c r="C1875">
        <v>2</v>
      </c>
      <c r="X1875">
        <v>1</v>
      </c>
      <c r="AY1875">
        <f t="shared" si="58"/>
        <v>43</v>
      </c>
      <c r="AZ1875">
        <f t="shared" si="59"/>
        <v>3</v>
      </c>
    </row>
    <row r="1876" spans="1:52" ht="55.2">
      <c r="A1876" s="3" t="s">
        <v>1920</v>
      </c>
      <c r="C1876">
        <v>2</v>
      </c>
      <c r="X1876">
        <v>1</v>
      </c>
      <c r="AY1876">
        <f t="shared" si="58"/>
        <v>43</v>
      </c>
      <c r="AZ1876">
        <f t="shared" si="59"/>
        <v>3</v>
      </c>
    </row>
    <row r="1877" spans="1:52" ht="55.2">
      <c r="A1877" s="3" t="s">
        <v>1921</v>
      </c>
      <c r="C1877">
        <v>2</v>
      </c>
      <c r="X1877">
        <v>1</v>
      </c>
      <c r="AY1877">
        <f t="shared" si="58"/>
        <v>43</v>
      </c>
      <c r="AZ1877">
        <f t="shared" si="59"/>
        <v>3</v>
      </c>
    </row>
    <row r="1878" spans="1:52" ht="55.2">
      <c r="A1878" s="3" t="s">
        <v>1922</v>
      </c>
      <c r="C1878">
        <v>2</v>
      </c>
      <c r="X1878">
        <v>1</v>
      </c>
      <c r="AY1878">
        <f t="shared" si="58"/>
        <v>43</v>
      </c>
      <c r="AZ1878">
        <f t="shared" si="59"/>
        <v>3</v>
      </c>
    </row>
    <row r="1879" spans="1:52" ht="55.2">
      <c r="A1879" s="3" t="s">
        <v>1923</v>
      </c>
      <c r="C1879">
        <v>2</v>
      </c>
      <c r="X1879">
        <v>1</v>
      </c>
      <c r="AY1879">
        <f t="shared" si="58"/>
        <v>43</v>
      </c>
      <c r="AZ1879">
        <f t="shared" si="59"/>
        <v>3</v>
      </c>
    </row>
    <row r="1880" spans="1:52" ht="55.2">
      <c r="A1880" s="3" t="s">
        <v>1924</v>
      </c>
      <c r="C1880">
        <v>2</v>
      </c>
      <c r="X1880">
        <v>1</v>
      </c>
      <c r="AY1880">
        <f t="shared" si="58"/>
        <v>43</v>
      </c>
      <c r="AZ1880">
        <f t="shared" si="59"/>
        <v>3</v>
      </c>
    </row>
    <row r="1881" spans="1:52" ht="55.2">
      <c r="A1881" s="3" t="s">
        <v>1925</v>
      </c>
      <c r="C1881">
        <v>2</v>
      </c>
      <c r="X1881">
        <v>1</v>
      </c>
      <c r="AY1881">
        <f t="shared" si="58"/>
        <v>43</v>
      </c>
      <c r="AZ1881">
        <f t="shared" si="59"/>
        <v>3</v>
      </c>
    </row>
    <row r="1882" spans="1:52" ht="55.2">
      <c r="A1882" s="3" t="s">
        <v>1926</v>
      </c>
      <c r="C1882">
        <v>2</v>
      </c>
      <c r="X1882">
        <v>1</v>
      </c>
      <c r="AY1882">
        <f t="shared" si="58"/>
        <v>43</v>
      </c>
      <c r="AZ1882">
        <f t="shared" si="59"/>
        <v>3</v>
      </c>
    </row>
    <row r="1883" spans="1:52" ht="55.2">
      <c r="A1883" s="3" t="s">
        <v>1927</v>
      </c>
      <c r="C1883">
        <v>2</v>
      </c>
      <c r="X1883">
        <v>1</v>
      </c>
      <c r="AY1883">
        <f t="shared" si="58"/>
        <v>43</v>
      </c>
      <c r="AZ1883">
        <f t="shared" si="59"/>
        <v>3</v>
      </c>
    </row>
    <row r="1884" spans="1:52" ht="55.2">
      <c r="A1884" s="3" t="s">
        <v>1928</v>
      </c>
      <c r="C1884">
        <v>2</v>
      </c>
      <c r="X1884">
        <v>1</v>
      </c>
      <c r="AY1884">
        <f t="shared" si="58"/>
        <v>43</v>
      </c>
      <c r="AZ1884">
        <f t="shared" si="59"/>
        <v>3</v>
      </c>
    </row>
    <row r="1885" spans="1:52" ht="55.2">
      <c r="A1885" s="3" t="s">
        <v>1929</v>
      </c>
      <c r="C1885">
        <v>2</v>
      </c>
      <c r="X1885">
        <v>1</v>
      </c>
      <c r="AY1885">
        <f t="shared" si="58"/>
        <v>43</v>
      </c>
      <c r="AZ1885">
        <f t="shared" si="59"/>
        <v>3</v>
      </c>
    </row>
    <row r="1886" spans="1:52" ht="55.2">
      <c r="A1886" s="3" t="s">
        <v>1930</v>
      </c>
      <c r="C1886">
        <v>2</v>
      </c>
      <c r="X1886">
        <v>1</v>
      </c>
      <c r="AY1886">
        <f t="shared" si="58"/>
        <v>43</v>
      </c>
      <c r="AZ1886">
        <f t="shared" si="59"/>
        <v>3</v>
      </c>
    </row>
    <row r="1887" spans="1:52" ht="55.2">
      <c r="A1887" s="3" t="s">
        <v>1931</v>
      </c>
      <c r="C1887">
        <v>2</v>
      </c>
      <c r="X1887">
        <v>1</v>
      </c>
      <c r="AY1887">
        <f t="shared" si="58"/>
        <v>43</v>
      </c>
      <c r="AZ1887">
        <f t="shared" si="59"/>
        <v>3</v>
      </c>
    </row>
    <row r="1888" spans="1:52" ht="55.2">
      <c r="A1888" s="3" t="s">
        <v>1932</v>
      </c>
      <c r="C1888">
        <v>2</v>
      </c>
      <c r="X1888">
        <v>1</v>
      </c>
      <c r="AY1888">
        <f t="shared" si="58"/>
        <v>43</v>
      </c>
      <c r="AZ1888">
        <f t="shared" si="59"/>
        <v>3</v>
      </c>
    </row>
    <row r="1889" spans="1:52" ht="55.2">
      <c r="A1889" s="3" t="s">
        <v>1933</v>
      </c>
      <c r="C1889">
        <v>2</v>
      </c>
      <c r="X1889">
        <v>1</v>
      </c>
      <c r="AY1889">
        <f t="shared" ref="AY1889:AY1952" si="60">COUNTBLANK(F1889:AW1889)</f>
        <v>43</v>
      </c>
      <c r="AZ1889">
        <f t="shared" ref="AZ1889:AZ1952" si="61">COUNTBLANK(B1889:E1889)</f>
        <v>3</v>
      </c>
    </row>
    <row r="1890" spans="1:52" ht="55.2">
      <c r="A1890" s="3" t="s">
        <v>1934</v>
      </c>
      <c r="C1890">
        <v>2</v>
      </c>
      <c r="X1890">
        <v>1</v>
      </c>
      <c r="AY1890">
        <f t="shared" si="60"/>
        <v>43</v>
      </c>
      <c r="AZ1890">
        <f t="shared" si="61"/>
        <v>3</v>
      </c>
    </row>
    <row r="1891" spans="1:52" ht="55.2">
      <c r="A1891" s="3" t="s">
        <v>1935</v>
      </c>
      <c r="C1891">
        <v>2</v>
      </c>
      <c r="X1891">
        <v>1</v>
      </c>
      <c r="AY1891">
        <f t="shared" si="60"/>
        <v>43</v>
      </c>
      <c r="AZ1891">
        <f t="shared" si="61"/>
        <v>3</v>
      </c>
    </row>
    <row r="1892" spans="1:52" ht="55.2">
      <c r="A1892" s="3" t="s">
        <v>1936</v>
      </c>
      <c r="C1892">
        <v>2</v>
      </c>
      <c r="X1892">
        <v>1</v>
      </c>
      <c r="AY1892">
        <f t="shared" si="60"/>
        <v>43</v>
      </c>
      <c r="AZ1892">
        <f t="shared" si="61"/>
        <v>3</v>
      </c>
    </row>
    <row r="1893" spans="1:52" ht="55.2">
      <c r="A1893" s="3" t="s">
        <v>1937</v>
      </c>
      <c r="C1893">
        <v>2</v>
      </c>
      <c r="X1893">
        <v>1</v>
      </c>
      <c r="AY1893">
        <f t="shared" si="60"/>
        <v>43</v>
      </c>
      <c r="AZ1893">
        <f t="shared" si="61"/>
        <v>3</v>
      </c>
    </row>
    <row r="1894" spans="1:52" ht="55.2">
      <c r="A1894" s="3" t="s">
        <v>1938</v>
      </c>
      <c r="C1894">
        <v>2</v>
      </c>
      <c r="X1894">
        <v>1</v>
      </c>
      <c r="AY1894">
        <f t="shared" si="60"/>
        <v>43</v>
      </c>
      <c r="AZ1894">
        <f t="shared" si="61"/>
        <v>3</v>
      </c>
    </row>
    <row r="1895" spans="1:52" ht="55.2">
      <c r="A1895" s="3" t="s">
        <v>1939</v>
      </c>
      <c r="C1895">
        <v>2</v>
      </c>
      <c r="X1895">
        <v>1</v>
      </c>
      <c r="AY1895">
        <f t="shared" si="60"/>
        <v>43</v>
      </c>
      <c r="AZ1895">
        <f t="shared" si="61"/>
        <v>3</v>
      </c>
    </row>
    <row r="1896" spans="1:52" ht="55.2">
      <c r="A1896" s="3" t="s">
        <v>1940</v>
      </c>
      <c r="C1896">
        <v>2</v>
      </c>
      <c r="X1896">
        <v>1</v>
      </c>
      <c r="AY1896">
        <f t="shared" si="60"/>
        <v>43</v>
      </c>
      <c r="AZ1896">
        <f t="shared" si="61"/>
        <v>3</v>
      </c>
    </row>
    <row r="1897" spans="1:52" ht="55.2">
      <c r="A1897" s="3" t="s">
        <v>1941</v>
      </c>
      <c r="C1897">
        <v>2</v>
      </c>
      <c r="X1897">
        <v>1</v>
      </c>
      <c r="AY1897">
        <f t="shared" si="60"/>
        <v>43</v>
      </c>
      <c r="AZ1897">
        <f t="shared" si="61"/>
        <v>3</v>
      </c>
    </row>
    <row r="1898" spans="1:52" ht="55.2">
      <c r="A1898" s="3" t="s">
        <v>1942</v>
      </c>
      <c r="C1898">
        <v>2</v>
      </c>
      <c r="X1898">
        <v>1</v>
      </c>
      <c r="AY1898">
        <f t="shared" si="60"/>
        <v>43</v>
      </c>
      <c r="AZ1898">
        <f t="shared" si="61"/>
        <v>3</v>
      </c>
    </row>
    <row r="1899" spans="1:52" ht="55.2">
      <c r="A1899" s="3" t="s">
        <v>1943</v>
      </c>
      <c r="C1899">
        <v>2</v>
      </c>
      <c r="X1899">
        <v>1</v>
      </c>
      <c r="AY1899">
        <f t="shared" si="60"/>
        <v>43</v>
      </c>
      <c r="AZ1899">
        <f t="shared" si="61"/>
        <v>3</v>
      </c>
    </row>
    <row r="1900" spans="1:52" ht="55.2">
      <c r="A1900" s="3" t="s">
        <v>1944</v>
      </c>
      <c r="C1900">
        <v>2</v>
      </c>
      <c r="X1900">
        <v>1</v>
      </c>
      <c r="AY1900">
        <f t="shared" si="60"/>
        <v>43</v>
      </c>
      <c r="AZ1900">
        <f t="shared" si="61"/>
        <v>3</v>
      </c>
    </row>
    <row r="1901" spans="1:52" ht="55.2">
      <c r="A1901" s="3" t="s">
        <v>1945</v>
      </c>
      <c r="C1901">
        <v>2</v>
      </c>
      <c r="X1901">
        <v>1</v>
      </c>
      <c r="AY1901">
        <f t="shared" si="60"/>
        <v>43</v>
      </c>
      <c r="AZ1901">
        <f t="shared" si="61"/>
        <v>3</v>
      </c>
    </row>
    <row r="1902" spans="1:52" ht="55.2">
      <c r="A1902" s="3" t="s">
        <v>1946</v>
      </c>
      <c r="C1902">
        <v>2</v>
      </c>
      <c r="X1902">
        <v>1</v>
      </c>
      <c r="AY1902">
        <f t="shared" si="60"/>
        <v>43</v>
      </c>
      <c r="AZ1902">
        <f t="shared" si="61"/>
        <v>3</v>
      </c>
    </row>
    <row r="1903" spans="1:52" ht="55.2">
      <c r="A1903" s="3" t="s">
        <v>1947</v>
      </c>
      <c r="C1903">
        <v>2</v>
      </c>
      <c r="Y1903">
        <v>1</v>
      </c>
      <c r="AY1903">
        <f t="shared" si="60"/>
        <v>43</v>
      </c>
      <c r="AZ1903">
        <f t="shared" si="61"/>
        <v>3</v>
      </c>
    </row>
    <row r="1904" spans="1:52" ht="55.2">
      <c r="A1904" s="3" t="s">
        <v>1948</v>
      </c>
      <c r="C1904">
        <v>2</v>
      </c>
      <c r="Y1904">
        <v>1</v>
      </c>
      <c r="AY1904">
        <f t="shared" si="60"/>
        <v>43</v>
      </c>
      <c r="AZ1904">
        <f t="shared" si="61"/>
        <v>3</v>
      </c>
    </row>
    <row r="1905" spans="1:52" ht="55.2">
      <c r="A1905" s="3" t="s">
        <v>1949</v>
      </c>
      <c r="C1905">
        <v>2</v>
      </c>
      <c r="Y1905">
        <v>1</v>
      </c>
      <c r="AY1905">
        <f t="shared" si="60"/>
        <v>43</v>
      </c>
      <c r="AZ1905">
        <f t="shared" si="61"/>
        <v>3</v>
      </c>
    </row>
    <row r="1906" spans="1:52" ht="55.2">
      <c r="A1906" s="3" t="s">
        <v>1950</v>
      </c>
      <c r="C1906">
        <v>2</v>
      </c>
      <c r="Y1906">
        <v>1</v>
      </c>
      <c r="AY1906">
        <f t="shared" si="60"/>
        <v>43</v>
      </c>
      <c r="AZ1906">
        <f t="shared" si="61"/>
        <v>3</v>
      </c>
    </row>
    <row r="1907" spans="1:52" ht="55.2">
      <c r="A1907" s="3" t="s">
        <v>1951</v>
      </c>
      <c r="C1907">
        <v>2</v>
      </c>
      <c r="Y1907">
        <v>1</v>
      </c>
      <c r="AY1907">
        <f t="shared" si="60"/>
        <v>43</v>
      </c>
      <c r="AZ1907">
        <f t="shared" si="61"/>
        <v>3</v>
      </c>
    </row>
    <row r="1908" spans="1:52" ht="55.2">
      <c r="A1908" s="3" t="s">
        <v>1952</v>
      </c>
      <c r="C1908">
        <v>2</v>
      </c>
      <c r="Y1908">
        <v>1</v>
      </c>
      <c r="AY1908">
        <f t="shared" si="60"/>
        <v>43</v>
      </c>
      <c r="AZ1908">
        <f t="shared" si="61"/>
        <v>3</v>
      </c>
    </row>
    <row r="1909" spans="1:52" ht="55.2">
      <c r="A1909" s="3" t="s">
        <v>1953</v>
      </c>
      <c r="C1909">
        <v>2</v>
      </c>
      <c r="Y1909">
        <v>1</v>
      </c>
      <c r="AY1909">
        <f t="shared" si="60"/>
        <v>43</v>
      </c>
      <c r="AZ1909">
        <f t="shared" si="61"/>
        <v>3</v>
      </c>
    </row>
    <row r="1910" spans="1:52" ht="55.2">
      <c r="A1910" s="3" t="s">
        <v>1954</v>
      </c>
      <c r="C1910">
        <v>2</v>
      </c>
      <c r="Y1910">
        <v>1</v>
      </c>
      <c r="AY1910">
        <f t="shared" si="60"/>
        <v>43</v>
      </c>
      <c r="AZ1910">
        <f t="shared" si="61"/>
        <v>3</v>
      </c>
    </row>
    <row r="1911" spans="1:52" ht="55.2">
      <c r="A1911" s="3" t="s">
        <v>1955</v>
      </c>
      <c r="C1911">
        <v>2</v>
      </c>
      <c r="Y1911">
        <v>1</v>
      </c>
      <c r="AY1911">
        <f t="shared" si="60"/>
        <v>43</v>
      </c>
      <c r="AZ1911">
        <f t="shared" si="61"/>
        <v>3</v>
      </c>
    </row>
    <row r="1912" spans="1:52" ht="55.2">
      <c r="A1912" s="3" t="s">
        <v>1956</v>
      </c>
      <c r="C1912">
        <v>2</v>
      </c>
      <c r="Y1912">
        <v>1</v>
      </c>
      <c r="AY1912">
        <f t="shared" si="60"/>
        <v>43</v>
      </c>
      <c r="AZ1912">
        <f t="shared" si="61"/>
        <v>3</v>
      </c>
    </row>
    <row r="1913" spans="1:52" ht="55.2">
      <c r="A1913" s="3" t="s">
        <v>1957</v>
      </c>
      <c r="C1913">
        <v>2</v>
      </c>
      <c r="Y1913">
        <v>1</v>
      </c>
      <c r="AY1913">
        <f t="shared" si="60"/>
        <v>43</v>
      </c>
      <c r="AZ1913">
        <f t="shared" si="61"/>
        <v>3</v>
      </c>
    </row>
    <row r="1914" spans="1:52" ht="55.2">
      <c r="A1914" s="3" t="s">
        <v>1958</v>
      </c>
      <c r="C1914">
        <v>2</v>
      </c>
      <c r="Y1914">
        <v>1</v>
      </c>
      <c r="AY1914">
        <f t="shared" si="60"/>
        <v>43</v>
      </c>
      <c r="AZ1914">
        <f t="shared" si="61"/>
        <v>3</v>
      </c>
    </row>
    <row r="1915" spans="1:52" ht="55.2">
      <c r="A1915" s="3" t="s">
        <v>1959</v>
      </c>
      <c r="C1915">
        <v>2</v>
      </c>
      <c r="Y1915">
        <v>1</v>
      </c>
      <c r="AY1915">
        <f t="shared" si="60"/>
        <v>43</v>
      </c>
      <c r="AZ1915">
        <f t="shared" si="61"/>
        <v>3</v>
      </c>
    </row>
    <row r="1916" spans="1:52" ht="55.2">
      <c r="A1916" s="3" t="s">
        <v>1960</v>
      </c>
      <c r="C1916">
        <v>2</v>
      </c>
      <c r="Y1916">
        <v>1</v>
      </c>
      <c r="AY1916">
        <f t="shared" si="60"/>
        <v>43</v>
      </c>
      <c r="AZ1916">
        <f t="shared" si="61"/>
        <v>3</v>
      </c>
    </row>
    <row r="1917" spans="1:52" ht="55.2">
      <c r="A1917" s="3" t="s">
        <v>1961</v>
      </c>
      <c r="C1917">
        <v>2</v>
      </c>
      <c r="Y1917">
        <v>1</v>
      </c>
      <c r="AY1917">
        <f t="shared" si="60"/>
        <v>43</v>
      </c>
      <c r="AZ1917">
        <f t="shared" si="61"/>
        <v>3</v>
      </c>
    </row>
    <row r="1918" spans="1:52" ht="55.2">
      <c r="A1918" s="3" t="s">
        <v>1962</v>
      </c>
      <c r="C1918">
        <v>2</v>
      </c>
      <c r="Y1918">
        <v>1</v>
      </c>
      <c r="AY1918">
        <f t="shared" si="60"/>
        <v>43</v>
      </c>
      <c r="AZ1918">
        <f t="shared" si="61"/>
        <v>3</v>
      </c>
    </row>
    <row r="1919" spans="1:52" ht="55.2">
      <c r="A1919" s="3" t="s">
        <v>1963</v>
      </c>
      <c r="C1919">
        <v>2</v>
      </c>
      <c r="Y1919">
        <v>1</v>
      </c>
      <c r="AY1919">
        <f t="shared" si="60"/>
        <v>43</v>
      </c>
      <c r="AZ1919">
        <f t="shared" si="61"/>
        <v>3</v>
      </c>
    </row>
    <row r="1920" spans="1:52" ht="55.2">
      <c r="A1920" s="3" t="s">
        <v>1964</v>
      </c>
      <c r="C1920">
        <v>2</v>
      </c>
      <c r="Y1920">
        <v>1</v>
      </c>
      <c r="AY1920">
        <f t="shared" si="60"/>
        <v>43</v>
      </c>
      <c r="AZ1920">
        <f t="shared" si="61"/>
        <v>3</v>
      </c>
    </row>
    <row r="1921" spans="1:52" ht="55.2">
      <c r="A1921" s="3" t="s">
        <v>1965</v>
      </c>
      <c r="C1921">
        <v>2</v>
      </c>
      <c r="Y1921">
        <v>1</v>
      </c>
      <c r="AY1921">
        <f t="shared" si="60"/>
        <v>43</v>
      </c>
      <c r="AZ1921">
        <f t="shared" si="61"/>
        <v>3</v>
      </c>
    </row>
    <row r="1922" spans="1:52" ht="55.2">
      <c r="A1922" s="3" t="s">
        <v>1966</v>
      </c>
      <c r="C1922">
        <v>2</v>
      </c>
      <c r="Y1922">
        <v>1</v>
      </c>
      <c r="AY1922">
        <f t="shared" si="60"/>
        <v>43</v>
      </c>
      <c r="AZ1922">
        <f t="shared" si="61"/>
        <v>3</v>
      </c>
    </row>
    <row r="1923" spans="1:52" ht="55.2">
      <c r="A1923" s="3" t="s">
        <v>1967</v>
      </c>
      <c r="C1923">
        <v>2</v>
      </c>
      <c r="Y1923">
        <v>1</v>
      </c>
      <c r="AY1923">
        <f t="shared" si="60"/>
        <v>43</v>
      </c>
      <c r="AZ1923">
        <f t="shared" si="61"/>
        <v>3</v>
      </c>
    </row>
    <row r="1924" spans="1:52" ht="55.2">
      <c r="A1924" s="3" t="s">
        <v>1968</v>
      </c>
      <c r="C1924">
        <v>2</v>
      </c>
      <c r="Y1924">
        <v>1</v>
      </c>
      <c r="AY1924">
        <f t="shared" si="60"/>
        <v>43</v>
      </c>
      <c r="AZ1924">
        <f t="shared" si="61"/>
        <v>3</v>
      </c>
    </row>
    <row r="1925" spans="1:52" ht="55.2">
      <c r="A1925" s="3" t="s">
        <v>1969</v>
      </c>
      <c r="C1925">
        <v>2</v>
      </c>
      <c r="Y1925">
        <v>1</v>
      </c>
      <c r="AY1925">
        <f t="shared" si="60"/>
        <v>43</v>
      </c>
      <c r="AZ1925">
        <f t="shared" si="61"/>
        <v>3</v>
      </c>
    </row>
    <row r="1926" spans="1:52" ht="55.2">
      <c r="A1926" s="3" t="s">
        <v>1970</v>
      </c>
      <c r="C1926">
        <v>2</v>
      </c>
      <c r="Y1926">
        <v>1</v>
      </c>
      <c r="AY1926">
        <f t="shared" si="60"/>
        <v>43</v>
      </c>
      <c r="AZ1926">
        <f t="shared" si="61"/>
        <v>3</v>
      </c>
    </row>
    <row r="1927" spans="1:52" ht="55.2">
      <c r="A1927" s="3" t="s">
        <v>1971</v>
      </c>
      <c r="C1927">
        <v>2</v>
      </c>
      <c r="Y1927">
        <v>1</v>
      </c>
      <c r="AY1927">
        <f t="shared" si="60"/>
        <v>43</v>
      </c>
      <c r="AZ1927">
        <f t="shared" si="61"/>
        <v>3</v>
      </c>
    </row>
    <row r="1928" spans="1:52" ht="55.2">
      <c r="A1928" s="3" t="s">
        <v>1972</v>
      </c>
      <c r="C1928">
        <v>2</v>
      </c>
      <c r="Y1928">
        <v>1</v>
      </c>
      <c r="AY1928">
        <f t="shared" si="60"/>
        <v>43</v>
      </c>
      <c r="AZ1928">
        <f t="shared" si="61"/>
        <v>3</v>
      </c>
    </row>
    <row r="1929" spans="1:52" ht="55.2">
      <c r="A1929" s="3" t="s">
        <v>1973</v>
      </c>
      <c r="C1929">
        <v>2</v>
      </c>
      <c r="Y1929">
        <v>1</v>
      </c>
      <c r="AY1929">
        <f t="shared" si="60"/>
        <v>43</v>
      </c>
      <c r="AZ1929">
        <f t="shared" si="61"/>
        <v>3</v>
      </c>
    </row>
    <row r="1930" spans="1:52" ht="55.2">
      <c r="A1930" s="3" t="s">
        <v>1974</v>
      </c>
      <c r="C1930">
        <v>2</v>
      </c>
      <c r="Y1930">
        <v>1</v>
      </c>
      <c r="AY1930">
        <f t="shared" si="60"/>
        <v>43</v>
      </c>
      <c r="AZ1930">
        <f t="shared" si="61"/>
        <v>3</v>
      </c>
    </row>
    <row r="1931" spans="1:52" ht="55.2">
      <c r="A1931" s="3" t="s">
        <v>1975</v>
      </c>
      <c r="C1931">
        <v>2</v>
      </c>
      <c r="Y1931">
        <v>1</v>
      </c>
      <c r="AY1931">
        <f t="shared" si="60"/>
        <v>43</v>
      </c>
      <c r="AZ1931">
        <f t="shared" si="61"/>
        <v>3</v>
      </c>
    </row>
    <row r="1932" spans="1:52" ht="55.2">
      <c r="A1932" s="3" t="s">
        <v>1976</v>
      </c>
      <c r="C1932">
        <v>2</v>
      </c>
      <c r="Y1932">
        <v>1</v>
      </c>
      <c r="AY1932">
        <f t="shared" si="60"/>
        <v>43</v>
      </c>
      <c r="AZ1932">
        <f t="shared" si="61"/>
        <v>3</v>
      </c>
    </row>
    <row r="1933" spans="1:52" ht="55.2">
      <c r="A1933" s="3" t="s">
        <v>1977</v>
      </c>
      <c r="C1933">
        <v>2</v>
      </c>
      <c r="J1933">
        <v>15</v>
      </c>
      <c r="AY1933">
        <f t="shared" si="60"/>
        <v>43</v>
      </c>
      <c r="AZ1933">
        <f t="shared" si="61"/>
        <v>3</v>
      </c>
    </row>
    <row r="1934" spans="1:52" ht="55.2">
      <c r="A1934" s="3" t="s">
        <v>1978</v>
      </c>
      <c r="C1934">
        <v>2</v>
      </c>
      <c r="J1934">
        <v>15</v>
      </c>
      <c r="AY1934">
        <f t="shared" si="60"/>
        <v>43</v>
      </c>
      <c r="AZ1934">
        <f t="shared" si="61"/>
        <v>3</v>
      </c>
    </row>
    <row r="1935" spans="1:52" ht="55.2">
      <c r="A1935" s="3" t="s">
        <v>1979</v>
      </c>
      <c r="C1935">
        <v>2</v>
      </c>
      <c r="J1935">
        <v>15</v>
      </c>
      <c r="AY1935">
        <f t="shared" si="60"/>
        <v>43</v>
      </c>
      <c r="AZ1935">
        <f t="shared" si="61"/>
        <v>3</v>
      </c>
    </row>
    <row r="1936" spans="1:52" ht="55.2">
      <c r="A1936" s="3" t="s">
        <v>1980</v>
      </c>
      <c r="C1936">
        <v>2</v>
      </c>
      <c r="J1936">
        <v>15</v>
      </c>
      <c r="AY1936">
        <f t="shared" si="60"/>
        <v>43</v>
      </c>
      <c r="AZ1936">
        <f t="shared" si="61"/>
        <v>3</v>
      </c>
    </row>
    <row r="1937" spans="1:52" ht="55.2">
      <c r="A1937" s="3" t="s">
        <v>1981</v>
      </c>
      <c r="C1937">
        <v>2</v>
      </c>
      <c r="J1937">
        <v>15</v>
      </c>
      <c r="AY1937">
        <f t="shared" si="60"/>
        <v>43</v>
      </c>
      <c r="AZ1937">
        <f t="shared" si="61"/>
        <v>3</v>
      </c>
    </row>
    <row r="1938" spans="1:52" ht="55.2">
      <c r="A1938" s="3" t="s">
        <v>1982</v>
      </c>
      <c r="C1938">
        <v>2</v>
      </c>
      <c r="J1938">
        <v>15</v>
      </c>
      <c r="AY1938">
        <f t="shared" si="60"/>
        <v>43</v>
      </c>
      <c r="AZ1938">
        <f t="shared" si="61"/>
        <v>3</v>
      </c>
    </row>
    <row r="1939" spans="1:52" ht="55.2">
      <c r="A1939" s="3" t="s">
        <v>1983</v>
      </c>
      <c r="C1939">
        <v>2</v>
      </c>
      <c r="J1939">
        <v>15</v>
      </c>
      <c r="AY1939">
        <f t="shared" si="60"/>
        <v>43</v>
      </c>
      <c r="AZ1939">
        <f t="shared" si="61"/>
        <v>3</v>
      </c>
    </row>
    <row r="1940" spans="1:52" ht="55.2">
      <c r="A1940" s="3" t="s">
        <v>1984</v>
      </c>
      <c r="C1940">
        <v>2</v>
      </c>
      <c r="J1940">
        <v>15</v>
      </c>
      <c r="AY1940">
        <f t="shared" si="60"/>
        <v>43</v>
      </c>
      <c r="AZ1940">
        <f t="shared" si="61"/>
        <v>3</v>
      </c>
    </row>
    <row r="1941" spans="1:52" ht="55.2">
      <c r="A1941" s="3" t="s">
        <v>1985</v>
      </c>
      <c r="C1941">
        <v>2</v>
      </c>
      <c r="J1941">
        <v>15</v>
      </c>
      <c r="AY1941">
        <f t="shared" si="60"/>
        <v>43</v>
      </c>
      <c r="AZ1941">
        <f t="shared" si="61"/>
        <v>3</v>
      </c>
    </row>
    <row r="1942" spans="1:52" ht="55.2">
      <c r="A1942" s="3" t="s">
        <v>1986</v>
      </c>
      <c r="C1942">
        <v>2</v>
      </c>
      <c r="J1942">
        <v>15</v>
      </c>
      <c r="AY1942">
        <f t="shared" si="60"/>
        <v>43</v>
      </c>
      <c r="AZ1942">
        <f t="shared" si="61"/>
        <v>3</v>
      </c>
    </row>
    <row r="1943" spans="1:52" ht="55.2">
      <c r="A1943" s="3" t="s">
        <v>1987</v>
      </c>
      <c r="C1943">
        <v>2</v>
      </c>
      <c r="J1943">
        <v>15</v>
      </c>
      <c r="AY1943">
        <f t="shared" si="60"/>
        <v>43</v>
      </c>
      <c r="AZ1943">
        <f t="shared" si="61"/>
        <v>3</v>
      </c>
    </row>
    <row r="1944" spans="1:52" ht="55.2">
      <c r="A1944" s="3" t="s">
        <v>1988</v>
      </c>
      <c r="C1944">
        <v>2</v>
      </c>
      <c r="AV1944">
        <v>2</v>
      </c>
      <c r="AY1944">
        <f t="shared" si="60"/>
        <v>43</v>
      </c>
      <c r="AZ1944">
        <f t="shared" si="61"/>
        <v>3</v>
      </c>
    </row>
    <row r="1945" spans="1:52" ht="55.2">
      <c r="A1945" s="3" t="s">
        <v>1989</v>
      </c>
      <c r="C1945">
        <v>2</v>
      </c>
      <c r="AV1945">
        <v>2</v>
      </c>
      <c r="AY1945">
        <f t="shared" si="60"/>
        <v>43</v>
      </c>
      <c r="AZ1945">
        <f t="shared" si="61"/>
        <v>3</v>
      </c>
    </row>
    <row r="1946" spans="1:52" ht="55.2">
      <c r="A1946" s="3" t="s">
        <v>1990</v>
      </c>
      <c r="C1946">
        <v>2</v>
      </c>
      <c r="AV1946">
        <v>2</v>
      </c>
      <c r="AY1946">
        <f t="shared" si="60"/>
        <v>43</v>
      </c>
      <c r="AZ1946">
        <f t="shared" si="61"/>
        <v>3</v>
      </c>
    </row>
    <row r="1947" spans="1:52" ht="55.2">
      <c r="A1947" s="3" t="s">
        <v>1991</v>
      </c>
      <c r="C1947">
        <v>2</v>
      </c>
      <c r="AV1947">
        <v>2</v>
      </c>
      <c r="AY1947">
        <f t="shared" si="60"/>
        <v>43</v>
      </c>
      <c r="AZ1947">
        <f t="shared" si="61"/>
        <v>3</v>
      </c>
    </row>
    <row r="1948" spans="1:52" ht="55.2">
      <c r="A1948" s="3" t="s">
        <v>1992</v>
      </c>
      <c r="C1948">
        <v>2</v>
      </c>
      <c r="AV1948">
        <v>2</v>
      </c>
      <c r="AY1948">
        <f t="shared" si="60"/>
        <v>43</v>
      </c>
      <c r="AZ1948">
        <f t="shared" si="61"/>
        <v>3</v>
      </c>
    </row>
    <row r="1949" spans="1:52" ht="55.2">
      <c r="A1949" s="3" t="s">
        <v>1993</v>
      </c>
      <c r="C1949">
        <v>2</v>
      </c>
      <c r="AV1949">
        <v>2</v>
      </c>
      <c r="AY1949">
        <f t="shared" si="60"/>
        <v>43</v>
      </c>
      <c r="AZ1949">
        <f t="shared" si="61"/>
        <v>3</v>
      </c>
    </row>
    <row r="1950" spans="1:52" ht="55.2">
      <c r="A1950" s="3" t="s">
        <v>1994</v>
      </c>
      <c r="C1950">
        <v>2</v>
      </c>
      <c r="AV1950">
        <v>2</v>
      </c>
      <c r="AY1950">
        <f t="shared" si="60"/>
        <v>43</v>
      </c>
      <c r="AZ1950">
        <f t="shared" si="61"/>
        <v>3</v>
      </c>
    </row>
    <row r="1951" spans="1:52" ht="55.2">
      <c r="A1951" s="3" t="s">
        <v>1995</v>
      </c>
      <c r="C1951">
        <v>2</v>
      </c>
      <c r="AV1951">
        <v>2</v>
      </c>
      <c r="AY1951">
        <f t="shared" si="60"/>
        <v>43</v>
      </c>
      <c r="AZ1951">
        <f t="shared" si="61"/>
        <v>3</v>
      </c>
    </row>
    <row r="1952" spans="1:52" ht="55.2">
      <c r="A1952" s="3" t="s">
        <v>1996</v>
      </c>
      <c r="C1952">
        <v>2</v>
      </c>
      <c r="AV1952">
        <v>2</v>
      </c>
      <c r="AY1952">
        <f t="shared" si="60"/>
        <v>43</v>
      </c>
      <c r="AZ1952">
        <f t="shared" si="61"/>
        <v>3</v>
      </c>
    </row>
    <row r="1953" spans="1:52" ht="55.2">
      <c r="A1953" s="3" t="s">
        <v>1997</v>
      </c>
      <c r="C1953">
        <v>2</v>
      </c>
      <c r="AV1953">
        <v>2</v>
      </c>
      <c r="AY1953">
        <f t="shared" ref="AY1953:AY2016" si="62">COUNTBLANK(F1953:AW1953)</f>
        <v>43</v>
      </c>
      <c r="AZ1953">
        <f t="shared" ref="AZ1953:AZ2016" si="63">COUNTBLANK(B1953:E1953)</f>
        <v>3</v>
      </c>
    </row>
    <row r="1954" spans="1:52" ht="55.2">
      <c r="A1954" s="3" t="s">
        <v>1998</v>
      </c>
      <c r="C1954">
        <v>2</v>
      </c>
      <c r="AV1954">
        <v>2</v>
      </c>
      <c r="AY1954">
        <f t="shared" si="62"/>
        <v>43</v>
      </c>
      <c r="AZ1954">
        <f t="shared" si="63"/>
        <v>3</v>
      </c>
    </row>
    <row r="1955" spans="1:52" ht="55.2">
      <c r="A1955" s="3" t="s">
        <v>1999</v>
      </c>
      <c r="C1955">
        <v>2</v>
      </c>
      <c r="AV1955">
        <v>2</v>
      </c>
      <c r="AY1955">
        <f t="shared" si="62"/>
        <v>43</v>
      </c>
      <c r="AZ1955">
        <f t="shared" si="63"/>
        <v>3</v>
      </c>
    </row>
    <row r="1956" spans="1:52" ht="55.2">
      <c r="A1956" s="3" t="s">
        <v>2000</v>
      </c>
      <c r="C1956">
        <v>2</v>
      </c>
      <c r="AV1956">
        <v>2</v>
      </c>
      <c r="AY1956">
        <f t="shared" si="62"/>
        <v>43</v>
      </c>
      <c r="AZ1956">
        <f t="shared" si="63"/>
        <v>3</v>
      </c>
    </row>
    <row r="1957" spans="1:52" ht="55.2">
      <c r="A1957" s="3" t="s">
        <v>2001</v>
      </c>
      <c r="C1957">
        <v>2</v>
      </c>
      <c r="AV1957">
        <v>2</v>
      </c>
      <c r="AY1957">
        <f t="shared" si="62"/>
        <v>43</v>
      </c>
      <c r="AZ1957">
        <f t="shared" si="63"/>
        <v>3</v>
      </c>
    </row>
    <row r="1958" spans="1:52" ht="55.2">
      <c r="A1958" s="3" t="s">
        <v>2002</v>
      </c>
      <c r="C1958">
        <v>2</v>
      </c>
      <c r="AV1958">
        <v>2</v>
      </c>
      <c r="AY1958">
        <f t="shared" si="62"/>
        <v>43</v>
      </c>
      <c r="AZ1958">
        <f t="shared" si="63"/>
        <v>3</v>
      </c>
    </row>
    <row r="1959" spans="1:52" ht="55.2">
      <c r="A1959" s="3" t="s">
        <v>2003</v>
      </c>
      <c r="C1959">
        <v>2</v>
      </c>
      <c r="AV1959">
        <v>2</v>
      </c>
      <c r="AY1959">
        <f t="shared" si="62"/>
        <v>43</v>
      </c>
      <c r="AZ1959">
        <f t="shared" si="63"/>
        <v>3</v>
      </c>
    </row>
    <row r="1960" spans="1:52" ht="55.2">
      <c r="A1960" s="3" t="s">
        <v>2004</v>
      </c>
      <c r="C1960">
        <v>2</v>
      </c>
      <c r="AV1960">
        <v>2</v>
      </c>
      <c r="AY1960">
        <f t="shared" si="62"/>
        <v>43</v>
      </c>
      <c r="AZ1960">
        <f t="shared" si="63"/>
        <v>3</v>
      </c>
    </row>
    <row r="1961" spans="1:52" ht="55.2">
      <c r="A1961" s="3" t="s">
        <v>2005</v>
      </c>
      <c r="C1961">
        <v>2</v>
      </c>
      <c r="AV1961">
        <v>2</v>
      </c>
      <c r="AY1961">
        <f t="shared" si="62"/>
        <v>43</v>
      </c>
      <c r="AZ1961">
        <f t="shared" si="63"/>
        <v>3</v>
      </c>
    </row>
    <row r="1962" spans="1:52" ht="55.2">
      <c r="A1962" s="3" t="s">
        <v>2006</v>
      </c>
      <c r="C1962">
        <v>2</v>
      </c>
      <c r="AV1962">
        <v>2</v>
      </c>
      <c r="AY1962">
        <f t="shared" si="62"/>
        <v>43</v>
      </c>
      <c r="AZ1962">
        <f t="shared" si="63"/>
        <v>3</v>
      </c>
    </row>
    <row r="1963" spans="1:52" ht="55.2">
      <c r="A1963" s="3" t="s">
        <v>2007</v>
      </c>
      <c r="C1963">
        <v>2</v>
      </c>
      <c r="AV1963">
        <v>2</v>
      </c>
      <c r="AY1963">
        <f t="shared" si="62"/>
        <v>43</v>
      </c>
      <c r="AZ1963">
        <f t="shared" si="63"/>
        <v>3</v>
      </c>
    </row>
    <row r="1964" spans="1:52" ht="55.2">
      <c r="A1964" s="3" t="s">
        <v>2008</v>
      </c>
      <c r="C1964">
        <v>2</v>
      </c>
      <c r="AV1964">
        <v>2</v>
      </c>
      <c r="AY1964">
        <f t="shared" si="62"/>
        <v>43</v>
      </c>
      <c r="AZ1964">
        <f t="shared" si="63"/>
        <v>3</v>
      </c>
    </row>
    <row r="1965" spans="1:52" ht="55.2">
      <c r="A1965" s="3" t="s">
        <v>2009</v>
      </c>
      <c r="C1965">
        <v>2</v>
      </c>
      <c r="AV1965">
        <v>2</v>
      </c>
      <c r="AY1965">
        <f t="shared" si="62"/>
        <v>43</v>
      </c>
      <c r="AZ1965">
        <f t="shared" si="63"/>
        <v>3</v>
      </c>
    </row>
    <row r="1966" spans="1:52" ht="55.2">
      <c r="A1966" s="3" t="s">
        <v>2010</v>
      </c>
      <c r="C1966">
        <v>2</v>
      </c>
      <c r="AV1966">
        <v>2</v>
      </c>
      <c r="AY1966">
        <f t="shared" si="62"/>
        <v>43</v>
      </c>
      <c r="AZ1966">
        <f t="shared" si="63"/>
        <v>3</v>
      </c>
    </row>
    <row r="1967" spans="1:52" ht="55.2">
      <c r="A1967" s="3" t="s">
        <v>2011</v>
      </c>
      <c r="C1967">
        <v>2</v>
      </c>
      <c r="AV1967">
        <v>2</v>
      </c>
      <c r="AY1967">
        <f t="shared" si="62"/>
        <v>43</v>
      </c>
      <c r="AZ1967">
        <f t="shared" si="63"/>
        <v>3</v>
      </c>
    </row>
    <row r="1968" spans="1:52" ht="55.2">
      <c r="A1968" s="3" t="s">
        <v>2012</v>
      </c>
      <c r="C1968">
        <v>2</v>
      </c>
      <c r="AV1968">
        <v>2</v>
      </c>
      <c r="AY1968">
        <f t="shared" si="62"/>
        <v>43</v>
      </c>
      <c r="AZ1968">
        <f t="shared" si="63"/>
        <v>3</v>
      </c>
    </row>
    <row r="1969" spans="1:52" ht="55.2">
      <c r="A1969" s="3" t="s">
        <v>2013</v>
      </c>
      <c r="C1969">
        <v>2</v>
      </c>
      <c r="AV1969">
        <v>2</v>
      </c>
      <c r="AY1969">
        <f t="shared" si="62"/>
        <v>43</v>
      </c>
      <c r="AZ1969">
        <f t="shared" si="63"/>
        <v>3</v>
      </c>
    </row>
    <row r="1970" spans="1:52" ht="55.2">
      <c r="A1970" s="3" t="s">
        <v>2014</v>
      </c>
      <c r="C1970">
        <v>2</v>
      </c>
      <c r="AV1970">
        <v>2</v>
      </c>
      <c r="AY1970">
        <f t="shared" si="62"/>
        <v>43</v>
      </c>
      <c r="AZ1970">
        <f t="shared" si="63"/>
        <v>3</v>
      </c>
    </row>
    <row r="1971" spans="1:52" ht="55.2">
      <c r="A1971" s="3" t="s">
        <v>2015</v>
      </c>
      <c r="C1971">
        <v>2</v>
      </c>
      <c r="AV1971">
        <v>2</v>
      </c>
      <c r="AY1971">
        <f t="shared" si="62"/>
        <v>43</v>
      </c>
      <c r="AZ1971">
        <f t="shared" si="63"/>
        <v>3</v>
      </c>
    </row>
    <row r="1972" spans="1:52" ht="55.2">
      <c r="A1972" s="3" t="s">
        <v>2016</v>
      </c>
      <c r="C1972">
        <v>2</v>
      </c>
      <c r="AV1972">
        <v>2</v>
      </c>
      <c r="AY1972">
        <f t="shared" si="62"/>
        <v>43</v>
      </c>
      <c r="AZ1972">
        <f t="shared" si="63"/>
        <v>3</v>
      </c>
    </row>
    <row r="1973" spans="1:52" ht="55.2">
      <c r="A1973" s="3" t="s">
        <v>2017</v>
      </c>
      <c r="C1973">
        <v>2</v>
      </c>
      <c r="AV1973">
        <v>2</v>
      </c>
      <c r="AY1973">
        <f t="shared" si="62"/>
        <v>43</v>
      </c>
      <c r="AZ1973">
        <f t="shared" si="63"/>
        <v>3</v>
      </c>
    </row>
    <row r="1974" spans="1:52" ht="55.2">
      <c r="A1974" s="3" t="s">
        <v>2018</v>
      </c>
      <c r="C1974">
        <v>2</v>
      </c>
      <c r="AV1974">
        <v>2</v>
      </c>
      <c r="AY1974">
        <f t="shared" si="62"/>
        <v>43</v>
      </c>
      <c r="AZ1974">
        <f t="shared" si="63"/>
        <v>3</v>
      </c>
    </row>
    <row r="1975" spans="1:52" ht="55.2">
      <c r="A1975" s="3" t="s">
        <v>2019</v>
      </c>
      <c r="C1975">
        <v>2</v>
      </c>
      <c r="AV1975">
        <v>2</v>
      </c>
      <c r="AY1975">
        <f t="shared" si="62"/>
        <v>43</v>
      </c>
      <c r="AZ1975">
        <f t="shared" si="63"/>
        <v>3</v>
      </c>
    </row>
    <row r="1976" spans="1:52" ht="55.2">
      <c r="A1976" s="3" t="s">
        <v>2020</v>
      </c>
      <c r="C1976">
        <v>2</v>
      </c>
      <c r="AV1976">
        <v>2</v>
      </c>
      <c r="AY1976">
        <f t="shared" si="62"/>
        <v>43</v>
      </c>
      <c r="AZ1976">
        <f t="shared" si="63"/>
        <v>3</v>
      </c>
    </row>
    <row r="1977" spans="1:52" ht="55.2">
      <c r="A1977" s="3" t="s">
        <v>2021</v>
      </c>
      <c r="C1977">
        <v>2</v>
      </c>
      <c r="AV1977">
        <v>2</v>
      </c>
      <c r="AY1977">
        <f t="shared" si="62"/>
        <v>43</v>
      </c>
      <c r="AZ1977">
        <f t="shared" si="63"/>
        <v>3</v>
      </c>
    </row>
    <row r="1978" spans="1:52" ht="55.2">
      <c r="A1978" s="3" t="s">
        <v>2022</v>
      </c>
      <c r="C1978">
        <v>2</v>
      </c>
      <c r="AV1978">
        <v>2</v>
      </c>
      <c r="AY1978">
        <f t="shared" si="62"/>
        <v>43</v>
      </c>
      <c r="AZ1978">
        <f t="shared" si="63"/>
        <v>3</v>
      </c>
    </row>
    <row r="1979" spans="1:52" ht="55.2">
      <c r="A1979" s="3" t="s">
        <v>2023</v>
      </c>
      <c r="C1979">
        <v>2</v>
      </c>
      <c r="AV1979">
        <v>2</v>
      </c>
      <c r="AY1979">
        <f t="shared" si="62"/>
        <v>43</v>
      </c>
      <c r="AZ1979">
        <f t="shared" si="63"/>
        <v>3</v>
      </c>
    </row>
    <row r="1980" spans="1:52" ht="55.2">
      <c r="A1980" s="3" t="s">
        <v>2024</v>
      </c>
      <c r="C1980">
        <v>2</v>
      </c>
      <c r="AV1980">
        <v>2</v>
      </c>
      <c r="AY1980">
        <f t="shared" si="62"/>
        <v>43</v>
      </c>
      <c r="AZ1980">
        <f t="shared" si="63"/>
        <v>3</v>
      </c>
    </row>
    <row r="1981" spans="1:52" ht="55.2">
      <c r="A1981" s="3" t="s">
        <v>2025</v>
      </c>
      <c r="C1981">
        <v>2</v>
      </c>
      <c r="AV1981">
        <v>2</v>
      </c>
      <c r="AY1981">
        <f t="shared" si="62"/>
        <v>43</v>
      </c>
      <c r="AZ1981">
        <f t="shared" si="63"/>
        <v>3</v>
      </c>
    </row>
    <row r="1982" spans="1:52" ht="55.2">
      <c r="A1982" s="3" t="s">
        <v>2026</v>
      </c>
      <c r="C1982">
        <v>2</v>
      </c>
      <c r="AV1982">
        <v>2</v>
      </c>
      <c r="AY1982">
        <f t="shared" si="62"/>
        <v>43</v>
      </c>
      <c r="AZ1982">
        <f t="shared" si="63"/>
        <v>3</v>
      </c>
    </row>
    <row r="1983" spans="1:52" ht="55.2">
      <c r="A1983" s="3" t="s">
        <v>2027</v>
      </c>
      <c r="C1983">
        <v>2</v>
      </c>
      <c r="AV1983">
        <v>2</v>
      </c>
      <c r="AY1983">
        <f t="shared" si="62"/>
        <v>43</v>
      </c>
      <c r="AZ1983">
        <f t="shared" si="63"/>
        <v>3</v>
      </c>
    </row>
    <row r="1984" spans="1:52" ht="55.2">
      <c r="A1984" s="3" t="s">
        <v>2028</v>
      </c>
      <c r="C1984">
        <v>2</v>
      </c>
      <c r="AV1984">
        <v>2</v>
      </c>
      <c r="AY1984">
        <f t="shared" si="62"/>
        <v>43</v>
      </c>
      <c r="AZ1984">
        <f t="shared" si="63"/>
        <v>3</v>
      </c>
    </row>
    <row r="1985" spans="1:52" ht="55.2">
      <c r="A1985" s="3" t="s">
        <v>2029</v>
      </c>
      <c r="C1985">
        <v>2</v>
      </c>
      <c r="AV1985">
        <v>2</v>
      </c>
      <c r="AY1985">
        <f t="shared" si="62"/>
        <v>43</v>
      </c>
      <c r="AZ1985">
        <f t="shared" si="63"/>
        <v>3</v>
      </c>
    </row>
    <row r="1986" spans="1:52" ht="55.2">
      <c r="A1986" s="3" t="s">
        <v>2030</v>
      </c>
      <c r="C1986">
        <v>2</v>
      </c>
      <c r="AV1986">
        <v>2</v>
      </c>
      <c r="AY1986">
        <f t="shared" si="62"/>
        <v>43</v>
      </c>
      <c r="AZ1986">
        <f t="shared" si="63"/>
        <v>3</v>
      </c>
    </row>
    <row r="1987" spans="1:52" ht="55.2">
      <c r="A1987" s="3" t="s">
        <v>2031</v>
      </c>
      <c r="C1987">
        <v>2</v>
      </c>
      <c r="AV1987">
        <v>2</v>
      </c>
      <c r="AY1987">
        <f t="shared" si="62"/>
        <v>43</v>
      </c>
      <c r="AZ1987">
        <f t="shared" si="63"/>
        <v>3</v>
      </c>
    </row>
    <row r="1988" spans="1:52" ht="55.2">
      <c r="A1988" s="3" t="s">
        <v>2032</v>
      </c>
      <c r="C1988">
        <v>2</v>
      </c>
      <c r="AV1988">
        <v>2</v>
      </c>
      <c r="AY1988">
        <f t="shared" si="62"/>
        <v>43</v>
      </c>
      <c r="AZ1988">
        <f t="shared" si="63"/>
        <v>3</v>
      </c>
    </row>
    <row r="1989" spans="1:52" ht="55.2">
      <c r="A1989" s="3" t="s">
        <v>2033</v>
      </c>
      <c r="C1989">
        <v>2</v>
      </c>
      <c r="AV1989">
        <v>2</v>
      </c>
      <c r="AY1989">
        <f t="shared" si="62"/>
        <v>43</v>
      </c>
      <c r="AZ1989">
        <f t="shared" si="63"/>
        <v>3</v>
      </c>
    </row>
    <row r="1990" spans="1:52" ht="55.2">
      <c r="A1990" s="3" t="s">
        <v>2034</v>
      </c>
      <c r="C1990">
        <v>2</v>
      </c>
      <c r="AV1990">
        <v>2</v>
      </c>
      <c r="AY1990">
        <f t="shared" si="62"/>
        <v>43</v>
      </c>
      <c r="AZ1990">
        <f t="shared" si="63"/>
        <v>3</v>
      </c>
    </row>
    <row r="1991" spans="1:52" ht="55.2">
      <c r="A1991" s="3" t="s">
        <v>2035</v>
      </c>
      <c r="C1991">
        <v>2</v>
      </c>
      <c r="AV1991">
        <v>2</v>
      </c>
      <c r="AY1991">
        <f t="shared" si="62"/>
        <v>43</v>
      </c>
      <c r="AZ1991">
        <f t="shared" si="63"/>
        <v>3</v>
      </c>
    </row>
    <row r="1992" spans="1:52" ht="55.2">
      <c r="A1992" s="3" t="s">
        <v>2036</v>
      </c>
      <c r="C1992">
        <v>2</v>
      </c>
      <c r="AV1992">
        <v>2</v>
      </c>
      <c r="AY1992">
        <f t="shared" si="62"/>
        <v>43</v>
      </c>
      <c r="AZ1992">
        <f t="shared" si="63"/>
        <v>3</v>
      </c>
    </row>
    <row r="1993" spans="1:52" ht="55.2">
      <c r="A1993" s="3" t="s">
        <v>2037</v>
      </c>
      <c r="C1993">
        <v>2</v>
      </c>
      <c r="AV1993">
        <v>2</v>
      </c>
      <c r="AY1993">
        <f t="shared" si="62"/>
        <v>43</v>
      </c>
      <c r="AZ1993">
        <f t="shared" si="63"/>
        <v>3</v>
      </c>
    </row>
    <row r="1994" spans="1:52" ht="55.2">
      <c r="A1994" s="3" t="s">
        <v>2038</v>
      </c>
      <c r="C1994">
        <v>2</v>
      </c>
      <c r="AV1994">
        <v>2</v>
      </c>
      <c r="AY1994">
        <f t="shared" si="62"/>
        <v>43</v>
      </c>
      <c r="AZ1994">
        <f t="shared" si="63"/>
        <v>3</v>
      </c>
    </row>
    <row r="1995" spans="1:52" ht="55.2">
      <c r="A1995" s="3" t="s">
        <v>2039</v>
      </c>
      <c r="C1995">
        <v>2</v>
      </c>
      <c r="AV1995">
        <v>2</v>
      </c>
      <c r="AY1995">
        <f t="shared" si="62"/>
        <v>43</v>
      </c>
      <c r="AZ1995">
        <f t="shared" si="63"/>
        <v>3</v>
      </c>
    </row>
    <row r="1996" spans="1:52" ht="55.2">
      <c r="A1996" s="3" t="s">
        <v>2040</v>
      </c>
      <c r="C1996">
        <v>2</v>
      </c>
      <c r="AV1996">
        <v>2</v>
      </c>
      <c r="AY1996">
        <f t="shared" si="62"/>
        <v>43</v>
      </c>
      <c r="AZ1996">
        <f t="shared" si="63"/>
        <v>3</v>
      </c>
    </row>
    <row r="1997" spans="1:52" ht="55.2">
      <c r="A1997" s="3" t="s">
        <v>2041</v>
      </c>
      <c r="C1997">
        <v>2</v>
      </c>
      <c r="L1997">
        <v>2</v>
      </c>
      <c r="AY1997">
        <f t="shared" si="62"/>
        <v>43</v>
      </c>
      <c r="AZ1997">
        <f t="shared" si="63"/>
        <v>3</v>
      </c>
    </row>
    <row r="1998" spans="1:52" ht="55.2">
      <c r="A1998" s="3" t="s">
        <v>2042</v>
      </c>
      <c r="C1998">
        <v>2</v>
      </c>
      <c r="L1998">
        <v>2</v>
      </c>
      <c r="AY1998">
        <f t="shared" si="62"/>
        <v>43</v>
      </c>
      <c r="AZ1998">
        <f t="shared" si="63"/>
        <v>3</v>
      </c>
    </row>
    <row r="1999" spans="1:52" ht="55.2">
      <c r="A1999" s="3" t="s">
        <v>2043</v>
      </c>
      <c r="C1999">
        <v>2</v>
      </c>
      <c r="L1999">
        <v>2</v>
      </c>
      <c r="AY1999">
        <f t="shared" si="62"/>
        <v>43</v>
      </c>
      <c r="AZ1999">
        <f t="shared" si="63"/>
        <v>3</v>
      </c>
    </row>
    <row r="2000" spans="1:52" ht="55.2">
      <c r="A2000" s="3" t="s">
        <v>2044</v>
      </c>
      <c r="C2000">
        <v>2</v>
      </c>
      <c r="L2000">
        <v>2</v>
      </c>
      <c r="AY2000">
        <f t="shared" si="62"/>
        <v>43</v>
      </c>
      <c r="AZ2000">
        <f t="shared" si="63"/>
        <v>3</v>
      </c>
    </row>
    <row r="2001" spans="1:52" ht="55.2">
      <c r="A2001" s="3" t="s">
        <v>2045</v>
      </c>
      <c r="C2001">
        <v>2</v>
      </c>
      <c r="L2001">
        <v>2</v>
      </c>
      <c r="AY2001">
        <f t="shared" si="62"/>
        <v>43</v>
      </c>
      <c r="AZ2001">
        <f t="shared" si="63"/>
        <v>3</v>
      </c>
    </row>
    <row r="2002" spans="1:52" ht="55.2">
      <c r="A2002" s="3" t="s">
        <v>2046</v>
      </c>
      <c r="C2002">
        <v>2</v>
      </c>
      <c r="L2002">
        <v>2</v>
      </c>
      <c r="AY2002">
        <f t="shared" si="62"/>
        <v>43</v>
      </c>
      <c r="AZ2002">
        <f t="shared" si="63"/>
        <v>3</v>
      </c>
    </row>
    <row r="2003" spans="1:52" ht="55.2">
      <c r="A2003" s="3" t="s">
        <v>2047</v>
      </c>
      <c r="C2003">
        <v>2</v>
      </c>
      <c r="L2003">
        <v>2</v>
      </c>
      <c r="AY2003">
        <f t="shared" si="62"/>
        <v>43</v>
      </c>
      <c r="AZ2003">
        <f t="shared" si="63"/>
        <v>3</v>
      </c>
    </row>
    <row r="2004" spans="1:52" ht="55.2">
      <c r="A2004" s="3" t="s">
        <v>2048</v>
      </c>
      <c r="C2004">
        <v>2</v>
      </c>
      <c r="L2004">
        <v>2</v>
      </c>
      <c r="AY2004">
        <f t="shared" si="62"/>
        <v>43</v>
      </c>
      <c r="AZ2004">
        <f t="shared" si="63"/>
        <v>3</v>
      </c>
    </row>
    <row r="2005" spans="1:52" ht="55.2">
      <c r="A2005" s="3" t="s">
        <v>2049</v>
      </c>
      <c r="C2005">
        <v>2</v>
      </c>
      <c r="L2005">
        <v>2</v>
      </c>
      <c r="AY2005">
        <f t="shared" si="62"/>
        <v>43</v>
      </c>
      <c r="AZ2005">
        <f t="shared" si="63"/>
        <v>3</v>
      </c>
    </row>
    <row r="2006" spans="1:52" ht="55.2">
      <c r="A2006" s="3" t="s">
        <v>2050</v>
      </c>
      <c r="C2006">
        <v>2</v>
      </c>
      <c r="L2006">
        <v>2</v>
      </c>
      <c r="AY2006">
        <f t="shared" si="62"/>
        <v>43</v>
      </c>
      <c r="AZ2006">
        <f t="shared" si="63"/>
        <v>3</v>
      </c>
    </row>
    <row r="2007" spans="1:52" ht="55.2">
      <c r="A2007" s="3" t="s">
        <v>2051</v>
      </c>
      <c r="C2007">
        <v>2</v>
      </c>
      <c r="L2007">
        <v>2</v>
      </c>
      <c r="AY2007">
        <f t="shared" si="62"/>
        <v>43</v>
      </c>
      <c r="AZ2007">
        <f t="shared" si="63"/>
        <v>3</v>
      </c>
    </row>
    <row r="2008" spans="1:52" ht="55.2">
      <c r="A2008" s="3" t="s">
        <v>2052</v>
      </c>
      <c r="C2008">
        <v>2</v>
      </c>
      <c r="L2008">
        <v>2</v>
      </c>
      <c r="AY2008">
        <f t="shared" si="62"/>
        <v>43</v>
      </c>
      <c r="AZ2008">
        <f t="shared" si="63"/>
        <v>3</v>
      </c>
    </row>
    <row r="2009" spans="1:52" ht="55.2">
      <c r="A2009" s="3" t="s">
        <v>2053</v>
      </c>
      <c r="C2009">
        <v>2</v>
      </c>
      <c r="L2009">
        <v>2</v>
      </c>
      <c r="AY2009">
        <f t="shared" si="62"/>
        <v>43</v>
      </c>
      <c r="AZ2009">
        <f t="shared" si="63"/>
        <v>3</v>
      </c>
    </row>
    <row r="2010" spans="1:52" ht="55.2">
      <c r="A2010" s="3" t="s">
        <v>2054</v>
      </c>
      <c r="C2010">
        <v>2</v>
      </c>
      <c r="L2010">
        <v>2</v>
      </c>
      <c r="AY2010">
        <f t="shared" si="62"/>
        <v>43</v>
      </c>
      <c r="AZ2010">
        <f t="shared" si="63"/>
        <v>3</v>
      </c>
    </row>
    <row r="2011" spans="1:52" ht="55.2">
      <c r="A2011" s="3" t="s">
        <v>2055</v>
      </c>
      <c r="C2011">
        <v>2</v>
      </c>
      <c r="L2011">
        <v>2</v>
      </c>
      <c r="AY2011">
        <f t="shared" si="62"/>
        <v>43</v>
      </c>
      <c r="AZ2011">
        <f t="shared" si="63"/>
        <v>3</v>
      </c>
    </row>
    <row r="2012" spans="1:52" ht="55.2">
      <c r="A2012" s="3" t="s">
        <v>2056</v>
      </c>
      <c r="C2012">
        <v>2</v>
      </c>
      <c r="L2012">
        <v>2</v>
      </c>
      <c r="AY2012">
        <f t="shared" si="62"/>
        <v>43</v>
      </c>
      <c r="AZ2012">
        <f t="shared" si="63"/>
        <v>3</v>
      </c>
    </row>
    <row r="2013" spans="1:52" ht="55.2">
      <c r="A2013" s="3" t="s">
        <v>2057</v>
      </c>
      <c r="C2013">
        <v>2</v>
      </c>
      <c r="L2013">
        <v>2</v>
      </c>
      <c r="AY2013">
        <f t="shared" si="62"/>
        <v>43</v>
      </c>
      <c r="AZ2013">
        <f t="shared" si="63"/>
        <v>3</v>
      </c>
    </row>
    <row r="2014" spans="1:52" ht="55.2">
      <c r="A2014" s="3" t="s">
        <v>2058</v>
      </c>
      <c r="C2014">
        <v>2</v>
      </c>
      <c r="L2014">
        <v>2</v>
      </c>
      <c r="AY2014">
        <f t="shared" si="62"/>
        <v>43</v>
      </c>
      <c r="AZ2014">
        <f t="shared" si="63"/>
        <v>3</v>
      </c>
    </row>
    <row r="2015" spans="1:52" ht="55.2">
      <c r="A2015" s="3" t="s">
        <v>2059</v>
      </c>
      <c r="C2015">
        <v>2</v>
      </c>
      <c r="L2015">
        <v>2</v>
      </c>
      <c r="AY2015">
        <f t="shared" si="62"/>
        <v>43</v>
      </c>
      <c r="AZ2015">
        <f t="shared" si="63"/>
        <v>3</v>
      </c>
    </row>
    <row r="2016" spans="1:52" ht="55.2">
      <c r="A2016" s="3" t="s">
        <v>2060</v>
      </c>
      <c r="C2016">
        <v>2</v>
      </c>
      <c r="L2016">
        <v>2</v>
      </c>
      <c r="AY2016">
        <f t="shared" si="62"/>
        <v>43</v>
      </c>
      <c r="AZ2016">
        <f t="shared" si="63"/>
        <v>3</v>
      </c>
    </row>
    <row r="2017" spans="1:52" ht="55.2">
      <c r="A2017" s="3" t="s">
        <v>2061</v>
      </c>
      <c r="C2017">
        <v>2</v>
      </c>
      <c r="L2017">
        <v>2</v>
      </c>
      <c r="AY2017">
        <f t="shared" ref="AY2017:AY2080" si="64">COUNTBLANK(F2017:AW2017)</f>
        <v>43</v>
      </c>
      <c r="AZ2017">
        <f t="shared" ref="AZ2017:AZ2080" si="65">COUNTBLANK(B2017:E2017)</f>
        <v>3</v>
      </c>
    </row>
    <row r="2018" spans="1:52" ht="55.2">
      <c r="A2018" s="3" t="s">
        <v>2062</v>
      </c>
      <c r="C2018">
        <v>2</v>
      </c>
      <c r="G2018">
        <v>1</v>
      </c>
      <c r="L2018">
        <v>2</v>
      </c>
      <c r="AY2018">
        <f t="shared" si="64"/>
        <v>42</v>
      </c>
      <c r="AZ2018">
        <f t="shared" si="65"/>
        <v>3</v>
      </c>
    </row>
    <row r="2019" spans="1:52" ht="55.2">
      <c r="A2019" s="3" t="s">
        <v>2063</v>
      </c>
      <c r="C2019">
        <v>2</v>
      </c>
      <c r="G2019">
        <v>1</v>
      </c>
      <c r="L2019">
        <v>2</v>
      </c>
      <c r="AY2019">
        <f t="shared" si="64"/>
        <v>42</v>
      </c>
      <c r="AZ2019">
        <f t="shared" si="65"/>
        <v>3</v>
      </c>
    </row>
    <row r="2020" spans="1:52" ht="55.2">
      <c r="A2020" s="3" t="s">
        <v>2064</v>
      </c>
      <c r="C2020">
        <v>2</v>
      </c>
      <c r="G2020">
        <v>1</v>
      </c>
      <c r="L2020">
        <v>2</v>
      </c>
      <c r="AY2020">
        <f t="shared" si="64"/>
        <v>42</v>
      </c>
      <c r="AZ2020">
        <f t="shared" si="65"/>
        <v>3</v>
      </c>
    </row>
    <row r="2021" spans="1:52" ht="55.2">
      <c r="A2021" s="3" t="s">
        <v>2065</v>
      </c>
      <c r="C2021">
        <v>2</v>
      </c>
      <c r="G2021">
        <v>1</v>
      </c>
      <c r="L2021">
        <v>2</v>
      </c>
      <c r="AY2021">
        <f t="shared" si="64"/>
        <v>42</v>
      </c>
      <c r="AZ2021">
        <f t="shared" si="65"/>
        <v>3</v>
      </c>
    </row>
    <row r="2022" spans="1:52" ht="55.2">
      <c r="A2022" s="3" t="s">
        <v>2066</v>
      </c>
      <c r="C2022">
        <v>2</v>
      </c>
      <c r="G2022">
        <v>1</v>
      </c>
      <c r="L2022">
        <v>2</v>
      </c>
      <c r="AY2022">
        <f t="shared" si="64"/>
        <v>42</v>
      </c>
      <c r="AZ2022">
        <f t="shared" si="65"/>
        <v>3</v>
      </c>
    </row>
    <row r="2023" spans="1:52" ht="55.2">
      <c r="A2023" s="3" t="s">
        <v>2067</v>
      </c>
      <c r="C2023">
        <v>2</v>
      </c>
      <c r="G2023">
        <v>1</v>
      </c>
      <c r="L2023">
        <v>2</v>
      </c>
      <c r="AY2023">
        <f t="shared" si="64"/>
        <v>42</v>
      </c>
      <c r="AZ2023">
        <f t="shared" si="65"/>
        <v>3</v>
      </c>
    </row>
    <row r="2024" spans="1:52" ht="55.2">
      <c r="A2024" s="3" t="s">
        <v>2068</v>
      </c>
      <c r="C2024">
        <v>2</v>
      </c>
      <c r="G2024">
        <v>1</v>
      </c>
      <c r="L2024">
        <v>2</v>
      </c>
      <c r="AY2024">
        <f t="shared" si="64"/>
        <v>42</v>
      </c>
      <c r="AZ2024">
        <f t="shared" si="65"/>
        <v>3</v>
      </c>
    </row>
    <row r="2025" spans="1:52" ht="55.2">
      <c r="A2025" s="3" t="s">
        <v>2069</v>
      </c>
      <c r="C2025">
        <v>2</v>
      </c>
      <c r="G2025">
        <v>1</v>
      </c>
      <c r="L2025">
        <v>2</v>
      </c>
      <c r="AY2025">
        <f t="shared" si="64"/>
        <v>42</v>
      </c>
      <c r="AZ2025">
        <f t="shared" si="65"/>
        <v>3</v>
      </c>
    </row>
    <row r="2026" spans="1:52" ht="55.2">
      <c r="A2026" s="3" t="s">
        <v>2070</v>
      </c>
      <c r="C2026">
        <v>2</v>
      </c>
      <c r="G2026">
        <v>1</v>
      </c>
      <c r="L2026">
        <v>2</v>
      </c>
      <c r="AY2026">
        <f t="shared" si="64"/>
        <v>42</v>
      </c>
      <c r="AZ2026">
        <f t="shared" si="65"/>
        <v>3</v>
      </c>
    </row>
    <row r="2027" spans="1:52" ht="55.2">
      <c r="A2027" s="3" t="s">
        <v>2071</v>
      </c>
      <c r="C2027">
        <v>2</v>
      </c>
      <c r="G2027">
        <v>1</v>
      </c>
      <c r="L2027">
        <v>2</v>
      </c>
      <c r="AY2027">
        <f t="shared" si="64"/>
        <v>42</v>
      </c>
      <c r="AZ2027">
        <f t="shared" si="65"/>
        <v>3</v>
      </c>
    </row>
    <row r="2028" spans="1:52" ht="55.2">
      <c r="A2028" s="3" t="s">
        <v>2072</v>
      </c>
      <c r="C2028">
        <v>2</v>
      </c>
      <c r="G2028">
        <v>1</v>
      </c>
      <c r="L2028">
        <v>2</v>
      </c>
      <c r="AY2028">
        <f t="shared" si="64"/>
        <v>42</v>
      </c>
      <c r="AZ2028">
        <f t="shared" si="65"/>
        <v>3</v>
      </c>
    </row>
    <row r="2029" spans="1:52" ht="55.2">
      <c r="A2029" s="3" t="s">
        <v>2073</v>
      </c>
      <c r="C2029">
        <v>2</v>
      </c>
      <c r="G2029">
        <v>1</v>
      </c>
      <c r="L2029">
        <v>2</v>
      </c>
      <c r="AY2029">
        <f t="shared" si="64"/>
        <v>42</v>
      </c>
      <c r="AZ2029">
        <f t="shared" si="65"/>
        <v>3</v>
      </c>
    </row>
    <row r="2030" spans="1:52" ht="55.2">
      <c r="A2030" s="3" t="s">
        <v>2074</v>
      </c>
      <c r="C2030">
        <v>2</v>
      </c>
      <c r="G2030">
        <v>1</v>
      </c>
      <c r="L2030">
        <v>2</v>
      </c>
      <c r="AY2030">
        <f t="shared" si="64"/>
        <v>42</v>
      </c>
      <c r="AZ2030">
        <f t="shared" si="65"/>
        <v>3</v>
      </c>
    </row>
    <row r="2031" spans="1:52" ht="55.2">
      <c r="A2031" s="3" t="s">
        <v>2075</v>
      </c>
      <c r="C2031">
        <v>2</v>
      </c>
      <c r="G2031">
        <v>1</v>
      </c>
      <c r="L2031">
        <v>2</v>
      </c>
      <c r="AY2031">
        <f t="shared" si="64"/>
        <v>42</v>
      </c>
      <c r="AZ2031">
        <f t="shared" si="65"/>
        <v>3</v>
      </c>
    </row>
    <row r="2032" spans="1:52" ht="55.2">
      <c r="A2032" s="3" t="s">
        <v>2076</v>
      </c>
      <c r="C2032">
        <v>2</v>
      </c>
      <c r="G2032">
        <v>1</v>
      </c>
      <c r="L2032">
        <v>2</v>
      </c>
      <c r="AY2032">
        <f t="shared" si="64"/>
        <v>42</v>
      </c>
      <c r="AZ2032">
        <f t="shared" si="65"/>
        <v>3</v>
      </c>
    </row>
    <row r="2033" spans="1:52" ht="55.2">
      <c r="A2033" s="3" t="s">
        <v>2077</v>
      </c>
      <c r="C2033">
        <v>2</v>
      </c>
      <c r="G2033">
        <v>1</v>
      </c>
      <c r="L2033">
        <v>2</v>
      </c>
      <c r="AY2033">
        <f t="shared" si="64"/>
        <v>42</v>
      </c>
      <c r="AZ2033">
        <f t="shared" si="65"/>
        <v>3</v>
      </c>
    </row>
    <row r="2034" spans="1:52" ht="55.2">
      <c r="A2034" s="3" t="s">
        <v>2078</v>
      </c>
      <c r="C2034">
        <v>2</v>
      </c>
      <c r="G2034">
        <v>1</v>
      </c>
      <c r="L2034">
        <v>2</v>
      </c>
      <c r="AY2034">
        <f t="shared" si="64"/>
        <v>42</v>
      </c>
      <c r="AZ2034">
        <f t="shared" si="65"/>
        <v>3</v>
      </c>
    </row>
    <row r="2035" spans="1:52" ht="55.2">
      <c r="A2035" s="3" t="s">
        <v>2079</v>
      </c>
      <c r="C2035">
        <v>2</v>
      </c>
      <c r="L2035">
        <v>2</v>
      </c>
      <c r="AY2035">
        <f t="shared" si="64"/>
        <v>43</v>
      </c>
      <c r="AZ2035">
        <f t="shared" si="65"/>
        <v>3</v>
      </c>
    </row>
    <row r="2036" spans="1:52" ht="55.2">
      <c r="A2036" s="3" t="s">
        <v>2080</v>
      </c>
      <c r="C2036">
        <v>2</v>
      </c>
      <c r="L2036">
        <v>2</v>
      </c>
      <c r="AY2036">
        <f t="shared" si="64"/>
        <v>43</v>
      </c>
      <c r="AZ2036">
        <f t="shared" si="65"/>
        <v>3</v>
      </c>
    </row>
    <row r="2037" spans="1:52" ht="55.2">
      <c r="A2037" s="3" t="s">
        <v>2081</v>
      </c>
      <c r="C2037">
        <v>2</v>
      </c>
      <c r="L2037">
        <v>2</v>
      </c>
      <c r="AY2037">
        <f t="shared" si="64"/>
        <v>43</v>
      </c>
      <c r="AZ2037">
        <f t="shared" si="65"/>
        <v>3</v>
      </c>
    </row>
    <row r="2038" spans="1:52" ht="55.2">
      <c r="A2038" s="3" t="s">
        <v>2082</v>
      </c>
      <c r="C2038">
        <v>2</v>
      </c>
      <c r="L2038">
        <v>2</v>
      </c>
      <c r="AY2038">
        <f t="shared" si="64"/>
        <v>43</v>
      </c>
      <c r="AZ2038">
        <f t="shared" si="65"/>
        <v>3</v>
      </c>
    </row>
    <row r="2039" spans="1:52" ht="55.2">
      <c r="A2039" s="3" t="s">
        <v>2083</v>
      </c>
      <c r="C2039">
        <v>2</v>
      </c>
      <c r="L2039">
        <v>2</v>
      </c>
      <c r="AY2039">
        <f t="shared" si="64"/>
        <v>43</v>
      </c>
      <c r="AZ2039">
        <f t="shared" si="65"/>
        <v>3</v>
      </c>
    </row>
    <row r="2040" spans="1:52" ht="55.2">
      <c r="A2040" s="3" t="s">
        <v>2084</v>
      </c>
      <c r="C2040">
        <v>2</v>
      </c>
      <c r="L2040">
        <v>2</v>
      </c>
      <c r="AY2040">
        <f t="shared" si="64"/>
        <v>43</v>
      </c>
      <c r="AZ2040">
        <f t="shared" si="65"/>
        <v>3</v>
      </c>
    </row>
    <row r="2041" spans="1:52" ht="55.2">
      <c r="A2041" s="3" t="s">
        <v>2085</v>
      </c>
      <c r="C2041">
        <v>2</v>
      </c>
      <c r="L2041">
        <v>2</v>
      </c>
      <c r="AY2041">
        <f t="shared" si="64"/>
        <v>43</v>
      </c>
      <c r="AZ2041">
        <f t="shared" si="65"/>
        <v>3</v>
      </c>
    </row>
    <row r="2042" spans="1:52" ht="55.2">
      <c r="A2042" s="3" t="s">
        <v>2086</v>
      </c>
      <c r="C2042">
        <v>2</v>
      </c>
      <c r="L2042">
        <v>2</v>
      </c>
      <c r="AY2042">
        <f t="shared" si="64"/>
        <v>43</v>
      </c>
      <c r="AZ2042">
        <f t="shared" si="65"/>
        <v>3</v>
      </c>
    </row>
    <row r="2043" spans="1:52" ht="55.2">
      <c r="A2043" s="3" t="s">
        <v>2087</v>
      </c>
      <c r="C2043">
        <v>2</v>
      </c>
      <c r="L2043">
        <v>2</v>
      </c>
      <c r="AY2043">
        <f t="shared" si="64"/>
        <v>43</v>
      </c>
      <c r="AZ2043">
        <f t="shared" si="65"/>
        <v>3</v>
      </c>
    </row>
    <row r="2044" spans="1:52" ht="55.2">
      <c r="A2044" s="3" t="s">
        <v>2088</v>
      </c>
      <c r="C2044">
        <v>2</v>
      </c>
      <c r="L2044">
        <v>2</v>
      </c>
      <c r="AY2044">
        <f t="shared" si="64"/>
        <v>43</v>
      </c>
      <c r="AZ2044">
        <f t="shared" si="65"/>
        <v>3</v>
      </c>
    </row>
    <row r="2045" spans="1:52" ht="55.2">
      <c r="A2045" s="3" t="s">
        <v>2089</v>
      </c>
      <c r="C2045">
        <v>2</v>
      </c>
      <c r="L2045">
        <v>2</v>
      </c>
      <c r="AY2045">
        <f t="shared" si="64"/>
        <v>43</v>
      </c>
      <c r="AZ2045">
        <f t="shared" si="65"/>
        <v>3</v>
      </c>
    </row>
    <row r="2046" spans="1:52" ht="55.2">
      <c r="A2046" s="3" t="s">
        <v>2090</v>
      </c>
      <c r="C2046">
        <v>2</v>
      </c>
      <c r="L2046">
        <v>2</v>
      </c>
      <c r="AY2046">
        <f t="shared" si="64"/>
        <v>43</v>
      </c>
      <c r="AZ2046">
        <f t="shared" si="65"/>
        <v>3</v>
      </c>
    </row>
    <row r="2047" spans="1:52" ht="55.2">
      <c r="A2047" s="3" t="s">
        <v>2091</v>
      </c>
      <c r="C2047">
        <v>2</v>
      </c>
      <c r="L2047">
        <v>2</v>
      </c>
      <c r="AY2047">
        <f t="shared" si="64"/>
        <v>43</v>
      </c>
      <c r="AZ2047">
        <f t="shared" si="65"/>
        <v>3</v>
      </c>
    </row>
    <row r="2048" spans="1:52" ht="55.2">
      <c r="A2048" s="3" t="s">
        <v>2092</v>
      </c>
      <c r="C2048">
        <v>2</v>
      </c>
      <c r="L2048">
        <v>2</v>
      </c>
      <c r="AY2048">
        <f t="shared" si="64"/>
        <v>43</v>
      </c>
      <c r="AZ2048">
        <f t="shared" si="65"/>
        <v>3</v>
      </c>
    </row>
    <row r="2049" spans="1:52" ht="55.2">
      <c r="A2049" s="3" t="s">
        <v>2093</v>
      </c>
      <c r="C2049">
        <v>2</v>
      </c>
      <c r="L2049">
        <v>2</v>
      </c>
      <c r="AY2049">
        <f t="shared" si="64"/>
        <v>43</v>
      </c>
      <c r="AZ2049">
        <f t="shared" si="65"/>
        <v>3</v>
      </c>
    </row>
    <row r="2050" spans="1:52" ht="55.2">
      <c r="A2050" s="3" t="s">
        <v>2094</v>
      </c>
      <c r="C2050">
        <v>2</v>
      </c>
      <c r="L2050">
        <v>2</v>
      </c>
      <c r="AY2050">
        <f t="shared" si="64"/>
        <v>43</v>
      </c>
      <c r="AZ2050">
        <f t="shared" si="65"/>
        <v>3</v>
      </c>
    </row>
    <row r="2051" spans="1:52" ht="55.2">
      <c r="A2051" s="3" t="s">
        <v>2095</v>
      </c>
      <c r="C2051">
        <v>2</v>
      </c>
      <c r="L2051">
        <v>2</v>
      </c>
      <c r="AY2051">
        <f t="shared" si="64"/>
        <v>43</v>
      </c>
      <c r="AZ2051">
        <f t="shared" si="65"/>
        <v>3</v>
      </c>
    </row>
    <row r="2052" spans="1:52" ht="55.2">
      <c r="A2052" s="3" t="s">
        <v>2096</v>
      </c>
      <c r="C2052">
        <v>2</v>
      </c>
      <c r="L2052">
        <v>2</v>
      </c>
      <c r="AY2052">
        <f t="shared" si="64"/>
        <v>43</v>
      </c>
      <c r="AZ2052">
        <f t="shared" si="65"/>
        <v>3</v>
      </c>
    </row>
    <row r="2053" spans="1:52" ht="55.2">
      <c r="A2053" s="3" t="s">
        <v>2097</v>
      </c>
      <c r="C2053">
        <v>2</v>
      </c>
      <c r="L2053">
        <v>2</v>
      </c>
      <c r="AY2053">
        <f t="shared" si="64"/>
        <v>43</v>
      </c>
      <c r="AZ2053">
        <f t="shared" si="65"/>
        <v>3</v>
      </c>
    </row>
    <row r="2054" spans="1:52" ht="55.2">
      <c r="A2054" s="3" t="s">
        <v>2098</v>
      </c>
      <c r="C2054">
        <v>2</v>
      </c>
      <c r="L2054">
        <v>2</v>
      </c>
      <c r="AY2054">
        <f t="shared" si="64"/>
        <v>43</v>
      </c>
      <c r="AZ2054">
        <f t="shared" si="65"/>
        <v>3</v>
      </c>
    </row>
    <row r="2055" spans="1:52" ht="55.2">
      <c r="A2055" s="3" t="s">
        <v>2099</v>
      </c>
      <c r="C2055">
        <v>2</v>
      </c>
      <c r="M2055">
        <v>5</v>
      </c>
      <c r="AY2055">
        <f t="shared" si="64"/>
        <v>43</v>
      </c>
      <c r="AZ2055">
        <f t="shared" si="65"/>
        <v>3</v>
      </c>
    </row>
    <row r="2056" spans="1:52" ht="55.2">
      <c r="A2056" s="3" t="s">
        <v>2100</v>
      </c>
      <c r="C2056">
        <v>2</v>
      </c>
      <c r="M2056">
        <v>5</v>
      </c>
      <c r="AY2056">
        <f t="shared" si="64"/>
        <v>43</v>
      </c>
      <c r="AZ2056">
        <f t="shared" si="65"/>
        <v>3</v>
      </c>
    </row>
    <row r="2057" spans="1:52" ht="55.2">
      <c r="A2057" s="3" t="s">
        <v>2101</v>
      </c>
      <c r="C2057">
        <v>2</v>
      </c>
      <c r="M2057">
        <v>5</v>
      </c>
      <c r="AY2057">
        <f t="shared" si="64"/>
        <v>43</v>
      </c>
      <c r="AZ2057">
        <f t="shared" si="65"/>
        <v>3</v>
      </c>
    </row>
    <row r="2058" spans="1:52" ht="55.2">
      <c r="A2058" s="3" t="s">
        <v>2102</v>
      </c>
      <c r="C2058">
        <v>2</v>
      </c>
      <c r="M2058">
        <v>5</v>
      </c>
      <c r="AY2058">
        <f t="shared" si="64"/>
        <v>43</v>
      </c>
      <c r="AZ2058">
        <f t="shared" si="65"/>
        <v>3</v>
      </c>
    </row>
    <row r="2059" spans="1:52" ht="55.2">
      <c r="A2059" s="3" t="s">
        <v>2103</v>
      </c>
      <c r="C2059">
        <v>2</v>
      </c>
      <c r="M2059">
        <v>5</v>
      </c>
      <c r="AY2059">
        <f t="shared" si="64"/>
        <v>43</v>
      </c>
      <c r="AZ2059">
        <f t="shared" si="65"/>
        <v>3</v>
      </c>
    </row>
    <row r="2060" spans="1:52" ht="55.2">
      <c r="A2060" s="3" t="s">
        <v>2104</v>
      </c>
      <c r="C2060">
        <v>2</v>
      </c>
      <c r="M2060">
        <v>5</v>
      </c>
      <c r="AY2060">
        <f t="shared" si="64"/>
        <v>43</v>
      </c>
      <c r="AZ2060">
        <f t="shared" si="65"/>
        <v>3</v>
      </c>
    </row>
    <row r="2061" spans="1:52" ht="55.2">
      <c r="A2061" s="3" t="s">
        <v>2105</v>
      </c>
      <c r="C2061">
        <v>2</v>
      </c>
      <c r="M2061">
        <v>5</v>
      </c>
      <c r="AY2061">
        <f t="shared" si="64"/>
        <v>43</v>
      </c>
      <c r="AZ2061">
        <f t="shared" si="65"/>
        <v>3</v>
      </c>
    </row>
    <row r="2062" spans="1:52" ht="55.2">
      <c r="A2062" s="3" t="s">
        <v>2106</v>
      </c>
      <c r="C2062">
        <v>2</v>
      </c>
      <c r="M2062">
        <v>5</v>
      </c>
      <c r="AY2062">
        <f t="shared" si="64"/>
        <v>43</v>
      </c>
      <c r="AZ2062">
        <f t="shared" si="65"/>
        <v>3</v>
      </c>
    </row>
    <row r="2063" spans="1:52" ht="55.2">
      <c r="A2063" s="3" t="s">
        <v>2107</v>
      </c>
      <c r="C2063">
        <v>2</v>
      </c>
      <c r="M2063">
        <v>5</v>
      </c>
      <c r="AY2063">
        <f t="shared" si="64"/>
        <v>43</v>
      </c>
      <c r="AZ2063">
        <f t="shared" si="65"/>
        <v>3</v>
      </c>
    </row>
    <row r="2064" spans="1:52" ht="55.2">
      <c r="A2064" s="3" t="s">
        <v>2108</v>
      </c>
      <c r="C2064">
        <v>2</v>
      </c>
      <c r="M2064">
        <v>5</v>
      </c>
      <c r="AY2064">
        <f t="shared" si="64"/>
        <v>43</v>
      </c>
      <c r="AZ2064">
        <f t="shared" si="65"/>
        <v>3</v>
      </c>
    </row>
    <row r="2065" spans="1:52" ht="55.2">
      <c r="A2065" s="3" t="s">
        <v>2109</v>
      </c>
      <c r="C2065">
        <v>2</v>
      </c>
      <c r="M2065">
        <v>5</v>
      </c>
      <c r="AY2065">
        <f t="shared" si="64"/>
        <v>43</v>
      </c>
      <c r="AZ2065">
        <f t="shared" si="65"/>
        <v>3</v>
      </c>
    </row>
    <row r="2066" spans="1:52" ht="55.2">
      <c r="A2066" s="3" t="s">
        <v>2110</v>
      </c>
      <c r="C2066">
        <v>2</v>
      </c>
      <c r="M2066">
        <v>5</v>
      </c>
      <c r="AY2066">
        <f t="shared" si="64"/>
        <v>43</v>
      </c>
      <c r="AZ2066">
        <f t="shared" si="65"/>
        <v>3</v>
      </c>
    </row>
    <row r="2067" spans="1:52" ht="55.2">
      <c r="A2067" s="3" t="s">
        <v>2111</v>
      </c>
      <c r="C2067">
        <v>2</v>
      </c>
      <c r="M2067">
        <v>5</v>
      </c>
      <c r="AY2067">
        <f t="shared" si="64"/>
        <v>43</v>
      </c>
      <c r="AZ2067">
        <f t="shared" si="65"/>
        <v>3</v>
      </c>
    </row>
    <row r="2068" spans="1:52" ht="55.2">
      <c r="A2068" s="3" t="s">
        <v>2112</v>
      </c>
      <c r="C2068">
        <v>2</v>
      </c>
      <c r="M2068">
        <v>5</v>
      </c>
      <c r="AY2068">
        <f t="shared" si="64"/>
        <v>43</v>
      </c>
      <c r="AZ2068">
        <f t="shared" si="65"/>
        <v>3</v>
      </c>
    </row>
    <row r="2069" spans="1:52" ht="55.2">
      <c r="A2069" s="3" t="s">
        <v>2113</v>
      </c>
      <c r="C2069">
        <v>2</v>
      </c>
      <c r="M2069">
        <v>5</v>
      </c>
      <c r="AY2069">
        <f t="shared" si="64"/>
        <v>43</v>
      </c>
      <c r="AZ2069">
        <f t="shared" si="65"/>
        <v>3</v>
      </c>
    </row>
    <row r="2070" spans="1:52" ht="55.2">
      <c r="A2070" s="3" t="s">
        <v>2114</v>
      </c>
      <c r="C2070">
        <v>2</v>
      </c>
      <c r="M2070">
        <v>5</v>
      </c>
      <c r="AY2070">
        <f t="shared" si="64"/>
        <v>43</v>
      </c>
      <c r="AZ2070">
        <f t="shared" si="65"/>
        <v>3</v>
      </c>
    </row>
    <row r="2071" spans="1:52" ht="55.2">
      <c r="A2071" s="3" t="s">
        <v>2115</v>
      </c>
      <c r="C2071">
        <v>2</v>
      </c>
      <c r="M2071">
        <v>5</v>
      </c>
      <c r="AY2071">
        <f t="shared" si="64"/>
        <v>43</v>
      </c>
      <c r="AZ2071">
        <f t="shared" si="65"/>
        <v>3</v>
      </c>
    </row>
    <row r="2072" spans="1:52" ht="55.2">
      <c r="A2072" s="3" t="s">
        <v>2116</v>
      </c>
      <c r="C2072">
        <v>2</v>
      </c>
      <c r="M2072">
        <v>5</v>
      </c>
      <c r="AY2072">
        <f t="shared" si="64"/>
        <v>43</v>
      </c>
      <c r="AZ2072">
        <f t="shared" si="65"/>
        <v>3</v>
      </c>
    </row>
    <row r="2073" spans="1:52" ht="55.2">
      <c r="A2073" s="3" t="s">
        <v>2117</v>
      </c>
      <c r="C2073">
        <v>2</v>
      </c>
      <c r="M2073">
        <v>5</v>
      </c>
      <c r="AY2073">
        <f t="shared" si="64"/>
        <v>43</v>
      </c>
      <c r="AZ2073">
        <f t="shared" si="65"/>
        <v>3</v>
      </c>
    </row>
    <row r="2074" spans="1:52" ht="55.2">
      <c r="A2074" s="3" t="s">
        <v>2118</v>
      </c>
      <c r="C2074">
        <v>2</v>
      </c>
      <c r="M2074">
        <v>5</v>
      </c>
      <c r="AY2074">
        <f t="shared" si="64"/>
        <v>43</v>
      </c>
      <c r="AZ2074">
        <f t="shared" si="65"/>
        <v>3</v>
      </c>
    </row>
    <row r="2075" spans="1:52" ht="55.2">
      <c r="A2075" s="3" t="s">
        <v>2119</v>
      </c>
      <c r="C2075">
        <v>2</v>
      </c>
      <c r="M2075">
        <v>5</v>
      </c>
      <c r="AY2075">
        <f t="shared" si="64"/>
        <v>43</v>
      </c>
      <c r="AZ2075">
        <f t="shared" si="65"/>
        <v>3</v>
      </c>
    </row>
    <row r="2076" spans="1:52" ht="55.2">
      <c r="A2076" s="3" t="s">
        <v>2120</v>
      </c>
      <c r="C2076">
        <v>2</v>
      </c>
      <c r="M2076">
        <v>5</v>
      </c>
      <c r="AY2076">
        <f t="shared" si="64"/>
        <v>43</v>
      </c>
      <c r="AZ2076">
        <f t="shared" si="65"/>
        <v>3</v>
      </c>
    </row>
    <row r="2077" spans="1:52" ht="55.2">
      <c r="A2077" s="3" t="s">
        <v>2121</v>
      </c>
      <c r="C2077">
        <v>2</v>
      </c>
      <c r="M2077">
        <v>5</v>
      </c>
      <c r="AY2077">
        <f t="shared" si="64"/>
        <v>43</v>
      </c>
      <c r="AZ2077">
        <f t="shared" si="65"/>
        <v>3</v>
      </c>
    </row>
    <row r="2078" spans="1:52" ht="55.2">
      <c r="A2078" s="3" t="s">
        <v>2122</v>
      </c>
      <c r="C2078">
        <v>2</v>
      </c>
      <c r="M2078">
        <v>5</v>
      </c>
      <c r="AY2078">
        <f t="shared" si="64"/>
        <v>43</v>
      </c>
      <c r="AZ2078">
        <f t="shared" si="65"/>
        <v>3</v>
      </c>
    </row>
    <row r="2079" spans="1:52" ht="55.2">
      <c r="A2079" s="3" t="s">
        <v>2123</v>
      </c>
      <c r="C2079">
        <v>2</v>
      </c>
      <c r="M2079">
        <v>5</v>
      </c>
      <c r="AY2079">
        <f t="shared" si="64"/>
        <v>43</v>
      </c>
      <c r="AZ2079">
        <f t="shared" si="65"/>
        <v>3</v>
      </c>
    </row>
    <row r="2080" spans="1:52" ht="55.2">
      <c r="A2080" s="3" t="s">
        <v>2124</v>
      </c>
      <c r="C2080">
        <v>2</v>
      </c>
      <c r="M2080">
        <v>5</v>
      </c>
      <c r="AY2080">
        <f t="shared" si="64"/>
        <v>43</v>
      </c>
      <c r="AZ2080">
        <f t="shared" si="65"/>
        <v>3</v>
      </c>
    </row>
    <row r="2081" spans="1:52" ht="55.2">
      <c r="A2081" s="3" t="s">
        <v>2125</v>
      </c>
      <c r="C2081">
        <v>2</v>
      </c>
      <c r="M2081">
        <v>5</v>
      </c>
      <c r="AY2081">
        <f t="shared" ref="AY2081:AY2144" si="66">COUNTBLANK(F2081:AW2081)</f>
        <v>43</v>
      </c>
      <c r="AZ2081">
        <f t="shared" ref="AZ2081:AZ2144" si="67">COUNTBLANK(B2081:E2081)</f>
        <v>3</v>
      </c>
    </row>
    <row r="2082" spans="1:52" ht="55.2">
      <c r="A2082" s="3" t="s">
        <v>2126</v>
      </c>
      <c r="C2082">
        <v>2</v>
      </c>
      <c r="M2082">
        <v>5</v>
      </c>
      <c r="AY2082">
        <f t="shared" si="66"/>
        <v>43</v>
      </c>
      <c r="AZ2082">
        <f t="shared" si="67"/>
        <v>3</v>
      </c>
    </row>
    <row r="2083" spans="1:52" ht="55.2">
      <c r="A2083" s="3" t="s">
        <v>2127</v>
      </c>
      <c r="C2083">
        <v>2</v>
      </c>
      <c r="M2083">
        <v>5</v>
      </c>
      <c r="AY2083">
        <f t="shared" si="66"/>
        <v>43</v>
      </c>
      <c r="AZ2083">
        <f t="shared" si="67"/>
        <v>3</v>
      </c>
    </row>
    <row r="2084" spans="1:52" ht="55.2">
      <c r="A2084" s="3" t="s">
        <v>2128</v>
      </c>
      <c r="C2084">
        <v>2</v>
      </c>
      <c r="AW2084">
        <v>1</v>
      </c>
      <c r="AY2084">
        <f t="shared" si="66"/>
        <v>43</v>
      </c>
      <c r="AZ2084">
        <f t="shared" si="67"/>
        <v>3</v>
      </c>
    </row>
    <row r="2085" spans="1:52" ht="55.2">
      <c r="A2085" s="3" t="s">
        <v>2129</v>
      </c>
      <c r="C2085">
        <v>2</v>
      </c>
      <c r="AW2085">
        <v>1</v>
      </c>
      <c r="AY2085">
        <f t="shared" si="66"/>
        <v>43</v>
      </c>
      <c r="AZ2085">
        <f t="shared" si="67"/>
        <v>3</v>
      </c>
    </row>
    <row r="2086" spans="1:52" ht="55.2">
      <c r="A2086" s="3" t="s">
        <v>2130</v>
      </c>
      <c r="C2086">
        <v>2</v>
      </c>
      <c r="D2086">
        <v>3</v>
      </c>
      <c r="AW2086">
        <v>1</v>
      </c>
      <c r="AY2086">
        <f t="shared" si="66"/>
        <v>43</v>
      </c>
      <c r="AZ2086">
        <f t="shared" si="67"/>
        <v>2</v>
      </c>
    </row>
    <row r="2087" spans="1:52" ht="55.2">
      <c r="A2087" s="3" t="s">
        <v>2131</v>
      </c>
      <c r="C2087">
        <v>2</v>
      </c>
      <c r="D2087">
        <v>3</v>
      </c>
      <c r="J2087">
        <v>16</v>
      </c>
      <c r="AY2087">
        <f t="shared" si="66"/>
        <v>43</v>
      </c>
      <c r="AZ2087">
        <f t="shared" si="67"/>
        <v>2</v>
      </c>
    </row>
    <row r="2088" spans="1:52" ht="55.2">
      <c r="A2088" s="3" t="s">
        <v>2132</v>
      </c>
      <c r="C2088">
        <v>2</v>
      </c>
      <c r="D2088">
        <v>3</v>
      </c>
      <c r="J2088">
        <v>16</v>
      </c>
      <c r="AY2088">
        <f t="shared" si="66"/>
        <v>43</v>
      </c>
      <c r="AZ2088">
        <f t="shared" si="67"/>
        <v>2</v>
      </c>
    </row>
    <row r="2089" spans="1:52" ht="55.2">
      <c r="A2089" s="3" t="s">
        <v>2133</v>
      </c>
      <c r="C2089">
        <v>2</v>
      </c>
      <c r="D2089">
        <v>3</v>
      </c>
      <c r="J2089">
        <v>16</v>
      </c>
      <c r="AY2089">
        <f t="shared" si="66"/>
        <v>43</v>
      </c>
      <c r="AZ2089">
        <f t="shared" si="67"/>
        <v>2</v>
      </c>
    </row>
    <row r="2090" spans="1:52" ht="55.2">
      <c r="A2090" s="3" t="s">
        <v>2134</v>
      </c>
      <c r="C2090">
        <v>2</v>
      </c>
      <c r="D2090">
        <v>3</v>
      </c>
      <c r="J2090">
        <v>16</v>
      </c>
      <c r="AY2090">
        <f t="shared" si="66"/>
        <v>43</v>
      </c>
      <c r="AZ2090">
        <f t="shared" si="67"/>
        <v>2</v>
      </c>
    </row>
    <row r="2091" spans="1:52" ht="55.2">
      <c r="A2091" s="3" t="s">
        <v>2135</v>
      </c>
      <c r="C2091">
        <v>2</v>
      </c>
      <c r="D2091">
        <v>3</v>
      </c>
      <c r="J2091">
        <v>16</v>
      </c>
      <c r="AY2091">
        <f t="shared" si="66"/>
        <v>43</v>
      </c>
      <c r="AZ2091">
        <f t="shared" si="67"/>
        <v>2</v>
      </c>
    </row>
    <row r="2092" spans="1:52" ht="55.2">
      <c r="A2092" s="3" t="s">
        <v>2136</v>
      </c>
      <c r="C2092">
        <v>2</v>
      </c>
      <c r="D2092">
        <v>3</v>
      </c>
      <c r="J2092">
        <v>16</v>
      </c>
      <c r="AY2092">
        <f t="shared" si="66"/>
        <v>43</v>
      </c>
      <c r="AZ2092">
        <f t="shared" si="67"/>
        <v>2</v>
      </c>
    </row>
    <row r="2093" spans="1:52" ht="55.2">
      <c r="A2093" s="3" t="s">
        <v>2137</v>
      </c>
      <c r="C2093">
        <v>2</v>
      </c>
      <c r="D2093">
        <v>3</v>
      </c>
      <c r="J2093">
        <v>16</v>
      </c>
      <c r="AY2093">
        <f t="shared" si="66"/>
        <v>43</v>
      </c>
      <c r="AZ2093">
        <f t="shared" si="67"/>
        <v>2</v>
      </c>
    </row>
    <row r="2094" spans="1:52" ht="55.2">
      <c r="A2094" s="3" t="s">
        <v>2138</v>
      </c>
      <c r="C2094">
        <v>2</v>
      </c>
      <c r="D2094">
        <v>3</v>
      </c>
      <c r="J2094">
        <v>16</v>
      </c>
      <c r="AY2094">
        <f t="shared" si="66"/>
        <v>43</v>
      </c>
      <c r="AZ2094">
        <f t="shared" si="67"/>
        <v>2</v>
      </c>
    </row>
    <row r="2095" spans="1:52" ht="55.2">
      <c r="A2095" s="3" t="s">
        <v>2139</v>
      </c>
      <c r="C2095">
        <v>2</v>
      </c>
      <c r="D2095">
        <v>3</v>
      </c>
      <c r="J2095">
        <v>16</v>
      </c>
      <c r="AY2095">
        <f t="shared" si="66"/>
        <v>43</v>
      </c>
      <c r="AZ2095">
        <f t="shared" si="67"/>
        <v>2</v>
      </c>
    </row>
    <row r="2096" spans="1:52" ht="55.2">
      <c r="A2096" s="3" t="s">
        <v>2140</v>
      </c>
      <c r="C2096">
        <v>2</v>
      </c>
      <c r="D2096">
        <v>3</v>
      </c>
      <c r="J2096">
        <v>16</v>
      </c>
      <c r="AY2096">
        <f t="shared" si="66"/>
        <v>43</v>
      </c>
      <c r="AZ2096">
        <f t="shared" si="67"/>
        <v>2</v>
      </c>
    </row>
    <row r="2097" spans="1:52" ht="55.2">
      <c r="A2097" s="3" t="s">
        <v>2141</v>
      </c>
      <c r="C2097">
        <v>2</v>
      </c>
      <c r="D2097">
        <v>3</v>
      </c>
      <c r="J2097">
        <v>16</v>
      </c>
      <c r="AY2097">
        <f t="shared" si="66"/>
        <v>43</v>
      </c>
      <c r="AZ2097">
        <f t="shared" si="67"/>
        <v>2</v>
      </c>
    </row>
    <row r="2098" spans="1:52" ht="55.2">
      <c r="A2098" s="3" t="s">
        <v>2142</v>
      </c>
      <c r="C2098">
        <v>2</v>
      </c>
      <c r="D2098">
        <v>3</v>
      </c>
      <c r="J2098">
        <v>16</v>
      </c>
      <c r="AY2098">
        <f t="shared" si="66"/>
        <v>43</v>
      </c>
      <c r="AZ2098">
        <f t="shared" si="67"/>
        <v>2</v>
      </c>
    </row>
    <row r="2099" spans="1:52" ht="55.2">
      <c r="A2099" s="3" t="s">
        <v>2143</v>
      </c>
      <c r="C2099">
        <v>2</v>
      </c>
      <c r="D2099">
        <v>3</v>
      </c>
      <c r="J2099">
        <v>16</v>
      </c>
      <c r="AY2099">
        <f t="shared" si="66"/>
        <v>43</v>
      </c>
      <c r="AZ2099">
        <f t="shared" si="67"/>
        <v>2</v>
      </c>
    </row>
    <row r="2100" spans="1:52" ht="55.2">
      <c r="A2100" s="3" t="s">
        <v>2144</v>
      </c>
      <c r="C2100">
        <v>2</v>
      </c>
      <c r="D2100">
        <v>3</v>
      </c>
      <c r="J2100">
        <v>16</v>
      </c>
      <c r="AY2100">
        <f t="shared" si="66"/>
        <v>43</v>
      </c>
      <c r="AZ2100">
        <f t="shared" si="67"/>
        <v>2</v>
      </c>
    </row>
    <row r="2101" spans="1:52" ht="55.2">
      <c r="A2101" s="3" t="s">
        <v>2145</v>
      </c>
      <c r="C2101">
        <v>2</v>
      </c>
      <c r="D2101">
        <v>3</v>
      </c>
      <c r="J2101">
        <v>16</v>
      </c>
      <c r="AY2101">
        <f t="shared" si="66"/>
        <v>43</v>
      </c>
      <c r="AZ2101">
        <f t="shared" si="67"/>
        <v>2</v>
      </c>
    </row>
    <row r="2102" spans="1:52" ht="55.2">
      <c r="A2102" s="3" t="s">
        <v>2146</v>
      </c>
      <c r="C2102">
        <v>2</v>
      </c>
      <c r="D2102">
        <v>3</v>
      </c>
      <c r="J2102">
        <v>16</v>
      </c>
      <c r="AY2102">
        <f t="shared" si="66"/>
        <v>43</v>
      </c>
      <c r="AZ2102">
        <f t="shared" si="67"/>
        <v>2</v>
      </c>
    </row>
    <row r="2103" spans="1:52" ht="55.2">
      <c r="A2103" s="3" t="s">
        <v>2147</v>
      </c>
      <c r="C2103">
        <v>2</v>
      </c>
      <c r="D2103">
        <v>3</v>
      </c>
      <c r="J2103">
        <v>16</v>
      </c>
      <c r="AY2103">
        <f t="shared" si="66"/>
        <v>43</v>
      </c>
      <c r="AZ2103">
        <f t="shared" si="67"/>
        <v>2</v>
      </c>
    </row>
    <row r="2104" spans="1:52" ht="55.2">
      <c r="A2104" s="3" t="s">
        <v>2148</v>
      </c>
      <c r="C2104">
        <v>2</v>
      </c>
      <c r="D2104">
        <v>3</v>
      </c>
      <c r="J2104">
        <v>16</v>
      </c>
      <c r="AY2104">
        <f t="shared" si="66"/>
        <v>43</v>
      </c>
      <c r="AZ2104">
        <f t="shared" si="67"/>
        <v>2</v>
      </c>
    </row>
    <row r="2105" spans="1:52" ht="55.2">
      <c r="A2105" s="3" t="s">
        <v>2149</v>
      </c>
      <c r="C2105">
        <v>2</v>
      </c>
      <c r="D2105">
        <v>3</v>
      </c>
      <c r="J2105">
        <v>16</v>
      </c>
      <c r="AY2105">
        <f t="shared" si="66"/>
        <v>43</v>
      </c>
      <c r="AZ2105">
        <f t="shared" si="67"/>
        <v>2</v>
      </c>
    </row>
    <row r="2106" spans="1:52" ht="55.2">
      <c r="A2106" s="3" t="s">
        <v>2150</v>
      </c>
      <c r="C2106">
        <v>2</v>
      </c>
      <c r="D2106">
        <v>3</v>
      </c>
      <c r="J2106">
        <v>16</v>
      </c>
      <c r="AY2106">
        <f t="shared" si="66"/>
        <v>43</v>
      </c>
      <c r="AZ2106">
        <f t="shared" si="67"/>
        <v>2</v>
      </c>
    </row>
    <row r="2107" spans="1:52" ht="55.2">
      <c r="A2107" s="3" t="s">
        <v>2151</v>
      </c>
      <c r="C2107">
        <v>2</v>
      </c>
      <c r="D2107">
        <v>3</v>
      </c>
      <c r="J2107">
        <v>16</v>
      </c>
      <c r="AY2107">
        <f t="shared" si="66"/>
        <v>43</v>
      </c>
      <c r="AZ2107">
        <f t="shared" si="67"/>
        <v>2</v>
      </c>
    </row>
    <row r="2108" spans="1:52" ht="55.2">
      <c r="A2108" s="3" t="s">
        <v>2152</v>
      </c>
      <c r="C2108">
        <v>2</v>
      </c>
      <c r="D2108">
        <v>3</v>
      </c>
      <c r="J2108">
        <v>16</v>
      </c>
      <c r="AY2108">
        <f t="shared" si="66"/>
        <v>43</v>
      </c>
      <c r="AZ2108">
        <f t="shared" si="67"/>
        <v>2</v>
      </c>
    </row>
    <row r="2109" spans="1:52" ht="55.2">
      <c r="A2109" s="3" t="s">
        <v>2153</v>
      </c>
      <c r="C2109">
        <v>2</v>
      </c>
      <c r="D2109">
        <v>3</v>
      </c>
      <c r="J2109">
        <v>16</v>
      </c>
      <c r="AY2109">
        <f t="shared" si="66"/>
        <v>43</v>
      </c>
      <c r="AZ2109">
        <f t="shared" si="67"/>
        <v>2</v>
      </c>
    </row>
    <row r="2110" spans="1:52" ht="55.2">
      <c r="A2110" s="3" t="s">
        <v>2154</v>
      </c>
      <c r="C2110">
        <v>2</v>
      </c>
      <c r="D2110">
        <v>3</v>
      </c>
      <c r="J2110">
        <v>16</v>
      </c>
      <c r="AY2110">
        <f t="shared" si="66"/>
        <v>43</v>
      </c>
      <c r="AZ2110">
        <f t="shared" si="67"/>
        <v>2</v>
      </c>
    </row>
    <row r="2111" spans="1:52" ht="55.2">
      <c r="A2111" s="3" t="s">
        <v>2155</v>
      </c>
      <c r="C2111">
        <v>2</v>
      </c>
      <c r="D2111">
        <v>3</v>
      </c>
      <c r="J2111">
        <v>16</v>
      </c>
      <c r="AY2111">
        <f t="shared" si="66"/>
        <v>43</v>
      </c>
      <c r="AZ2111">
        <f t="shared" si="67"/>
        <v>2</v>
      </c>
    </row>
    <row r="2112" spans="1:52" ht="55.2">
      <c r="A2112" s="3" t="s">
        <v>2156</v>
      </c>
      <c r="C2112">
        <v>2</v>
      </c>
      <c r="D2112">
        <v>3</v>
      </c>
      <c r="J2112">
        <v>16</v>
      </c>
      <c r="AY2112">
        <f t="shared" si="66"/>
        <v>43</v>
      </c>
      <c r="AZ2112">
        <f t="shared" si="67"/>
        <v>2</v>
      </c>
    </row>
    <row r="2113" spans="1:52" ht="55.2">
      <c r="A2113" s="3" t="s">
        <v>2157</v>
      </c>
      <c r="C2113">
        <v>2</v>
      </c>
      <c r="D2113">
        <v>3</v>
      </c>
      <c r="J2113">
        <v>16</v>
      </c>
      <c r="AY2113">
        <f t="shared" si="66"/>
        <v>43</v>
      </c>
      <c r="AZ2113">
        <f t="shared" si="67"/>
        <v>2</v>
      </c>
    </row>
    <row r="2114" spans="1:52" ht="55.2">
      <c r="A2114" s="3" t="s">
        <v>2158</v>
      </c>
      <c r="C2114">
        <v>2</v>
      </c>
      <c r="D2114">
        <v>3</v>
      </c>
      <c r="J2114">
        <v>16</v>
      </c>
      <c r="AY2114">
        <f t="shared" si="66"/>
        <v>43</v>
      </c>
      <c r="AZ2114">
        <f t="shared" si="67"/>
        <v>2</v>
      </c>
    </row>
    <row r="2115" spans="1:52" ht="55.2">
      <c r="A2115" s="3" t="s">
        <v>2159</v>
      </c>
      <c r="C2115">
        <v>2</v>
      </c>
      <c r="D2115">
        <v>3</v>
      </c>
      <c r="J2115">
        <v>16</v>
      </c>
      <c r="AY2115">
        <f t="shared" si="66"/>
        <v>43</v>
      </c>
      <c r="AZ2115">
        <f t="shared" si="67"/>
        <v>2</v>
      </c>
    </row>
    <row r="2116" spans="1:52" ht="55.2">
      <c r="A2116" s="3" t="s">
        <v>2160</v>
      </c>
      <c r="C2116">
        <v>2</v>
      </c>
      <c r="D2116">
        <v>3</v>
      </c>
      <c r="J2116">
        <v>16</v>
      </c>
      <c r="AY2116">
        <f t="shared" si="66"/>
        <v>43</v>
      </c>
      <c r="AZ2116">
        <f t="shared" si="67"/>
        <v>2</v>
      </c>
    </row>
    <row r="2117" spans="1:52" ht="55.2">
      <c r="A2117" s="3" t="s">
        <v>2161</v>
      </c>
      <c r="C2117">
        <v>2</v>
      </c>
      <c r="D2117">
        <v>3</v>
      </c>
      <c r="J2117">
        <v>16</v>
      </c>
      <c r="AY2117">
        <f t="shared" si="66"/>
        <v>43</v>
      </c>
      <c r="AZ2117">
        <f t="shared" si="67"/>
        <v>2</v>
      </c>
    </row>
    <row r="2118" spans="1:52" ht="55.2">
      <c r="A2118" s="3" t="s">
        <v>2162</v>
      </c>
      <c r="D2118">
        <v>3</v>
      </c>
      <c r="J2118">
        <v>16</v>
      </c>
      <c r="AY2118">
        <f t="shared" si="66"/>
        <v>43</v>
      </c>
      <c r="AZ2118">
        <f t="shared" si="67"/>
        <v>3</v>
      </c>
    </row>
    <row r="2119" spans="1:52" ht="55.2">
      <c r="A2119" s="3" t="s">
        <v>2163</v>
      </c>
      <c r="D2119">
        <v>3</v>
      </c>
      <c r="J2119">
        <v>16</v>
      </c>
      <c r="AY2119">
        <f t="shared" si="66"/>
        <v>43</v>
      </c>
      <c r="AZ2119">
        <f t="shared" si="67"/>
        <v>3</v>
      </c>
    </row>
    <row r="2120" spans="1:52" ht="55.2">
      <c r="A2120" s="3" t="s">
        <v>2164</v>
      </c>
      <c r="D2120">
        <v>3</v>
      </c>
      <c r="J2120">
        <v>16</v>
      </c>
      <c r="AY2120">
        <f t="shared" si="66"/>
        <v>43</v>
      </c>
      <c r="AZ2120">
        <f t="shared" si="67"/>
        <v>3</v>
      </c>
    </row>
    <row r="2121" spans="1:52" ht="55.2">
      <c r="A2121" s="3" t="s">
        <v>2165</v>
      </c>
      <c r="D2121">
        <v>3</v>
      </c>
      <c r="J2121">
        <v>16</v>
      </c>
      <c r="AY2121">
        <f t="shared" si="66"/>
        <v>43</v>
      </c>
      <c r="AZ2121">
        <f t="shared" si="67"/>
        <v>3</v>
      </c>
    </row>
    <row r="2122" spans="1:52" ht="55.2">
      <c r="A2122" s="3" t="s">
        <v>2166</v>
      </c>
      <c r="D2122">
        <v>3</v>
      </c>
      <c r="J2122">
        <v>16</v>
      </c>
      <c r="AY2122">
        <f t="shared" si="66"/>
        <v>43</v>
      </c>
      <c r="AZ2122">
        <f t="shared" si="67"/>
        <v>3</v>
      </c>
    </row>
    <row r="2123" spans="1:52" ht="55.2">
      <c r="A2123" s="3" t="s">
        <v>2167</v>
      </c>
      <c r="D2123">
        <v>3</v>
      </c>
      <c r="J2123">
        <v>16</v>
      </c>
      <c r="AY2123">
        <f t="shared" si="66"/>
        <v>43</v>
      </c>
      <c r="AZ2123">
        <f t="shared" si="67"/>
        <v>3</v>
      </c>
    </row>
    <row r="2124" spans="1:52" ht="55.2">
      <c r="A2124" s="3" t="s">
        <v>2168</v>
      </c>
      <c r="D2124">
        <v>3</v>
      </c>
      <c r="J2124">
        <v>16</v>
      </c>
      <c r="AY2124">
        <f t="shared" si="66"/>
        <v>43</v>
      </c>
      <c r="AZ2124">
        <f t="shared" si="67"/>
        <v>3</v>
      </c>
    </row>
    <row r="2125" spans="1:52" ht="55.2">
      <c r="A2125" s="3" t="s">
        <v>2169</v>
      </c>
      <c r="D2125">
        <v>3</v>
      </c>
      <c r="J2125">
        <v>16</v>
      </c>
      <c r="AY2125">
        <f t="shared" si="66"/>
        <v>43</v>
      </c>
      <c r="AZ2125">
        <f t="shared" si="67"/>
        <v>3</v>
      </c>
    </row>
    <row r="2126" spans="1:52" ht="55.2">
      <c r="A2126" s="3" t="s">
        <v>2170</v>
      </c>
      <c r="D2126">
        <v>3</v>
      </c>
      <c r="J2126">
        <v>16</v>
      </c>
      <c r="AY2126">
        <f t="shared" si="66"/>
        <v>43</v>
      </c>
      <c r="AZ2126">
        <f t="shared" si="67"/>
        <v>3</v>
      </c>
    </row>
    <row r="2127" spans="1:52" ht="55.2">
      <c r="A2127" s="3" t="s">
        <v>2171</v>
      </c>
      <c r="D2127">
        <v>3</v>
      </c>
      <c r="J2127">
        <v>16</v>
      </c>
      <c r="AY2127">
        <f t="shared" si="66"/>
        <v>43</v>
      </c>
      <c r="AZ2127">
        <f t="shared" si="67"/>
        <v>3</v>
      </c>
    </row>
    <row r="2128" spans="1:52" ht="55.2">
      <c r="A2128" s="3" t="s">
        <v>2172</v>
      </c>
      <c r="D2128">
        <v>3</v>
      </c>
      <c r="J2128">
        <v>16</v>
      </c>
      <c r="AY2128">
        <f t="shared" si="66"/>
        <v>43</v>
      </c>
      <c r="AZ2128">
        <f t="shared" si="67"/>
        <v>3</v>
      </c>
    </row>
    <row r="2129" spans="1:52" ht="55.2">
      <c r="A2129" s="3" t="s">
        <v>2173</v>
      </c>
      <c r="D2129">
        <v>3</v>
      </c>
      <c r="J2129">
        <v>16</v>
      </c>
      <c r="AY2129">
        <f t="shared" si="66"/>
        <v>43</v>
      </c>
      <c r="AZ2129">
        <f t="shared" si="67"/>
        <v>3</v>
      </c>
    </row>
    <row r="2130" spans="1:52" ht="55.2">
      <c r="A2130" s="3" t="s">
        <v>2174</v>
      </c>
      <c r="D2130">
        <v>3</v>
      </c>
      <c r="J2130">
        <v>16</v>
      </c>
      <c r="AY2130">
        <f t="shared" si="66"/>
        <v>43</v>
      </c>
      <c r="AZ2130">
        <f t="shared" si="67"/>
        <v>3</v>
      </c>
    </row>
    <row r="2131" spans="1:52" ht="55.2">
      <c r="A2131" s="3" t="s">
        <v>2175</v>
      </c>
      <c r="D2131">
        <v>3</v>
      </c>
      <c r="J2131">
        <v>16</v>
      </c>
      <c r="AY2131">
        <f t="shared" si="66"/>
        <v>43</v>
      </c>
      <c r="AZ2131">
        <f t="shared" si="67"/>
        <v>3</v>
      </c>
    </row>
    <row r="2132" spans="1:52" ht="55.2">
      <c r="A2132" s="3" t="s">
        <v>2176</v>
      </c>
      <c r="D2132">
        <v>3</v>
      </c>
      <c r="J2132">
        <v>16</v>
      </c>
      <c r="AY2132">
        <f t="shared" si="66"/>
        <v>43</v>
      </c>
      <c r="AZ2132">
        <f t="shared" si="67"/>
        <v>3</v>
      </c>
    </row>
    <row r="2133" spans="1:52" ht="55.2">
      <c r="A2133" s="3" t="s">
        <v>2177</v>
      </c>
      <c r="D2133">
        <v>3</v>
      </c>
      <c r="J2133">
        <v>16</v>
      </c>
      <c r="AY2133">
        <f t="shared" si="66"/>
        <v>43</v>
      </c>
      <c r="AZ2133">
        <f t="shared" si="67"/>
        <v>3</v>
      </c>
    </row>
    <row r="2134" spans="1:52" ht="55.2">
      <c r="A2134" s="3" t="s">
        <v>2178</v>
      </c>
      <c r="D2134">
        <v>3</v>
      </c>
      <c r="J2134">
        <v>16</v>
      </c>
      <c r="AY2134">
        <f t="shared" si="66"/>
        <v>43</v>
      </c>
      <c r="AZ2134">
        <f t="shared" si="67"/>
        <v>3</v>
      </c>
    </row>
    <row r="2135" spans="1:52" ht="55.2">
      <c r="A2135" s="3" t="s">
        <v>2179</v>
      </c>
      <c r="D2135">
        <v>3</v>
      </c>
      <c r="J2135">
        <v>16</v>
      </c>
      <c r="AY2135">
        <f t="shared" si="66"/>
        <v>43</v>
      </c>
      <c r="AZ2135">
        <f t="shared" si="67"/>
        <v>3</v>
      </c>
    </row>
    <row r="2136" spans="1:52" ht="55.2">
      <c r="A2136" s="3" t="s">
        <v>2180</v>
      </c>
      <c r="D2136">
        <v>3</v>
      </c>
      <c r="J2136">
        <v>16</v>
      </c>
      <c r="AY2136">
        <f t="shared" si="66"/>
        <v>43</v>
      </c>
      <c r="AZ2136">
        <f t="shared" si="67"/>
        <v>3</v>
      </c>
    </row>
    <row r="2137" spans="1:52" ht="55.2">
      <c r="A2137" s="3" t="s">
        <v>2181</v>
      </c>
      <c r="D2137">
        <v>3</v>
      </c>
      <c r="J2137">
        <v>16</v>
      </c>
      <c r="AY2137">
        <f t="shared" si="66"/>
        <v>43</v>
      </c>
      <c r="AZ2137">
        <f t="shared" si="67"/>
        <v>3</v>
      </c>
    </row>
    <row r="2138" spans="1:52" ht="55.2">
      <c r="A2138" s="3" t="s">
        <v>2182</v>
      </c>
      <c r="D2138">
        <v>3</v>
      </c>
      <c r="J2138">
        <v>16</v>
      </c>
      <c r="AY2138">
        <f t="shared" si="66"/>
        <v>43</v>
      </c>
      <c r="AZ2138">
        <f t="shared" si="67"/>
        <v>3</v>
      </c>
    </row>
    <row r="2139" spans="1:52" ht="55.2">
      <c r="A2139" s="3" t="s">
        <v>2183</v>
      </c>
      <c r="D2139">
        <v>3</v>
      </c>
      <c r="J2139">
        <v>16</v>
      </c>
      <c r="AY2139">
        <f t="shared" si="66"/>
        <v>43</v>
      </c>
      <c r="AZ2139">
        <f t="shared" si="67"/>
        <v>3</v>
      </c>
    </row>
    <row r="2140" spans="1:52" ht="55.2">
      <c r="A2140" s="3" t="s">
        <v>2184</v>
      </c>
      <c r="D2140">
        <v>3</v>
      </c>
      <c r="J2140">
        <v>16</v>
      </c>
      <c r="AY2140">
        <f t="shared" si="66"/>
        <v>43</v>
      </c>
      <c r="AZ2140">
        <f t="shared" si="67"/>
        <v>3</v>
      </c>
    </row>
    <row r="2141" spans="1:52" ht="55.2">
      <c r="A2141" s="3" t="s">
        <v>2185</v>
      </c>
      <c r="D2141">
        <v>3</v>
      </c>
      <c r="J2141">
        <v>16</v>
      </c>
      <c r="AY2141">
        <f t="shared" si="66"/>
        <v>43</v>
      </c>
      <c r="AZ2141">
        <f t="shared" si="67"/>
        <v>3</v>
      </c>
    </row>
    <row r="2142" spans="1:52" ht="55.2">
      <c r="A2142" s="3" t="s">
        <v>2186</v>
      </c>
      <c r="D2142">
        <v>3</v>
      </c>
      <c r="J2142">
        <v>16</v>
      </c>
      <c r="AY2142">
        <f t="shared" si="66"/>
        <v>43</v>
      </c>
      <c r="AZ2142">
        <f t="shared" si="67"/>
        <v>3</v>
      </c>
    </row>
    <row r="2143" spans="1:52" ht="55.2">
      <c r="A2143" s="3" t="s">
        <v>2187</v>
      </c>
      <c r="D2143">
        <v>3</v>
      </c>
      <c r="J2143">
        <v>16</v>
      </c>
      <c r="AY2143">
        <f t="shared" si="66"/>
        <v>43</v>
      </c>
      <c r="AZ2143">
        <f t="shared" si="67"/>
        <v>3</v>
      </c>
    </row>
    <row r="2144" spans="1:52" ht="55.2">
      <c r="A2144" s="3" t="s">
        <v>2188</v>
      </c>
      <c r="D2144">
        <v>3</v>
      </c>
      <c r="J2144">
        <v>16</v>
      </c>
      <c r="AY2144">
        <f t="shared" si="66"/>
        <v>43</v>
      </c>
      <c r="AZ2144">
        <f t="shared" si="67"/>
        <v>3</v>
      </c>
    </row>
    <row r="2145" spans="1:52" ht="55.2">
      <c r="A2145" s="3" t="s">
        <v>2189</v>
      </c>
      <c r="D2145">
        <v>3</v>
      </c>
      <c r="J2145">
        <v>16</v>
      </c>
      <c r="AY2145">
        <f t="shared" ref="AY2145:AY2208" si="68">COUNTBLANK(F2145:AW2145)</f>
        <v>43</v>
      </c>
      <c r="AZ2145">
        <f t="shared" ref="AZ2145:AZ2208" si="69">COUNTBLANK(B2145:E2145)</f>
        <v>3</v>
      </c>
    </row>
    <row r="2146" spans="1:52" ht="55.2">
      <c r="A2146" s="3" t="s">
        <v>2190</v>
      </c>
      <c r="D2146">
        <v>3</v>
      </c>
      <c r="J2146">
        <v>16</v>
      </c>
      <c r="AY2146">
        <f t="shared" si="68"/>
        <v>43</v>
      </c>
      <c r="AZ2146">
        <f t="shared" si="69"/>
        <v>3</v>
      </c>
    </row>
    <row r="2147" spans="1:52" ht="55.2">
      <c r="A2147" s="3" t="s">
        <v>2191</v>
      </c>
      <c r="D2147">
        <v>3</v>
      </c>
      <c r="J2147">
        <v>16</v>
      </c>
      <c r="AY2147">
        <f t="shared" si="68"/>
        <v>43</v>
      </c>
      <c r="AZ2147">
        <f t="shared" si="69"/>
        <v>3</v>
      </c>
    </row>
    <row r="2148" spans="1:52" ht="55.2">
      <c r="A2148" s="3" t="s">
        <v>2192</v>
      </c>
      <c r="D2148">
        <v>3</v>
      </c>
      <c r="J2148">
        <v>16</v>
      </c>
      <c r="AY2148">
        <f t="shared" si="68"/>
        <v>43</v>
      </c>
      <c r="AZ2148">
        <f t="shared" si="69"/>
        <v>3</v>
      </c>
    </row>
    <row r="2149" spans="1:52" ht="55.2">
      <c r="A2149" s="3" t="s">
        <v>2193</v>
      </c>
      <c r="D2149">
        <v>3</v>
      </c>
      <c r="J2149">
        <v>16</v>
      </c>
      <c r="AY2149">
        <f t="shared" si="68"/>
        <v>43</v>
      </c>
      <c r="AZ2149">
        <f t="shared" si="69"/>
        <v>3</v>
      </c>
    </row>
    <row r="2150" spans="1:52" ht="55.2">
      <c r="A2150" s="3" t="s">
        <v>2194</v>
      </c>
      <c r="D2150">
        <v>3</v>
      </c>
      <c r="J2150">
        <v>16</v>
      </c>
      <c r="AY2150">
        <f t="shared" si="68"/>
        <v>43</v>
      </c>
      <c r="AZ2150">
        <f t="shared" si="69"/>
        <v>3</v>
      </c>
    </row>
    <row r="2151" spans="1:52" ht="55.2">
      <c r="A2151" s="3" t="s">
        <v>2195</v>
      </c>
      <c r="D2151">
        <v>3</v>
      </c>
      <c r="J2151">
        <v>16</v>
      </c>
      <c r="AY2151">
        <f t="shared" si="68"/>
        <v>43</v>
      </c>
      <c r="AZ2151">
        <f t="shared" si="69"/>
        <v>3</v>
      </c>
    </row>
    <row r="2152" spans="1:52" ht="55.2">
      <c r="A2152" s="3" t="s">
        <v>2196</v>
      </c>
      <c r="D2152">
        <v>3</v>
      </c>
      <c r="J2152">
        <v>16</v>
      </c>
      <c r="AY2152">
        <f t="shared" si="68"/>
        <v>43</v>
      </c>
      <c r="AZ2152">
        <f t="shared" si="69"/>
        <v>3</v>
      </c>
    </row>
    <row r="2153" spans="1:52" ht="55.2">
      <c r="A2153" s="3" t="s">
        <v>2197</v>
      </c>
      <c r="D2153">
        <v>3</v>
      </c>
      <c r="J2153">
        <v>16</v>
      </c>
      <c r="AY2153">
        <f t="shared" si="68"/>
        <v>43</v>
      </c>
      <c r="AZ2153">
        <f t="shared" si="69"/>
        <v>3</v>
      </c>
    </row>
    <row r="2154" spans="1:52" ht="55.2">
      <c r="A2154" s="3" t="s">
        <v>2198</v>
      </c>
      <c r="D2154">
        <v>3</v>
      </c>
      <c r="J2154">
        <v>16</v>
      </c>
      <c r="AY2154">
        <f t="shared" si="68"/>
        <v>43</v>
      </c>
      <c r="AZ2154">
        <f t="shared" si="69"/>
        <v>3</v>
      </c>
    </row>
    <row r="2155" spans="1:52" ht="55.2">
      <c r="A2155" s="3" t="s">
        <v>2199</v>
      </c>
      <c r="D2155">
        <v>3</v>
      </c>
      <c r="J2155">
        <v>16</v>
      </c>
      <c r="AY2155">
        <f t="shared" si="68"/>
        <v>43</v>
      </c>
      <c r="AZ2155">
        <f t="shared" si="69"/>
        <v>3</v>
      </c>
    </row>
    <row r="2156" spans="1:52" ht="55.2">
      <c r="A2156" s="3" t="s">
        <v>2200</v>
      </c>
      <c r="D2156">
        <v>3</v>
      </c>
      <c r="L2156">
        <v>7</v>
      </c>
      <c r="AY2156">
        <f t="shared" si="68"/>
        <v>43</v>
      </c>
      <c r="AZ2156">
        <f t="shared" si="69"/>
        <v>3</v>
      </c>
    </row>
    <row r="2157" spans="1:52" ht="55.2">
      <c r="A2157" s="3" t="s">
        <v>2201</v>
      </c>
      <c r="D2157">
        <v>3</v>
      </c>
      <c r="L2157">
        <v>7</v>
      </c>
      <c r="AY2157">
        <f t="shared" si="68"/>
        <v>43</v>
      </c>
      <c r="AZ2157">
        <f t="shared" si="69"/>
        <v>3</v>
      </c>
    </row>
    <row r="2158" spans="1:52" ht="55.2">
      <c r="A2158" s="3" t="s">
        <v>2202</v>
      </c>
      <c r="D2158">
        <v>3</v>
      </c>
      <c r="L2158">
        <v>7</v>
      </c>
      <c r="AY2158">
        <f t="shared" si="68"/>
        <v>43</v>
      </c>
      <c r="AZ2158">
        <f t="shared" si="69"/>
        <v>3</v>
      </c>
    </row>
    <row r="2159" spans="1:52" ht="55.2">
      <c r="A2159" s="3" t="s">
        <v>2203</v>
      </c>
      <c r="D2159">
        <v>3</v>
      </c>
      <c r="L2159">
        <v>7</v>
      </c>
      <c r="AY2159">
        <f t="shared" si="68"/>
        <v>43</v>
      </c>
      <c r="AZ2159">
        <f t="shared" si="69"/>
        <v>3</v>
      </c>
    </row>
    <row r="2160" spans="1:52" ht="55.2">
      <c r="A2160" s="3" t="s">
        <v>2204</v>
      </c>
      <c r="D2160">
        <v>3</v>
      </c>
      <c r="L2160">
        <v>7</v>
      </c>
      <c r="AY2160">
        <f t="shared" si="68"/>
        <v>43</v>
      </c>
      <c r="AZ2160">
        <f t="shared" si="69"/>
        <v>3</v>
      </c>
    </row>
    <row r="2161" spans="1:52" ht="55.2">
      <c r="A2161" s="3" t="s">
        <v>2205</v>
      </c>
      <c r="D2161">
        <v>3</v>
      </c>
      <c r="L2161">
        <v>7</v>
      </c>
      <c r="AY2161">
        <f t="shared" si="68"/>
        <v>43</v>
      </c>
      <c r="AZ2161">
        <f t="shared" si="69"/>
        <v>3</v>
      </c>
    </row>
    <row r="2162" spans="1:52" ht="55.2">
      <c r="A2162" s="3" t="s">
        <v>2206</v>
      </c>
      <c r="D2162">
        <v>3</v>
      </c>
      <c r="L2162">
        <v>7</v>
      </c>
      <c r="AY2162">
        <f t="shared" si="68"/>
        <v>43</v>
      </c>
      <c r="AZ2162">
        <f t="shared" si="69"/>
        <v>3</v>
      </c>
    </row>
    <row r="2163" spans="1:52" ht="55.2">
      <c r="A2163" s="3" t="s">
        <v>2207</v>
      </c>
      <c r="D2163">
        <v>3</v>
      </c>
      <c r="L2163">
        <v>7</v>
      </c>
      <c r="AY2163">
        <f t="shared" si="68"/>
        <v>43</v>
      </c>
      <c r="AZ2163">
        <f t="shared" si="69"/>
        <v>3</v>
      </c>
    </row>
    <row r="2164" spans="1:52" ht="55.2">
      <c r="A2164" s="3" t="s">
        <v>2208</v>
      </c>
      <c r="D2164">
        <v>3</v>
      </c>
      <c r="L2164">
        <v>7</v>
      </c>
      <c r="AY2164">
        <f t="shared" si="68"/>
        <v>43</v>
      </c>
      <c r="AZ2164">
        <f t="shared" si="69"/>
        <v>3</v>
      </c>
    </row>
    <row r="2165" spans="1:52" ht="55.2">
      <c r="A2165" s="3" t="s">
        <v>2209</v>
      </c>
      <c r="D2165">
        <v>3</v>
      </c>
      <c r="L2165">
        <v>7</v>
      </c>
      <c r="AY2165">
        <f t="shared" si="68"/>
        <v>43</v>
      </c>
      <c r="AZ2165">
        <f t="shared" si="69"/>
        <v>3</v>
      </c>
    </row>
    <row r="2166" spans="1:52" ht="55.2">
      <c r="A2166" s="3" t="s">
        <v>2210</v>
      </c>
      <c r="D2166">
        <v>3</v>
      </c>
      <c r="L2166">
        <v>7</v>
      </c>
      <c r="AY2166">
        <f t="shared" si="68"/>
        <v>43</v>
      </c>
      <c r="AZ2166">
        <f t="shared" si="69"/>
        <v>3</v>
      </c>
    </row>
    <row r="2167" spans="1:52" ht="55.2">
      <c r="A2167" s="3" t="s">
        <v>2211</v>
      </c>
      <c r="D2167">
        <v>3</v>
      </c>
      <c r="L2167">
        <v>7</v>
      </c>
      <c r="AY2167">
        <f t="shared" si="68"/>
        <v>43</v>
      </c>
      <c r="AZ2167">
        <f t="shared" si="69"/>
        <v>3</v>
      </c>
    </row>
    <row r="2168" spans="1:52" ht="55.2">
      <c r="A2168" s="3" t="s">
        <v>2212</v>
      </c>
      <c r="D2168">
        <v>3</v>
      </c>
      <c r="L2168">
        <v>7</v>
      </c>
      <c r="AY2168">
        <f t="shared" si="68"/>
        <v>43</v>
      </c>
      <c r="AZ2168">
        <f t="shared" si="69"/>
        <v>3</v>
      </c>
    </row>
    <row r="2169" spans="1:52" ht="55.2">
      <c r="A2169" s="3" t="s">
        <v>2213</v>
      </c>
      <c r="D2169">
        <v>3</v>
      </c>
      <c r="L2169">
        <v>7</v>
      </c>
      <c r="AY2169">
        <f t="shared" si="68"/>
        <v>43</v>
      </c>
      <c r="AZ2169">
        <f t="shared" si="69"/>
        <v>3</v>
      </c>
    </row>
    <row r="2170" spans="1:52" ht="55.2">
      <c r="A2170" s="3" t="s">
        <v>2214</v>
      </c>
      <c r="D2170">
        <v>3</v>
      </c>
      <c r="J2170">
        <v>17</v>
      </c>
      <c r="AY2170">
        <f t="shared" si="68"/>
        <v>43</v>
      </c>
      <c r="AZ2170">
        <f t="shared" si="69"/>
        <v>3</v>
      </c>
    </row>
    <row r="2171" spans="1:52" ht="55.2">
      <c r="A2171" s="3" t="s">
        <v>2215</v>
      </c>
      <c r="D2171">
        <v>3</v>
      </c>
      <c r="J2171">
        <v>17</v>
      </c>
      <c r="AY2171">
        <f t="shared" si="68"/>
        <v>43</v>
      </c>
      <c r="AZ2171">
        <f t="shared" si="69"/>
        <v>3</v>
      </c>
    </row>
    <row r="2172" spans="1:52" ht="55.2">
      <c r="A2172" s="3" t="s">
        <v>2216</v>
      </c>
      <c r="D2172">
        <v>3</v>
      </c>
      <c r="J2172">
        <v>17</v>
      </c>
      <c r="AY2172">
        <f t="shared" si="68"/>
        <v>43</v>
      </c>
      <c r="AZ2172">
        <f t="shared" si="69"/>
        <v>3</v>
      </c>
    </row>
    <row r="2173" spans="1:52" ht="55.2">
      <c r="A2173" s="3" t="s">
        <v>2217</v>
      </c>
      <c r="D2173">
        <v>3</v>
      </c>
      <c r="J2173">
        <v>17</v>
      </c>
      <c r="AY2173">
        <f t="shared" si="68"/>
        <v>43</v>
      </c>
      <c r="AZ2173">
        <f t="shared" si="69"/>
        <v>3</v>
      </c>
    </row>
    <row r="2174" spans="1:52" ht="55.2">
      <c r="A2174" s="3" t="s">
        <v>2218</v>
      </c>
      <c r="D2174">
        <v>3</v>
      </c>
      <c r="J2174">
        <v>17</v>
      </c>
      <c r="AY2174">
        <f t="shared" si="68"/>
        <v>43</v>
      </c>
      <c r="AZ2174">
        <f t="shared" si="69"/>
        <v>3</v>
      </c>
    </row>
    <row r="2175" spans="1:52" ht="55.2">
      <c r="A2175" s="3" t="s">
        <v>2219</v>
      </c>
      <c r="D2175">
        <v>3</v>
      </c>
      <c r="J2175">
        <v>17</v>
      </c>
      <c r="AY2175">
        <f t="shared" si="68"/>
        <v>43</v>
      </c>
      <c r="AZ2175">
        <f t="shared" si="69"/>
        <v>3</v>
      </c>
    </row>
    <row r="2176" spans="1:52" ht="55.2">
      <c r="A2176" s="3" t="s">
        <v>2220</v>
      </c>
      <c r="D2176">
        <v>3</v>
      </c>
      <c r="J2176">
        <v>17</v>
      </c>
      <c r="AY2176">
        <f t="shared" si="68"/>
        <v>43</v>
      </c>
      <c r="AZ2176">
        <f t="shared" si="69"/>
        <v>3</v>
      </c>
    </row>
    <row r="2177" spans="1:52" ht="55.2">
      <c r="A2177" s="3" t="s">
        <v>2221</v>
      </c>
      <c r="D2177">
        <v>3</v>
      </c>
      <c r="J2177">
        <v>17</v>
      </c>
      <c r="AY2177">
        <f t="shared" si="68"/>
        <v>43</v>
      </c>
      <c r="AZ2177">
        <f t="shared" si="69"/>
        <v>3</v>
      </c>
    </row>
    <row r="2178" spans="1:52" ht="55.2">
      <c r="A2178" s="3" t="s">
        <v>2222</v>
      </c>
      <c r="D2178">
        <v>3</v>
      </c>
      <c r="J2178">
        <v>17</v>
      </c>
      <c r="AY2178">
        <f t="shared" si="68"/>
        <v>43</v>
      </c>
      <c r="AZ2178">
        <f t="shared" si="69"/>
        <v>3</v>
      </c>
    </row>
    <row r="2179" spans="1:52" ht="55.2">
      <c r="A2179" s="3" t="s">
        <v>2223</v>
      </c>
      <c r="D2179">
        <v>3</v>
      </c>
      <c r="J2179">
        <v>17</v>
      </c>
      <c r="AY2179">
        <f t="shared" si="68"/>
        <v>43</v>
      </c>
      <c r="AZ2179">
        <f t="shared" si="69"/>
        <v>3</v>
      </c>
    </row>
    <row r="2180" spans="1:52" ht="55.2">
      <c r="A2180" s="3" t="s">
        <v>2224</v>
      </c>
      <c r="D2180">
        <v>3</v>
      </c>
      <c r="J2180">
        <v>17</v>
      </c>
      <c r="AY2180">
        <f t="shared" si="68"/>
        <v>43</v>
      </c>
      <c r="AZ2180">
        <f t="shared" si="69"/>
        <v>3</v>
      </c>
    </row>
    <row r="2181" spans="1:52" ht="55.2">
      <c r="A2181" s="3" t="s">
        <v>2225</v>
      </c>
      <c r="D2181">
        <v>3</v>
      </c>
      <c r="J2181">
        <v>17</v>
      </c>
      <c r="AY2181">
        <f t="shared" si="68"/>
        <v>43</v>
      </c>
      <c r="AZ2181">
        <f t="shared" si="69"/>
        <v>3</v>
      </c>
    </row>
    <row r="2182" spans="1:52" ht="55.2">
      <c r="A2182" s="3" t="s">
        <v>2226</v>
      </c>
      <c r="D2182">
        <v>3</v>
      </c>
      <c r="J2182">
        <v>17</v>
      </c>
      <c r="AY2182">
        <f t="shared" si="68"/>
        <v>43</v>
      </c>
      <c r="AZ2182">
        <f t="shared" si="69"/>
        <v>3</v>
      </c>
    </row>
    <row r="2183" spans="1:52" ht="55.2">
      <c r="A2183" s="3" t="s">
        <v>2227</v>
      </c>
      <c r="D2183">
        <v>3</v>
      </c>
      <c r="J2183">
        <v>17</v>
      </c>
      <c r="AY2183">
        <f t="shared" si="68"/>
        <v>43</v>
      </c>
      <c r="AZ2183">
        <f t="shared" si="69"/>
        <v>3</v>
      </c>
    </row>
    <row r="2184" spans="1:52" ht="55.2">
      <c r="A2184" s="3" t="s">
        <v>2228</v>
      </c>
      <c r="D2184">
        <v>3</v>
      </c>
      <c r="J2184">
        <v>17</v>
      </c>
      <c r="AY2184">
        <f t="shared" si="68"/>
        <v>43</v>
      </c>
      <c r="AZ2184">
        <f t="shared" si="69"/>
        <v>3</v>
      </c>
    </row>
    <row r="2185" spans="1:52" ht="55.2">
      <c r="A2185" s="3" t="s">
        <v>2229</v>
      </c>
      <c r="D2185">
        <v>3</v>
      </c>
      <c r="J2185">
        <v>17</v>
      </c>
      <c r="AY2185">
        <f t="shared" si="68"/>
        <v>43</v>
      </c>
      <c r="AZ2185">
        <f t="shared" si="69"/>
        <v>3</v>
      </c>
    </row>
    <row r="2186" spans="1:52" ht="55.2">
      <c r="A2186" s="3" t="s">
        <v>2230</v>
      </c>
      <c r="D2186">
        <v>3</v>
      </c>
      <c r="J2186">
        <v>17</v>
      </c>
      <c r="AY2186">
        <f t="shared" si="68"/>
        <v>43</v>
      </c>
      <c r="AZ2186">
        <f t="shared" si="69"/>
        <v>3</v>
      </c>
    </row>
    <row r="2187" spans="1:52" ht="55.2">
      <c r="A2187" s="3" t="s">
        <v>2231</v>
      </c>
      <c r="D2187">
        <v>3</v>
      </c>
      <c r="J2187">
        <v>17</v>
      </c>
      <c r="AY2187">
        <f t="shared" si="68"/>
        <v>43</v>
      </c>
      <c r="AZ2187">
        <f t="shared" si="69"/>
        <v>3</v>
      </c>
    </row>
    <row r="2188" spans="1:52" ht="55.2">
      <c r="A2188" s="3" t="s">
        <v>2232</v>
      </c>
      <c r="D2188">
        <v>3</v>
      </c>
      <c r="J2188">
        <v>17</v>
      </c>
      <c r="AY2188">
        <f t="shared" si="68"/>
        <v>43</v>
      </c>
      <c r="AZ2188">
        <f t="shared" si="69"/>
        <v>3</v>
      </c>
    </row>
    <row r="2189" spans="1:52" ht="55.2">
      <c r="A2189" s="3" t="s">
        <v>2233</v>
      </c>
      <c r="D2189">
        <v>3</v>
      </c>
      <c r="J2189">
        <v>17</v>
      </c>
      <c r="AY2189">
        <f t="shared" si="68"/>
        <v>43</v>
      </c>
      <c r="AZ2189">
        <f t="shared" si="69"/>
        <v>3</v>
      </c>
    </row>
    <row r="2190" spans="1:52" ht="55.2">
      <c r="A2190" s="3" t="s">
        <v>2234</v>
      </c>
      <c r="D2190">
        <v>3</v>
      </c>
      <c r="J2190">
        <v>17</v>
      </c>
      <c r="AY2190">
        <f t="shared" si="68"/>
        <v>43</v>
      </c>
      <c r="AZ2190">
        <f t="shared" si="69"/>
        <v>3</v>
      </c>
    </row>
    <row r="2191" spans="1:52" ht="55.2">
      <c r="A2191" s="3" t="s">
        <v>2235</v>
      </c>
      <c r="D2191">
        <v>3</v>
      </c>
      <c r="J2191">
        <v>17</v>
      </c>
      <c r="AY2191">
        <f t="shared" si="68"/>
        <v>43</v>
      </c>
      <c r="AZ2191">
        <f t="shared" si="69"/>
        <v>3</v>
      </c>
    </row>
    <row r="2192" spans="1:52" ht="55.2">
      <c r="A2192" s="3" t="s">
        <v>2236</v>
      </c>
      <c r="D2192">
        <v>3</v>
      </c>
      <c r="J2192">
        <v>17</v>
      </c>
      <c r="AY2192">
        <f t="shared" si="68"/>
        <v>43</v>
      </c>
      <c r="AZ2192">
        <f t="shared" si="69"/>
        <v>3</v>
      </c>
    </row>
    <row r="2193" spans="1:52" ht="55.2">
      <c r="A2193" s="3" t="s">
        <v>2237</v>
      </c>
      <c r="D2193">
        <v>3</v>
      </c>
      <c r="J2193">
        <v>17</v>
      </c>
      <c r="AY2193">
        <f t="shared" si="68"/>
        <v>43</v>
      </c>
      <c r="AZ2193">
        <f t="shared" si="69"/>
        <v>3</v>
      </c>
    </row>
    <row r="2194" spans="1:52" ht="55.2">
      <c r="A2194" s="3" t="s">
        <v>2238</v>
      </c>
      <c r="D2194">
        <v>3</v>
      </c>
      <c r="J2194">
        <v>17</v>
      </c>
      <c r="AY2194">
        <f t="shared" si="68"/>
        <v>43</v>
      </c>
      <c r="AZ2194">
        <f t="shared" si="69"/>
        <v>3</v>
      </c>
    </row>
    <row r="2195" spans="1:52" ht="55.2">
      <c r="A2195" s="3" t="s">
        <v>2239</v>
      </c>
      <c r="D2195">
        <v>3</v>
      </c>
      <c r="J2195">
        <v>17</v>
      </c>
      <c r="AY2195">
        <f t="shared" si="68"/>
        <v>43</v>
      </c>
      <c r="AZ2195">
        <f t="shared" si="69"/>
        <v>3</v>
      </c>
    </row>
    <row r="2196" spans="1:52" ht="55.2">
      <c r="A2196" s="3" t="s">
        <v>2240</v>
      </c>
      <c r="D2196">
        <v>3</v>
      </c>
      <c r="J2196">
        <v>17</v>
      </c>
      <c r="AY2196">
        <f t="shared" si="68"/>
        <v>43</v>
      </c>
      <c r="AZ2196">
        <f t="shared" si="69"/>
        <v>3</v>
      </c>
    </row>
    <row r="2197" spans="1:52" ht="55.2">
      <c r="A2197" s="3" t="s">
        <v>2241</v>
      </c>
      <c r="D2197">
        <v>3</v>
      </c>
      <c r="J2197">
        <v>17</v>
      </c>
      <c r="AY2197">
        <f t="shared" si="68"/>
        <v>43</v>
      </c>
      <c r="AZ2197">
        <f t="shared" si="69"/>
        <v>3</v>
      </c>
    </row>
    <row r="2198" spans="1:52" ht="55.2">
      <c r="A2198" s="3" t="s">
        <v>2242</v>
      </c>
      <c r="D2198">
        <v>3</v>
      </c>
      <c r="J2198">
        <v>17</v>
      </c>
      <c r="AY2198">
        <f t="shared" si="68"/>
        <v>43</v>
      </c>
      <c r="AZ2198">
        <f t="shared" si="69"/>
        <v>3</v>
      </c>
    </row>
    <row r="2199" spans="1:52" ht="55.2">
      <c r="A2199" s="3" t="s">
        <v>2243</v>
      </c>
      <c r="D2199">
        <v>3</v>
      </c>
      <c r="J2199">
        <v>17</v>
      </c>
      <c r="AY2199">
        <f t="shared" si="68"/>
        <v>43</v>
      </c>
      <c r="AZ2199">
        <f t="shared" si="69"/>
        <v>3</v>
      </c>
    </row>
    <row r="2200" spans="1:52" ht="55.2">
      <c r="A2200" s="3" t="s">
        <v>2244</v>
      </c>
      <c r="D2200">
        <v>3</v>
      </c>
      <c r="J2200">
        <v>17</v>
      </c>
      <c r="AY2200">
        <f t="shared" si="68"/>
        <v>43</v>
      </c>
      <c r="AZ2200">
        <f t="shared" si="69"/>
        <v>3</v>
      </c>
    </row>
    <row r="2201" spans="1:52" ht="55.2">
      <c r="A2201" s="3" t="s">
        <v>2245</v>
      </c>
      <c r="D2201">
        <v>3</v>
      </c>
      <c r="J2201">
        <v>17</v>
      </c>
      <c r="AY2201">
        <f t="shared" si="68"/>
        <v>43</v>
      </c>
      <c r="AZ2201">
        <f t="shared" si="69"/>
        <v>3</v>
      </c>
    </row>
    <row r="2202" spans="1:52" ht="55.2">
      <c r="A2202" s="3" t="s">
        <v>2246</v>
      </c>
      <c r="D2202">
        <v>3</v>
      </c>
      <c r="J2202">
        <v>17</v>
      </c>
      <c r="AY2202">
        <f t="shared" si="68"/>
        <v>43</v>
      </c>
      <c r="AZ2202">
        <f t="shared" si="69"/>
        <v>3</v>
      </c>
    </row>
    <row r="2203" spans="1:52" ht="55.2">
      <c r="A2203" s="3" t="s">
        <v>2247</v>
      </c>
      <c r="D2203">
        <v>3</v>
      </c>
      <c r="J2203">
        <v>17</v>
      </c>
      <c r="AY2203">
        <f t="shared" si="68"/>
        <v>43</v>
      </c>
      <c r="AZ2203">
        <f t="shared" si="69"/>
        <v>3</v>
      </c>
    </row>
    <row r="2204" spans="1:52" ht="55.2">
      <c r="A2204" s="3" t="s">
        <v>2248</v>
      </c>
      <c r="D2204">
        <v>3</v>
      </c>
      <c r="J2204">
        <v>17</v>
      </c>
      <c r="AY2204">
        <f t="shared" si="68"/>
        <v>43</v>
      </c>
      <c r="AZ2204">
        <f t="shared" si="69"/>
        <v>3</v>
      </c>
    </row>
    <row r="2205" spans="1:52" ht="55.2">
      <c r="A2205" s="3" t="s">
        <v>2249</v>
      </c>
      <c r="D2205">
        <v>3</v>
      </c>
      <c r="J2205">
        <v>17</v>
      </c>
      <c r="AY2205">
        <f t="shared" si="68"/>
        <v>43</v>
      </c>
      <c r="AZ2205">
        <f t="shared" si="69"/>
        <v>3</v>
      </c>
    </row>
    <row r="2206" spans="1:52" ht="55.2">
      <c r="A2206" s="3" t="s">
        <v>2250</v>
      </c>
      <c r="D2206">
        <v>3</v>
      </c>
      <c r="J2206">
        <v>17</v>
      </c>
      <c r="AY2206">
        <f t="shared" si="68"/>
        <v>43</v>
      </c>
      <c r="AZ2206">
        <f t="shared" si="69"/>
        <v>3</v>
      </c>
    </row>
    <row r="2207" spans="1:52" ht="55.2">
      <c r="A2207" s="3" t="s">
        <v>2251</v>
      </c>
      <c r="D2207">
        <v>3</v>
      </c>
      <c r="J2207">
        <v>17</v>
      </c>
      <c r="AY2207">
        <f t="shared" si="68"/>
        <v>43</v>
      </c>
      <c r="AZ2207">
        <f t="shared" si="69"/>
        <v>3</v>
      </c>
    </row>
    <row r="2208" spans="1:52" ht="55.2">
      <c r="A2208" s="3" t="s">
        <v>2252</v>
      </c>
      <c r="D2208">
        <v>3</v>
      </c>
      <c r="J2208">
        <v>17</v>
      </c>
      <c r="AY2208">
        <f t="shared" si="68"/>
        <v>43</v>
      </c>
      <c r="AZ2208">
        <f t="shared" si="69"/>
        <v>3</v>
      </c>
    </row>
    <row r="2209" spans="1:52" ht="55.2">
      <c r="A2209" s="3" t="s">
        <v>2253</v>
      </c>
      <c r="D2209">
        <v>3</v>
      </c>
      <c r="J2209">
        <v>17</v>
      </c>
      <c r="AY2209">
        <f t="shared" ref="AY2209:AY2272" si="70">COUNTBLANK(F2209:AW2209)</f>
        <v>43</v>
      </c>
      <c r="AZ2209">
        <f t="shared" ref="AZ2209:AZ2272" si="71">COUNTBLANK(B2209:E2209)</f>
        <v>3</v>
      </c>
    </row>
    <row r="2210" spans="1:52" ht="55.2">
      <c r="A2210" s="3" t="s">
        <v>2254</v>
      </c>
      <c r="D2210">
        <v>3</v>
      </c>
      <c r="J2210">
        <v>17</v>
      </c>
      <c r="AY2210">
        <f t="shared" si="70"/>
        <v>43</v>
      </c>
      <c r="AZ2210">
        <f t="shared" si="71"/>
        <v>3</v>
      </c>
    </row>
    <row r="2211" spans="1:52" ht="55.2">
      <c r="A2211" s="3" t="s">
        <v>2255</v>
      </c>
      <c r="D2211">
        <v>3</v>
      </c>
      <c r="J2211">
        <v>17</v>
      </c>
      <c r="AY2211">
        <f t="shared" si="70"/>
        <v>43</v>
      </c>
      <c r="AZ2211">
        <f t="shared" si="71"/>
        <v>3</v>
      </c>
    </row>
    <row r="2212" spans="1:52" ht="55.2">
      <c r="A2212" s="3" t="s">
        <v>2256</v>
      </c>
      <c r="D2212">
        <v>3</v>
      </c>
      <c r="J2212">
        <v>17</v>
      </c>
      <c r="AY2212">
        <f t="shared" si="70"/>
        <v>43</v>
      </c>
      <c r="AZ2212">
        <f t="shared" si="71"/>
        <v>3</v>
      </c>
    </row>
    <row r="2213" spans="1:52" ht="55.2">
      <c r="A2213" s="3" t="s">
        <v>2257</v>
      </c>
      <c r="D2213">
        <v>3</v>
      </c>
      <c r="J2213">
        <v>17</v>
      </c>
      <c r="AY2213">
        <f t="shared" si="70"/>
        <v>43</v>
      </c>
      <c r="AZ2213">
        <f t="shared" si="71"/>
        <v>3</v>
      </c>
    </row>
    <row r="2214" spans="1:52" ht="55.2">
      <c r="A2214" s="3" t="s">
        <v>2258</v>
      </c>
      <c r="D2214">
        <v>3</v>
      </c>
      <c r="J2214">
        <v>17</v>
      </c>
      <c r="AY2214">
        <f t="shared" si="70"/>
        <v>43</v>
      </c>
      <c r="AZ2214">
        <f t="shared" si="71"/>
        <v>3</v>
      </c>
    </row>
    <row r="2215" spans="1:52" ht="55.2">
      <c r="A2215" s="3" t="s">
        <v>2259</v>
      </c>
      <c r="D2215">
        <v>3</v>
      </c>
      <c r="J2215">
        <v>17</v>
      </c>
      <c r="AY2215">
        <f t="shared" si="70"/>
        <v>43</v>
      </c>
      <c r="AZ2215">
        <f t="shared" si="71"/>
        <v>3</v>
      </c>
    </row>
    <row r="2216" spans="1:52" ht="55.2">
      <c r="A2216" s="3" t="s">
        <v>2260</v>
      </c>
      <c r="D2216">
        <v>3</v>
      </c>
      <c r="J2216">
        <v>17</v>
      </c>
      <c r="AY2216">
        <f t="shared" si="70"/>
        <v>43</v>
      </c>
      <c r="AZ2216">
        <f t="shared" si="71"/>
        <v>3</v>
      </c>
    </row>
    <row r="2217" spans="1:52" ht="55.2">
      <c r="A2217" s="3" t="s">
        <v>2261</v>
      </c>
      <c r="D2217">
        <v>3</v>
      </c>
      <c r="J2217">
        <v>17</v>
      </c>
      <c r="AY2217">
        <f t="shared" si="70"/>
        <v>43</v>
      </c>
      <c r="AZ2217">
        <f t="shared" si="71"/>
        <v>3</v>
      </c>
    </row>
    <row r="2218" spans="1:52" ht="55.2">
      <c r="A2218" s="3" t="s">
        <v>2262</v>
      </c>
      <c r="D2218">
        <v>3</v>
      </c>
      <c r="J2218">
        <v>17</v>
      </c>
      <c r="AY2218">
        <f t="shared" si="70"/>
        <v>43</v>
      </c>
      <c r="AZ2218">
        <f t="shared" si="71"/>
        <v>3</v>
      </c>
    </row>
    <row r="2219" spans="1:52" ht="55.2">
      <c r="A2219" s="3" t="s">
        <v>2263</v>
      </c>
      <c r="D2219">
        <v>3</v>
      </c>
      <c r="J2219">
        <v>17</v>
      </c>
      <c r="AY2219">
        <f t="shared" si="70"/>
        <v>43</v>
      </c>
      <c r="AZ2219">
        <f t="shared" si="71"/>
        <v>3</v>
      </c>
    </row>
    <row r="2220" spans="1:52" ht="55.2">
      <c r="A2220" s="3" t="s">
        <v>2264</v>
      </c>
      <c r="D2220">
        <v>3</v>
      </c>
      <c r="J2220">
        <v>17</v>
      </c>
      <c r="AY2220">
        <f t="shared" si="70"/>
        <v>43</v>
      </c>
      <c r="AZ2220">
        <f t="shared" si="71"/>
        <v>3</v>
      </c>
    </row>
    <row r="2221" spans="1:52" ht="55.2">
      <c r="A2221" s="3" t="s">
        <v>2265</v>
      </c>
      <c r="D2221">
        <v>3</v>
      </c>
      <c r="J2221">
        <v>17</v>
      </c>
      <c r="AY2221">
        <f t="shared" si="70"/>
        <v>43</v>
      </c>
      <c r="AZ2221">
        <f t="shared" si="71"/>
        <v>3</v>
      </c>
    </row>
    <row r="2222" spans="1:52" ht="55.2">
      <c r="A2222" s="3" t="s">
        <v>2266</v>
      </c>
      <c r="D2222">
        <v>3</v>
      </c>
      <c r="E2222">
        <v>3</v>
      </c>
      <c r="J2222">
        <v>17</v>
      </c>
      <c r="AY2222">
        <f t="shared" si="70"/>
        <v>43</v>
      </c>
      <c r="AZ2222">
        <f t="shared" si="71"/>
        <v>2</v>
      </c>
    </row>
    <row r="2223" spans="1:52" ht="55.2">
      <c r="A2223" s="3" t="s">
        <v>2267</v>
      </c>
      <c r="D2223">
        <v>3</v>
      </c>
      <c r="E2223">
        <v>3</v>
      </c>
      <c r="J2223">
        <v>17</v>
      </c>
      <c r="AY2223">
        <f t="shared" si="70"/>
        <v>43</v>
      </c>
      <c r="AZ2223">
        <f t="shared" si="71"/>
        <v>2</v>
      </c>
    </row>
    <row r="2224" spans="1:52" ht="55.2">
      <c r="A2224" s="3" t="s">
        <v>2268</v>
      </c>
      <c r="D2224">
        <v>3</v>
      </c>
      <c r="E2224">
        <v>3</v>
      </c>
      <c r="J2224">
        <v>17</v>
      </c>
      <c r="AY2224">
        <f t="shared" si="70"/>
        <v>43</v>
      </c>
      <c r="AZ2224">
        <f t="shared" si="71"/>
        <v>2</v>
      </c>
    </row>
    <row r="2225" spans="1:52" ht="55.2">
      <c r="A2225" s="3" t="s">
        <v>2269</v>
      </c>
      <c r="D2225">
        <v>3</v>
      </c>
      <c r="E2225">
        <v>3</v>
      </c>
      <c r="J2225">
        <v>17</v>
      </c>
      <c r="AY2225">
        <f t="shared" si="70"/>
        <v>43</v>
      </c>
      <c r="AZ2225">
        <f t="shared" si="71"/>
        <v>2</v>
      </c>
    </row>
    <row r="2226" spans="1:52" ht="55.2">
      <c r="A2226" s="3" t="s">
        <v>2270</v>
      </c>
      <c r="D2226">
        <v>3</v>
      </c>
      <c r="E2226">
        <v>3</v>
      </c>
      <c r="J2226">
        <v>17</v>
      </c>
      <c r="AY2226">
        <f t="shared" si="70"/>
        <v>43</v>
      </c>
      <c r="AZ2226">
        <f t="shared" si="71"/>
        <v>2</v>
      </c>
    </row>
    <row r="2227" spans="1:52" ht="55.2">
      <c r="A2227" s="3" t="s">
        <v>2271</v>
      </c>
      <c r="D2227">
        <v>3</v>
      </c>
      <c r="E2227">
        <v>3</v>
      </c>
      <c r="J2227">
        <v>17</v>
      </c>
      <c r="AY2227">
        <f t="shared" si="70"/>
        <v>43</v>
      </c>
      <c r="AZ2227">
        <f t="shared" si="71"/>
        <v>2</v>
      </c>
    </row>
    <row r="2228" spans="1:52" ht="55.2">
      <c r="A2228" s="3" t="s">
        <v>2272</v>
      </c>
      <c r="D2228">
        <v>3</v>
      </c>
      <c r="E2228">
        <v>3</v>
      </c>
      <c r="J2228">
        <v>17</v>
      </c>
      <c r="AY2228">
        <f t="shared" si="70"/>
        <v>43</v>
      </c>
      <c r="AZ2228">
        <f t="shared" si="71"/>
        <v>2</v>
      </c>
    </row>
    <row r="2229" spans="1:52" ht="55.2">
      <c r="A2229" s="3" t="s">
        <v>2273</v>
      </c>
      <c r="D2229">
        <v>3</v>
      </c>
      <c r="E2229">
        <v>3</v>
      </c>
      <c r="J2229">
        <v>17</v>
      </c>
      <c r="AY2229">
        <f t="shared" si="70"/>
        <v>43</v>
      </c>
      <c r="AZ2229">
        <f t="shared" si="71"/>
        <v>2</v>
      </c>
    </row>
    <row r="2230" spans="1:52" ht="55.2">
      <c r="A2230" s="3" t="s">
        <v>2274</v>
      </c>
      <c r="D2230">
        <v>3</v>
      </c>
      <c r="E2230">
        <v>3</v>
      </c>
      <c r="J2230">
        <v>17</v>
      </c>
      <c r="AY2230">
        <f t="shared" si="70"/>
        <v>43</v>
      </c>
      <c r="AZ2230">
        <f t="shared" si="71"/>
        <v>2</v>
      </c>
    </row>
    <row r="2231" spans="1:52" ht="55.2">
      <c r="A2231" s="3" t="s">
        <v>2275</v>
      </c>
      <c r="D2231">
        <v>3</v>
      </c>
      <c r="E2231">
        <v>3</v>
      </c>
      <c r="J2231">
        <v>17</v>
      </c>
      <c r="AY2231">
        <f t="shared" si="70"/>
        <v>43</v>
      </c>
      <c r="AZ2231">
        <f t="shared" si="71"/>
        <v>2</v>
      </c>
    </row>
    <row r="2232" spans="1:52" ht="55.2">
      <c r="A2232" s="3" t="s">
        <v>2276</v>
      </c>
      <c r="D2232">
        <v>3</v>
      </c>
      <c r="E2232">
        <v>3</v>
      </c>
      <c r="J2232">
        <v>17</v>
      </c>
      <c r="AY2232">
        <f t="shared" si="70"/>
        <v>43</v>
      </c>
      <c r="AZ2232">
        <f t="shared" si="71"/>
        <v>2</v>
      </c>
    </row>
    <row r="2233" spans="1:52" ht="55.2">
      <c r="A2233" s="3" t="s">
        <v>2277</v>
      </c>
      <c r="D2233">
        <v>3</v>
      </c>
      <c r="E2233">
        <v>3</v>
      </c>
      <c r="J2233">
        <v>17</v>
      </c>
      <c r="AY2233">
        <f t="shared" si="70"/>
        <v>43</v>
      </c>
      <c r="AZ2233">
        <f t="shared" si="71"/>
        <v>2</v>
      </c>
    </row>
    <row r="2234" spans="1:52" ht="55.2">
      <c r="A2234" s="3" t="s">
        <v>2278</v>
      </c>
      <c r="D2234">
        <v>3</v>
      </c>
      <c r="E2234">
        <v>3</v>
      </c>
      <c r="J2234">
        <v>17</v>
      </c>
      <c r="AY2234">
        <f t="shared" si="70"/>
        <v>43</v>
      </c>
      <c r="AZ2234">
        <f t="shared" si="71"/>
        <v>2</v>
      </c>
    </row>
    <row r="2235" spans="1:52" ht="55.2">
      <c r="A2235" s="3" t="s">
        <v>2279</v>
      </c>
      <c r="D2235">
        <v>3</v>
      </c>
      <c r="E2235">
        <v>3</v>
      </c>
      <c r="J2235">
        <v>17</v>
      </c>
      <c r="AY2235">
        <f t="shared" si="70"/>
        <v>43</v>
      </c>
      <c r="AZ2235">
        <f t="shared" si="71"/>
        <v>2</v>
      </c>
    </row>
    <row r="2236" spans="1:52" ht="55.2">
      <c r="A2236" s="3" t="s">
        <v>2280</v>
      </c>
      <c r="D2236">
        <v>3</v>
      </c>
      <c r="E2236">
        <v>3</v>
      </c>
      <c r="J2236">
        <v>17</v>
      </c>
      <c r="AY2236">
        <f t="shared" si="70"/>
        <v>43</v>
      </c>
      <c r="AZ2236">
        <f t="shared" si="71"/>
        <v>2</v>
      </c>
    </row>
    <row r="2237" spans="1:52" ht="55.2">
      <c r="A2237" s="3" t="s">
        <v>2281</v>
      </c>
      <c r="D2237">
        <v>3</v>
      </c>
      <c r="E2237">
        <v>3</v>
      </c>
      <c r="J2237">
        <v>17</v>
      </c>
      <c r="AY2237">
        <f t="shared" si="70"/>
        <v>43</v>
      </c>
      <c r="AZ2237">
        <f t="shared" si="71"/>
        <v>2</v>
      </c>
    </row>
    <row r="2238" spans="1:52" ht="55.2">
      <c r="A2238" s="3" t="s">
        <v>2282</v>
      </c>
      <c r="D2238">
        <v>3</v>
      </c>
      <c r="E2238">
        <v>3</v>
      </c>
      <c r="J2238">
        <v>17</v>
      </c>
      <c r="AY2238">
        <f t="shared" si="70"/>
        <v>43</v>
      </c>
      <c r="AZ2238">
        <f t="shared" si="71"/>
        <v>2</v>
      </c>
    </row>
    <row r="2239" spans="1:52" ht="55.2">
      <c r="A2239" s="3" t="s">
        <v>2283</v>
      </c>
      <c r="D2239">
        <v>3</v>
      </c>
      <c r="E2239">
        <v>3</v>
      </c>
      <c r="J2239">
        <v>17</v>
      </c>
      <c r="AY2239">
        <f t="shared" si="70"/>
        <v>43</v>
      </c>
      <c r="AZ2239">
        <f t="shared" si="71"/>
        <v>2</v>
      </c>
    </row>
    <row r="2240" spans="1:52" ht="55.2">
      <c r="A2240" s="3" t="s">
        <v>2284</v>
      </c>
      <c r="E2240">
        <v>3</v>
      </c>
      <c r="J2240">
        <v>17</v>
      </c>
      <c r="AY2240">
        <f t="shared" si="70"/>
        <v>43</v>
      </c>
      <c r="AZ2240">
        <f t="shared" si="71"/>
        <v>3</v>
      </c>
    </row>
    <row r="2241" spans="1:52" ht="55.2">
      <c r="A2241" s="3" t="s">
        <v>2285</v>
      </c>
      <c r="E2241">
        <v>3</v>
      </c>
      <c r="J2241">
        <v>17</v>
      </c>
      <c r="AY2241">
        <f t="shared" si="70"/>
        <v>43</v>
      </c>
      <c r="AZ2241">
        <f t="shared" si="71"/>
        <v>3</v>
      </c>
    </row>
    <row r="2242" spans="1:52" ht="55.2">
      <c r="A2242" s="3" t="s">
        <v>2286</v>
      </c>
      <c r="E2242">
        <v>3</v>
      </c>
      <c r="J2242">
        <v>17</v>
      </c>
      <c r="AY2242">
        <f t="shared" si="70"/>
        <v>43</v>
      </c>
      <c r="AZ2242">
        <f t="shared" si="71"/>
        <v>3</v>
      </c>
    </row>
    <row r="2243" spans="1:52" ht="55.2">
      <c r="A2243" s="3" t="s">
        <v>2287</v>
      </c>
      <c r="E2243">
        <v>3</v>
      </c>
      <c r="AT2243">
        <v>6</v>
      </c>
      <c r="AY2243">
        <f t="shared" si="70"/>
        <v>43</v>
      </c>
      <c r="AZ2243">
        <f t="shared" si="71"/>
        <v>3</v>
      </c>
    </row>
    <row r="2244" spans="1:52" ht="55.2">
      <c r="A2244" s="3" t="s">
        <v>2288</v>
      </c>
      <c r="E2244">
        <v>3</v>
      </c>
      <c r="AT2244">
        <v>6</v>
      </c>
      <c r="AY2244">
        <f t="shared" si="70"/>
        <v>43</v>
      </c>
      <c r="AZ2244">
        <f t="shared" si="71"/>
        <v>3</v>
      </c>
    </row>
    <row r="2245" spans="1:52" ht="55.2">
      <c r="A2245" s="3" t="s">
        <v>2289</v>
      </c>
      <c r="E2245">
        <v>3</v>
      </c>
      <c r="AT2245">
        <v>6</v>
      </c>
      <c r="AY2245">
        <f t="shared" si="70"/>
        <v>43</v>
      </c>
      <c r="AZ2245">
        <f t="shared" si="71"/>
        <v>3</v>
      </c>
    </row>
    <row r="2246" spans="1:52" ht="55.2">
      <c r="A2246" s="3" t="s">
        <v>2290</v>
      </c>
      <c r="E2246">
        <v>3</v>
      </c>
      <c r="AT2246">
        <v>6</v>
      </c>
      <c r="AY2246">
        <f t="shared" si="70"/>
        <v>43</v>
      </c>
      <c r="AZ2246">
        <f t="shared" si="71"/>
        <v>3</v>
      </c>
    </row>
    <row r="2247" spans="1:52" ht="55.2">
      <c r="A2247" s="3" t="s">
        <v>2291</v>
      </c>
      <c r="E2247">
        <v>3</v>
      </c>
      <c r="AT2247">
        <v>6</v>
      </c>
      <c r="AY2247">
        <f t="shared" si="70"/>
        <v>43</v>
      </c>
      <c r="AZ2247">
        <f t="shared" si="71"/>
        <v>3</v>
      </c>
    </row>
    <row r="2248" spans="1:52" ht="55.2">
      <c r="A2248" s="3" t="s">
        <v>2292</v>
      </c>
      <c r="E2248">
        <v>3</v>
      </c>
      <c r="AT2248">
        <v>6</v>
      </c>
      <c r="AY2248">
        <f t="shared" si="70"/>
        <v>43</v>
      </c>
      <c r="AZ2248">
        <f t="shared" si="71"/>
        <v>3</v>
      </c>
    </row>
    <row r="2249" spans="1:52" ht="55.2">
      <c r="A2249" s="3" t="s">
        <v>2293</v>
      </c>
      <c r="E2249">
        <v>3</v>
      </c>
      <c r="AT2249">
        <v>6</v>
      </c>
      <c r="AY2249">
        <f t="shared" si="70"/>
        <v>43</v>
      </c>
      <c r="AZ2249">
        <f t="shared" si="71"/>
        <v>3</v>
      </c>
    </row>
    <row r="2250" spans="1:52" ht="55.2">
      <c r="A2250" s="3" t="s">
        <v>2294</v>
      </c>
      <c r="E2250">
        <v>3</v>
      </c>
      <c r="AT2250">
        <v>6</v>
      </c>
      <c r="AY2250">
        <f t="shared" si="70"/>
        <v>43</v>
      </c>
      <c r="AZ2250">
        <f t="shared" si="71"/>
        <v>3</v>
      </c>
    </row>
    <row r="2251" spans="1:52" ht="55.2">
      <c r="A2251" s="3" t="s">
        <v>2295</v>
      </c>
      <c r="E2251">
        <v>3</v>
      </c>
      <c r="AT2251">
        <v>6</v>
      </c>
      <c r="AY2251">
        <f t="shared" si="70"/>
        <v>43</v>
      </c>
      <c r="AZ2251">
        <f t="shared" si="71"/>
        <v>3</v>
      </c>
    </row>
    <row r="2252" spans="1:52" ht="55.2">
      <c r="A2252" s="3" t="s">
        <v>2296</v>
      </c>
      <c r="E2252">
        <v>3</v>
      </c>
      <c r="AT2252">
        <v>6</v>
      </c>
      <c r="AY2252">
        <f t="shared" si="70"/>
        <v>43</v>
      </c>
      <c r="AZ2252">
        <f t="shared" si="71"/>
        <v>3</v>
      </c>
    </row>
    <row r="2253" spans="1:52" ht="55.2">
      <c r="A2253" s="3" t="s">
        <v>2297</v>
      </c>
      <c r="E2253">
        <v>3</v>
      </c>
      <c r="AT2253">
        <v>6</v>
      </c>
      <c r="AY2253">
        <f t="shared" si="70"/>
        <v>43</v>
      </c>
      <c r="AZ2253">
        <f t="shared" si="71"/>
        <v>3</v>
      </c>
    </row>
    <row r="2254" spans="1:52" ht="55.2">
      <c r="A2254" s="3" t="s">
        <v>2298</v>
      </c>
      <c r="E2254">
        <v>3</v>
      </c>
      <c r="AT2254">
        <v>6</v>
      </c>
      <c r="AY2254">
        <f t="shared" si="70"/>
        <v>43</v>
      </c>
      <c r="AZ2254">
        <f t="shared" si="71"/>
        <v>3</v>
      </c>
    </row>
    <row r="2255" spans="1:52" ht="55.2">
      <c r="A2255" s="3" t="s">
        <v>2299</v>
      </c>
      <c r="E2255">
        <v>3</v>
      </c>
      <c r="AT2255">
        <v>6</v>
      </c>
      <c r="AY2255">
        <f t="shared" si="70"/>
        <v>43</v>
      </c>
      <c r="AZ2255">
        <f t="shared" si="71"/>
        <v>3</v>
      </c>
    </row>
    <row r="2256" spans="1:52" ht="55.2">
      <c r="A2256" s="3" t="s">
        <v>2300</v>
      </c>
      <c r="E2256">
        <v>3</v>
      </c>
      <c r="AT2256">
        <v>6</v>
      </c>
      <c r="AY2256">
        <f t="shared" si="70"/>
        <v>43</v>
      </c>
      <c r="AZ2256">
        <f t="shared" si="71"/>
        <v>3</v>
      </c>
    </row>
    <row r="2257" spans="1:52" ht="55.2">
      <c r="A2257" s="3" t="s">
        <v>2301</v>
      </c>
      <c r="E2257">
        <v>3</v>
      </c>
      <c r="AT2257">
        <v>6</v>
      </c>
      <c r="AY2257">
        <f t="shared" si="70"/>
        <v>43</v>
      </c>
      <c r="AZ2257">
        <f t="shared" si="71"/>
        <v>3</v>
      </c>
    </row>
    <row r="2258" spans="1:52" ht="55.2">
      <c r="A2258" s="3" t="s">
        <v>2302</v>
      </c>
      <c r="E2258">
        <v>3</v>
      </c>
      <c r="AT2258">
        <v>6</v>
      </c>
      <c r="AY2258">
        <f t="shared" si="70"/>
        <v>43</v>
      </c>
      <c r="AZ2258">
        <f t="shared" si="71"/>
        <v>3</v>
      </c>
    </row>
    <row r="2259" spans="1:52" ht="55.2">
      <c r="A2259" s="3" t="s">
        <v>2303</v>
      </c>
      <c r="E2259">
        <v>3</v>
      </c>
      <c r="AT2259">
        <v>6</v>
      </c>
      <c r="AY2259">
        <f t="shared" si="70"/>
        <v>43</v>
      </c>
      <c r="AZ2259">
        <f t="shared" si="71"/>
        <v>3</v>
      </c>
    </row>
    <row r="2260" spans="1:52" ht="55.2">
      <c r="A2260" s="3" t="s">
        <v>2304</v>
      </c>
      <c r="E2260">
        <v>3</v>
      </c>
      <c r="AT2260">
        <v>6</v>
      </c>
      <c r="AY2260">
        <f t="shared" si="70"/>
        <v>43</v>
      </c>
      <c r="AZ2260">
        <f t="shared" si="71"/>
        <v>3</v>
      </c>
    </row>
    <row r="2261" spans="1:52" ht="55.2">
      <c r="A2261" s="3" t="s">
        <v>2305</v>
      </c>
      <c r="E2261">
        <v>3</v>
      </c>
      <c r="AT2261">
        <v>6</v>
      </c>
      <c r="AY2261">
        <f t="shared" si="70"/>
        <v>43</v>
      </c>
      <c r="AZ2261">
        <f t="shared" si="71"/>
        <v>3</v>
      </c>
    </row>
    <row r="2262" spans="1:52" ht="55.2">
      <c r="A2262" s="3" t="s">
        <v>2306</v>
      </c>
      <c r="E2262">
        <v>3</v>
      </c>
      <c r="AT2262">
        <v>6</v>
      </c>
      <c r="AY2262">
        <f t="shared" si="70"/>
        <v>43</v>
      </c>
      <c r="AZ2262">
        <f t="shared" si="71"/>
        <v>3</v>
      </c>
    </row>
    <row r="2263" spans="1:52" ht="55.2">
      <c r="A2263" s="3" t="s">
        <v>2307</v>
      </c>
      <c r="E2263">
        <v>3</v>
      </c>
      <c r="J2263">
        <v>18</v>
      </c>
      <c r="AY2263">
        <f t="shared" si="70"/>
        <v>43</v>
      </c>
      <c r="AZ2263">
        <f t="shared" si="71"/>
        <v>3</v>
      </c>
    </row>
    <row r="2264" spans="1:52" ht="55.2">
      <c r="A2264" s="3" t="s">
        <v>2308</v>
      </c>
      <c r="E2264">
        <v>3</v>
      </c>
      <c r="J2264">
        <v>18</v>
      </c>
      <c r="AY2264">
        <f t="shared" si="70"/>
        <v>43</v>
      </c>
      <c r="AZ2264">
        <f t="shared" si="71"/>
        <v>3</v>
      </c>
    </row>
    <row r="2265" spans="1:52" ht="55.2">
      <c r="A2265" s="3" t="s">
        <v>2309</v>
      </c>
      <c r="E2265">
        <v>3</v>
      </c>
      <c r="J2265">
        <v>18</v>
      </c>
      <c r="AY2265">
        <f t="shared" si="70"/>
        <v>43</v>
      </c>
      <c r="AZ2265">
        <f t="shared" si="71"/>
        <v>3</v>
      </c>
    </row>
    <row r="2266" spans="1:52" ht="55.2">
      <c r="A2266" s="3" t="s">
        <v>2310</v>
      </c>
      <c r="E2266">
        <v>3</v>
      </c>
      <c r="J2266">
        <v>18</v>
      </c>
      <c r="AY2266">
        <f t="shared" si="70"/>
        <v>43</v>
      </c>
      <c r="AZ2266">
        <f t="shared" si="71"/>
        <v>3</v>
      </c>
    </row>
    <row r="2267" spans="1:52" ht="55.2">
      <c r="A2267" s="3" t="s">
        <v>2311</v>
      </c>
      <c r="E2267">
        <v>3</v>
      </c>
      <c r="J2267">
        <v>18</v>
      </c>
      <c r="AY2267">
        <f t="shared" si="70"/>
        <v>43</v>
      </c>
      <c r="AZ2267">
        <f t="shared" si="71"/>
        <v>3</v>
      </c>
    </row>
    <row r="2268" spans="1:52" ht="55.2">
      <c r="A2268" s="3" t="s">
        <v>2312</v>
      </c>
      <c r="E2268">
        <v>3</v>
      </c>
      <c r="J2268">
        <v>18</v>
      </c>
      <c r="AY2268">
        <f t="shared" si="70"/>
        <v>43</v>
      </c>
      <c r="AZ2268">
        <f t="shared" si="71"/>
        <v>3</v>
      </c>
    </row>
    <row r="2269" spans="1:52" ht="55.2">
      <c r="A2269" s="3" t="s">
        <v>2313</v>
      </c>
      <c r="E2269">
        <v>3</v>
      </c>
      <c r="J2269">
        <v>18</v>
      </c>
      <c r="AY2269">
        <f t="shared" si="70"/>
        <v>43</v>
      </c>
      <c r="AZ2269">
        <f t="shared" si="71"/>
        <v>3</v>
      </c>
    </row>
    <row r="2270" spans="1:52" ht="55.2">
      <c r="A2270" s="3" t="s">
        <v>2314</v>
      </c>
      <c r="E2270">
        <v>3</v>
      </c>
      <c r="J2270">
        <v>18</v>
      </c>
      <c r="AY2270">
        <f t="shared" si="70"/>
        <v>43</v>
      </c>
      <c r="AZ2270">
        <f t="shared" si="71"/>
        <v>3</v>
      </c>
    </row>
    <row r="2271" spans="1:52" ht="55.2">
      <c r="A2271" s="3" t="s">
        <v>2315</v>
      </c>
      <c r="E2271">
        <v>3</v>
      </c>
      <c r="J2271">
        <v>18</v>
      </c>
      <c r="AY2271">
        <f t="shared" si="70"/>
        <v>43</v>
      </c>
      <c r="AZ2271">
        <f t="shared" si="71"/>
        <v>3</v>
      </c>
    </row>
    <row r="2272" spans="1:52" ht="55.2">
      <c r="A2272" s="3" t="s">
        <v>2316</v>
      </c>
      <c r="E2272">
        <v>3</v>
      </c>
      <c r="J2272">
        <v>18</v>
      </c>
      <c r="AY2272">
        <f t="shared" si="70"/>
        <v>43</v>
      </c>
      <c r="AZ2272">
        <f t="shared" si="71"/>
        <v>3</v>
      </c>
    </row>
    <row r="2273" spans="1:52" ht="55.2">
      <c r="A2273" s="3" t="s">
        <v>2317</v>
      </c>
      <c r="E2273">
        <v>3</v>
      </c>
      <c r="J2273">
        <v>18</v>
      </c>
      <c r="AY2273">
        <f t="shared" ref="AY2273:AY2336" si="72">COUNTBLANK(F2273:AW2273)</f>
        <v>43</v>
      </c>
      <c r="AZ2273">
        <f t="shared" ref="AZ2273:AZ2336" si="73">COUNTBLANK(B2273:E2273)</f>
        <v>3</v>
      </c>
    </row>
    <row r="2274" spans="1:52" ht="55.2">
      <c r="A2274" s="3" t="s">
        <v>2318</v>
      </c>
      <c r="E2274">
        <v>3</v>
      </c>
      <c r="J2274">
        <v>18</v>
      </c>
      <c r="AY2274">
        <f t="shared" si="72"/>
        <v>43</v>
      </c>
      <c r="AZ2274">
        <f t="shared" si="73"/>
        <v>3</v>
      </c>
    </row>
    <row r="2275" spans="1:52" ht="55.2">
      <c r="A2275" s="3" t="s">
        <v>2319</v>
      </c>
      <c r="E2275">
        <v>3</v>
      </c>
      <c r="J2275">
        <v>18</v>
      </c>
      <c r="AY2275">
        <f t="shared" si="72"/>
        <v>43</v>
      </c>
      <c r="AZ2275">
        <f t="shared" si="73"/>
        <v>3</v>
      </c>
    </row>
    <row r="2276" spans="1:52" ht="55.2">
      <c r="A2276" s="3" t="s">
        <v>2320</v>
      </c>
      <c r="E2276">
        <v>3</v>
      </c>
      <c r="J2276">
        <v>18</v>
      </c>
      <c r="AY2276">
        <f t="shared" si="72"/>
        <v>43</v>
      </c>
      <c r="AZ2276">
        <f t="shared" si="73"/>
        <v>3</v>
      </c>
    </row>
    <row r="2277" spans="1:52" ht="55.2">
      <c r="A2277" s="3" t="s">
        <v>2321</v>
      </c>
      <c r="E2277">
        <v>3</v>
      </c>
      <c r="J2277">
        <v>18</v>
      </c>
      <c r="AY2277">
        <f t="shared" si="72"/>
        <v>43</v>
      </c>
      <c r="AZ2277">
        <f t="shared" si="73"/>
        <v>3</v>
      </c>
    </row>
    <row r="2278" spans="1:52" ht="55.2">
      <c r="A2278" s="3" t="s">
        <v>2322</v>
      </c>
      <c r="E2278">
        <v>3</v>
      </c>
      <c r="J2278">
        <v>18</v>
      </c>
      <c r="AY2278">
        <f t="shared" si="72"/>
        <v>43</v>
      </c>
      <c r="AZ2278">
        <f t="shared" si="73"/>
        <v>3</v>
      </c>
    </row>
    <row r="2279" spans="1:52" ht="55.2">
      <c r="A2279" s="3" t="s">
        <v>2323</v>
      </c>
      <c r="E2279">
        <v>3</v>
      </c>
      <c r="J2279">
        <v>18</v>
      </c>
      <c r="AY2279">
        <f t="shared" si="72"/>
        <v>43</v>
      </c>
      <c r="AZ2279">
        <f t="shared" si="73"/>
        <v>3</v>
      </c>
    </row>
    <row r="2280" spans="1:52" ht="55.2">
      <c r="A2280" s="3" t="s">
        <v>2324</v>
      </c>
      <c r="E2280">
        <v>3</v>
      </c>
      <c r="J2280">
        <v>18</v>
      </c>
      <c r="AY2280">
        <f t="shared" si="72"/>
        <v>43</v>
      </c>
      <c r="AZ2280">
        <f t="shared" si="73"/>
        <v>3</v>
      </c>
    </row>
    <row r="2281" spans="1:52" ht="55.2">
      <c r="A2281" s="3" t="s">
        <v>2325</v>
      </c>
      <c r="E2281">
        <v>3</v>
      </c>
      <c r="J2281">
        <v>18</v>
      </c>
      <c r="AY2281">
        <f t="shared" si="72"/>
        <v>43</v>
      </c>
      <c r="AZ2281">
        <f t="shared" si="73"/>
        <v>3</v>
      </c>
    </row>
    <row r="2282" spans="1:52" ht="55.2">
      <c r="A2282" s="3" t="s">
        <v>2326</v>
      </c>
      <c r="E2282">
        <v>3</v>
      </c>
      <c r="J2282">
        <v>18</v>
      </c>
      <c r="AY2282">
        <f t="shared" si="72"/>
        <v>43</v>
      </c>
      <c r="AZ2282">
        <f t="shared" si="73"/>
        <v>3</v>
      </c>
    </row>
    <row r="2283" spans="1:52" ht="55.2">
      <c r="A2283" s="3" t="s">
        <v>2327</v>
      </c>
      <c r="E2283">
        <v>3</v>
      </c>
      <c r="J2283">
        <v>18</v>
      </c>
      <c r="AY2283">
        <f t="shared" si="72"/>
        <v>43</v>
      </c>
      <c r="AZ2283">
        <f t="shared" si="73"/>
        <v>3</v>
      </c>
    </row>
    <row r="2284" spans="1:52" ht="55.2">
      <c r="A2284" s="3" t="s">
        <v>2328</v>
      </c>
      <c r="E2284">
        <v>3</v>
      </c>
      <c r="J2284">
        <v>18</v>
      </c>
      <c r="AY2284">
        <f t="shared" si="72"/>
        <v>43</v>
      </c>
      <c r="AZ2284">
        <f t="shared" si="73"/>
        <v>3</v>
      </c>
    </row>
    <row r="2285" spans="1:52" ht="55.2">
      <c r="A2285" s="3" t="s">
        <v>2329</v>
      </c>
      <c r="E2285">
        <v>3</v>
      </c>
      <c r="J2285">
        <v>18</v>
      </c>
      <c r="AY2285">
        <f t="shared" si="72"/>
        <v>43</v>
      </c>
      <c r="AZ2285">
        <f t="shared" si="73"/>
        <v>3</v>
      </c>
    </row>
    <row r="2286" spans="1:52" ht="55.2">
      <c r="A2286" s="3" t="s">
        <v>2330</v>
      </c>
      <c r="E2286">
        <v>3</v>
      </c>
      <c r="J2286">
        <v>18</v>
      </c>
      <c r="AY2286">
        <f t="shared" si="72"/>
        <v>43</v>
      </c>
      <c r="AZ2286">
        <f t="shared" si="73"/>
        <v>3</v>
      </c>
    </row>
    <row r="2287" spans="1:52" ht="55.2">
      <c r="A2287" s="3" t="s">
        <v>2331</v>
      </c>
      <c r="E2287">
        <v>3</v>
      </c>
      <c r="J2287">
        <v>18</v>
      </c>
      <c r="AY2287">
        <f t="shared" si="72"/>
        <v>43</v>
      </c>
      <c r="AZ2287">
        <f t="shared" si="73"/>
        <v>3</v>
      </c>
    </row>
    <row r="2288" spans="1:52" ht="55.2">
      <c r="A2288" s="3" t="s">
        <v>2332</v>
      </c>
      <c r="E2288">
        <v>3</v>
      </c>
      <c r="J2288">
        <v>18</v>
      </c>
      <c r="AY2288">
        <f t="shared" si="72"/>
        <v>43</v>
      </c>
      <c r="AZ2288">
        <f t="shared" si="73"/>
        <v>3</v>
      </c>
    </row>
    <row r="2289" spans="1:52" ht="55.2">
      <c r="A2289" s="3" t="s">
        <v>2333</v>
      </c>
      <c r="E2289">
        <v>3</v>
      </c>
      <c r="J2289">
        <v>18</v>
      </c>
      <c r="AY2289">
        <f t="shared" si="72"/>
        <v>43</v>
      </c>
      <c r="AZ2289">
        <f t="shared" si="73"/>
        <v>3</v>
      </c>
    </row>
    <row r="2290" spans="1:52" ht="55.2">
      <c r="A2290" s="3" t="s">
        <v>2334</v>
      </c>
      <c r="E2290">
        <v>3</v>
      </c>
      <c r="J2290">
        <v>18</v>
      </c>
      <c r="AY2290">
        <f t="shared" si="72"/>
        <v>43</v>
      </c>
      <c r="AZ2290">
        <f t="shared" si="73"/>
        <v>3</v>
      </c>
    </row>
    <row r="2291" spans="1:52" ht="55.2">
      <c r="A2291" s="3" t="s">
        <v>2335</v>
      </c>
      <c r="E2291">
        <v>3</v>
      </c>
      <c r="J2291">
        <v>18</v>
      </c>
      <c r="AY2291">
        <f t="shared" si="72"/>
        <v>43</v>
      </c>
      <c r="AZ2291">
        <f t="shared" si="73"/>
        <v>3</v>
      </c>
    </row>
    <row r="2292" spans="1:52" ht="55.2">
      <c r="A2292" s="3" t="s">
        <v>2336</v>
      </c>
      <c r="E2292">
        <v>3</v>
      </c>
      <c r="J2292">
        <v>18</v>
      </c>
      <c r="AY2292">
        <f t="shared" si="72"/>
        <v>43</v>
      </c>
      <c r="AZ2292">
        <f t="shared" si="73"/>
        <v>3</v>
      </c>
    </row>
    <row r="2293" spans="1:52" ht="55.2">
      <c r="A2293" s="3" t="s">
        <v>2337</v>
      </c>
      <c r="E2293">
        <v>3</v>
      </c>
      <c r="J2293">
        <v>18</v>
      </c>
      <c r="AY2293">
        <f t="shared" si="72"/>
        <v>43</v>
      </c>
      <c r="AZ2293">
        <f t="shared" si="73"/>
        <v>3</v>
      </c>
    </row>
    <row r="2294" spans="1:52" ht="55.2">
      <c r="A2294" s="3" t="s">
        <v>2338</v>
      </c>
      <c r="E2294">
        <v>3</v>
      </c>
      <c r="J2294">
        <v>18</v>
      </c>
      <c r="AY2294">
        <f t="shared" si="72"/>
        <v>43</v>
      </c>
      <c r="AZ2294">
        <f t="shared" si="73"/>
        <v>3</v>
      </c>
    </row>
    <row r="2295" spans="1:52" ht="55.2">
      <c r="A2295" s="3" t="s">
        <v>2339</v>
      </c>
      <c r="E2295">
        <v>3</v>
      </c>
      <c r="J2295">
        <v>18</v>
      </c>
      <c r="AY2295">
        <f t="shared" si="72"/>
        <v>43</v>
      </c>
      <c r="AZ2295">
        <f t="shared" si="73"/>
        <v>3</v>
      </c>
    </row>
    <row r="2296" spans="1:52" ht="55.2">
      <c r="A2296" s="3" t="s">
        <v>2340</v>
      </c>
      <c r="E2296">
        <v>3</v>
      </c>
      <c r="J2296">
        <v>18</v>
      </c>
      <c r="AY2296">
        <f t="shared" si="72"/>
        <v>43</v>
      </c>
      <c r="AZ2296">
        <f t="shared" si="73"/>
        <v>3</v>
      </c>
    </row>
    <row r="2297" spans="1:52" ht="55.2">
      <c r="A2297" s="3" t="s">
        <v>2341</v>
      </c>
      <c r="E2297">
        <v>3</v>
      </c>
      <c r="J2297">
        <v>18</v>
      </c>
      <c r="AY2297">
        <f t="shared" si="72"/>
        <v>43</v>
      </c>
      <c r="AZ2297">
        <f t="shared" si="73"/>
        <v>3</v>
      </c>
    </row>
    <row r="2298" spans="1:52" ht="55.2">
      <c r="A2298" s="3" t="s">
        <v>2342</v>
      </c>
      <c r="E2298">
        <v>3</v>
      </c>
      <c r="J2298">
        <v>18</v>
      </c>
      <c r="AY2298">
        <f t="shared" si="72"/>
        <v>43</v>
      </c>
      <c r="AZ2298">
        <f t="shared" si="73"/>
        <v>3</v>
      </c>
    </row>
    <row r="2299" spans="1:52" ht="55.2">
      <c r="A2299" s="3" t="s">
        <v>2343</v>
      </c>
      <c r="E2299">
        <v>3</v>
      </c>
      <c r="J2299">
        <v>18</v>
      </c>
      <c r="AY2299">
        <f t="shared" si="72"/>
        <v>43</v>
      </c>
      <c r="AZ2299">
        <f t="shared" si="73"/>
        <v>3</v>
      </c>
    </row>
    <row r="2300" spans="1:52" ht="55.2">
      <c r="A2300" s="3" t="s">
        <v>2344</v>
      </c>
      <c r="E2300">
        <v>3</v>
      </c>
      <c r="J2300">
        <v>18</v>
      </c>
      <c r="AY2300">
        <f t="shared" si="72"/>
        <v>43</v>
      </c>
      <c r="AZ2300">
        <f t="shared" si="73"/>
        <v>3</v>
      </c>
    </row>
    <row r="2301" spans="1:52" ht="55.2">
      <c r="A2301" s="3" t="s">
        <v>2345</v>
      </c>
      <c r="E2301">
        <v>3</v>
      </c>
      <c r="J2301">
        <v>18</v>
      </c>
      <c r="AY2301">
        <f t="shared" si="72"/>
        <v>43</v>
      </c>
      <c r="AZ2301">
        <f t="shared" si="73"/>
        <v>3</v>
      </c>
    </row>
    <row r="2302" spans="1:52" ht="55.2">
      <c r="A2302" s="3" t="s">
        <v>2346</v>
      </c>
      <c r="E2302">
        <v>3</v>
      </c>
      <c r="J2302">
        <v>18</v>
      </c>
      <c r="AY2302">
        <f t="shared" si="72"/>
        <v>43</v>
      </c>
      <c r="AZ2302">
        <f t="shared" si="73"/>
        <v>3</v>
      </c>
    </row>
    <row r="2303" spans="1:52" ht="55.2">
      <c r="A2303" s="3" t="s">
        <v>2347</v>
      </c>
      <c r="B2303">
        <v>3</v>
      </c>
      <c r="E2303">
        <v>3</v>
      </c>
      <c r="J2303">
        <v>18</v>
      </c>
      <c r="AY2303">
        <f t="shared" si="72"/>
        <v>43</v>
      </c>
      <c r="AZ2303">
        <f t="shared" si="73"/>
        <v>2</v>
      </c>
    </row>
    <row r="2304" spans="1:52" ht="55.2">
      <c r="A2304" s="3" t="s">
        <v>2348</v>
      </c>
      <c r="B2304">
        <v>3</v>
      </c>
      <c r="E2304">
        <v>3</v>
      </c>
      <c r="J2304">
        <v>18</v>
      </c>
      <c r="AY2304">
        <f t="shared" si="72"/>
        <v>43</v>
      </c>
      <c r="AZ2304">
        <f t="shared" si="73"/>
        <v>2</v>
      </c>
    </row>
    <row r="2305" spans="1:52" ht="55.2">
      <c r="A2305" s="3" t="s">
        <v>2349</v>
      </c>
      <c r="B2305">
        <v>3</v>
      </c>
      <c r="E2305">
        <v>3</v>
      </c>
      <c r="J2305">
        <v>18</v>
      </c>
      <c r="AY2305">
        <f t="shared" si="72"/>
        <v>43</v>
      </c>
      <c r="AZ2305">
        <f t="shared" si="73"/>
        <v>2</v>
      </c>
    </row>
    <row r="2306" spans="1:52" ht="55.2">
      <c r="A2306" s="3" t="s">
        <v>2350</v>
      </c>
      <c r="B2306">
        <v>3</v>
      </c>
      <c r="E2306">
        <v>3</v>
      </c>
      <c r="J2306">
        <v>18</v>
      </c>
      <c r="AY2306">
        <f t="shared" si="72"/>
        <v>43</v>
      </c>
      <c r="AZ2306">
        <f t="shared" si="73"/>
        <v>2</v>
      </c>
    </row>
    <row r="2307" spans="1:52" ht="55.2">
      <c r="A2307" s="3" t="s">
        <v>2351</v>
      </c>
      <c r="B2307">
        <v>3</v>
      </c>
      <c r="E2307">
        <v>3</v>
      </c>
      <c r="J2307">
        <v>18</v>
      </c>
      <c r="AY2307">
        <f t="shared" si="72"/>
        <v>43</v>
      </c>
      <c r="AZ2307">
        <f t="shared" si="73"/>
        <v>2</v>
      </c>
    </row>
    <row r="2308" spans="1:52" ht="55.2">
      <c r="A2308" s="3" t="s">
        <v>2352</v>
      </c>
      <c r="B2308">
        <v>3</v>
      </c>
      <c r="E2308">
        <v>3</v>
      </c>
      <c r="J2308">
        <v>18</v>
      </c>
      <c r="AY2308">
        <f t="shared" si="72"/>
        <v>43</v>
      </c>
      <c r="AZ2308">
        <f t="shared" si="73"/>
        <v>2</v>
      </c>
    </row>
    <row r="2309" spans="1:52" ht="55.2">
      <c r="A2309" s="3" t="s">
        <v>2353</v>
      </c>
      <c r="B2309">
        <v>3</v>
      </c>
      <c r="E2309">
        <v>3</v>
      </c>
      <c r="J2309">
        <v>18</v>
      </c>
      <c r="AY2309">
        <f t="shared" si="72"/>
        <v>43</v>
      </c>
      <c r="AZ2309">
        <f t="shared" si="73"/>
        <v>2</v>
      </c>
    </row>
    <row r="2310" spans="1:52" ht="55.2">
      <c r="A2310" s="3" t="s">
        <v>2354</v>
      </c>
      <c r="B2310">
        <v>3</v>
      </c>
      <c r="E2310">
        <v>3</v>
      </c>
      <c r="J2310">
        <v>18</v>
      </c>
      <c r="AY2310">
        <f t="shared" si="72"/>
        <v>43</v>
      </c>
      <c r="AZ2310">
        <f t="shared" si="73"/>
        <v>2</v>
      </c>
    </row>
    <row r="2311" spans="1:52" ht="55.2">
      <c r="A2311" s="3" t="s">
        <v>2355</v>
      </c>
      <c r="B2311">
        <v>3</v>
      </c>
      <c r="E2311">
        <v>3</v>
      </c>
      <c r="J2311">
        <v>18</v>
      </c>
      <c r="AY2311">
        <f t="shared" si="72"/>
        <v>43</v>
      </c>
      <c r="AZ2311">
        <f t="shared" si="73"/>
        <v>2</v>
      </c>
    </row>
    <row r="2312" spans="1:52" ht="55.2">
      <c r="A2312" s="3" t="s">
        <v>2356</v>
      </c>
      <c r="B2312">
        <v>3</v>
      </c>
      <c r="E2312">
        <v>3</v>
      </c>
      <c r="J2312">
        <v>18</v>
      </c>
      <c r="AY2312">
        <f t="shared" si="72"/>
        <v>43</v>
      </c>
      <c r="AZ2312">
        <f t="shared" si="73"/>
        <v>2</v>
      </c>
    </row>
    <row r="2313" spans="1:52" ht="55.2">
      <c r="A2313" s="3" t="s">
        <v>2357</v>
      </c>
      <c r="B2313">
        <v>3</v>
      </c>
      <c r="E2313">
        <v>3</v>
      </c>
      <c r="J2313">
        <v>18</v>
      </c>
      <c r="AY2313">
        <f t="shared" si="72"/>
        <v>43</v>
      </c>
      <c r="AZ2313">
        <f t="shared" si="73"/>
        <v>2</v>
      </c>
    </row>
    <row r="2314" spans="1:52" ht="55.2">
      <c r="A2314" s="3" t="s">
        <v>2358</v>
      </c>
      <c r="B2314">
        <v>3</v>
      </c>
      <c r="E2314">
        <v>3</v>
      </c>
      <c r="J2314">
        <v>18</v>
      </c>
      <c r="AY2314">
        <f t="shared" si="72"/>
        <v>43</v>
      </c>
      <c r="AZ2314">
        <f t="shared" si="73"/>
        <v>2</v>
      </c>
    </row>
    <row r="2315" spans="1:52" ht="55.2">
      <c r="A2315" s="3" t="s">
        <v>2359</v>
      </c>
      <c r="B2315">
        <v>3</v>
      </c>
      <c r="E2315">
        <v>3</v>
      </c>
      <c r="J2315">
        <v>18</v>
      </c>
      <c r="AY2315">
        <f t="shared" si="72"/>
        <v>43</v>
      </c>
      <c r="AZ2315">
        <f t="shared" si="73"/>
        <v>2</v>
      </c>
    </row>
    <row r="2316" spans="1:52" ht="55.2">
      <c r="A2316" s="3" t="s">
        <v>2360</v>
      </c>
      <c r="B2316">
        <v>3</v>
      </c>
      <c r="E2316">
        <v>3</v>
      </c>
      <c r="J2316">
        <v>18</v>
      </c>
      <c r="AY2316">
        <f t="shared" si="72"/>
        <v>43</v>
      </c>
      <c r="AZ2316">
        <f t="shared" si="73"/>
        <v>2</v>
      </c>
    </row>
    <row r="2317" spans="1:52" ht="55.2">
      <c r="A2317" s="3" t="s">
        <v>2361</v>
      </c>
      <c r="B2317">
        <v>3</v>
      </c>
      <c r="E2317">
        <v>3</v>
      </c>
      <c r="J2317">
        <v>18</v>
      </c>
      <c r="AY2317">
        <f t="shared" si="72"/>
        <v>43</v>
      </c>
      <c r="AZ2317">
        <f t="shared" si="73"/>
        <v>2</v>
      </c>
    </row>
    <row r="2318" spans="1:52" ht="55.2">
      <c r="A2318" s="3" t="s">
        <v>2362</v>
      </c>
      <c r="B2318">
        <v>3</v>
      </c>
      <c r="E2318">
        <v>3</v>
      </c>
      <c r="J2318">
        <v>18</v>
      </c>
      <c r="AY2318">
        <f t="shared" si="72"/>
        <v>43</v>
      </c>
      <c r="AZ2318">
        <f t="shared" si="73"/>
        <v>2</v>
      </c>
    </row>
    <row r="2319" spans="1:52" ht="55.2">
      <c r="A2319" s="3" t="s">
        <v>2363</v>
      </c>
      <c r="B2319">
        <v>3</v>
      </c>
      <c r="E2319">
        <v>3</v>
      </c>
      <c r="J2319">
        <v>18</v>
      </c>
      <c r="AY2319">
        <f t="shared" si="72"/>
        <v>43</v>
      </c>
      <c r="AZ2319">
        <f t="shared" si="73"/>
        <v>2</v>
      </c>
    </row>
    <row r="2320" spans="1:52" ht="55.2">
      <c r="A2320" s="3" t="s">
        <v>2364</v>
      </c>
      <c r="B2320">
        <v>3</v>
      </c>
      <c r="E2320">
        <v>3</v>
      </c>
      <c r="J2320">
        <v>18</v>
      </c>
      <c r="AY2320">
        <f t="shared" si="72"/>
        <v>43</v>
      </c>
      <c r="AZ2320">
        <f t="shared" si="73"/>
        <v>2</v>
      </c>
    </row>
    <row r="2321" spans="1:52" ht="55.2">
      <c r="A2321" s="3" t="s">
        <v>2365</v>
      </c>
      <c r="B2321">
        <v>3</v>
      </c>
      <c r="E2321">
        <v>3</v>
      </c>
      <c r="J2321">
        <v>18</v>
      </c>
      <c r="AY2321">
        <f t="shared" si="72"/>
        <v>43</v>
      </c>
      <c r="AZ2321">
        <f t="shared" si="73"/>
        <v>2</v>
      </c>
    </row>
    <row r="2322" spans="1:52" ht="55.2">
      <c r="A2322" s="3" t="s">
        <v>2366</v>
      </c>
      <c r="B2322">
        <v>3</v>
      </c>
      <c r="E2322">
        <v>3</v>
      </c>
      <c r="J2322">
        <v>18</v>
      </c>
      <c r="AY2322">
        <f t="shared" si="72"/>
        <v>43</v>
      </c>
      <c r="AZ2322">
        <f t="shared" si="73"/>
        <v>2</v>
      </c>
    </row>
    <row r="2323" spans="1:52" ht="55.2">
      <c r="A2323" s="3" t="s">
        <v>2367</v>
      </c>
      <c r="B2323">
        <v>3</v>
      </c>
      <c r="J2323">
        <v>18</v>
      </c>
      <c r="AY2323">
        <f t="shared" si="72"/>
        <v>43</v>
      </c>
      <c r="AZ2323">
        <f t="shared" si="73"/>
        <v>3</v>
      </c>
    </row>
    <row r="2324" spans="1:52" ht="55.2">
      <c r="A2324" s="3" t="s">
        <v>2368</v>
      </c>
      <c r="B2324">
        <v>3</v>
      </c>
      <c r="J2324">
        <v>18</v>
      </c>
      <c r="AY2324">
        <f t="shared" si="72"/>
        <v>43</v>
      </c>
      <c r="AZ2324">
        <f t="shared" si="73"/>
        <v>3</v>
      </c>
    </row>
    <row r="2325" spans="1:52" ht="55.2">
      <c r="A2325" s="3" t="s">
        <v>2369</v>
      </c>
      <c r="B2325">
        <v>3</v>
      </c>
      <c r="AU2325">
        <v>1</v>
      </c>
      <c r="AY2325">
        <f t="shared" si="72"/>
        <v>43</v>
      </c>
      <c r="AZ2325">
        <f t="shared" si="73"/>
        <v>3</v>
      </c>
    </row>
    <row r="2326" spans="1:52" ht="55.2">
      <c r="A2326" s="3" t="s">
        <v>2370</v>
      </c>
      <c r="B2326">
        <v>3</v>
      </c>
      <c r="AU2326">
        <v>1</v>
      </c>
      <c r="AY2326">
        <f t="shared" si="72"/>
        <v>43</v>
      </c>
      <c r="AZ2326">
        <f t="shared" si="73"/>
        <v>3</v>
      </c>
    </row>
    <row r="2327" spans="1:52" ht="55.2">
      <c r="A2327" s="3" t="s">
        <v>2371</v>
      </c>
      <c r="B2327">
        <v>3</v>
      </c>
      <c r="AU2327">
        <v>1</v>
      </c>
      <c r="AY2327">
        <f t="shared" si="72"/>
        <v>43</v>
      </c>
      <c r="AZ2327">
        <f t="shared" si="73"/>
        <v>3</v>
      </c>
    </row>
    <row r="2328" spans="1:52" ht="55.2">
      <c r="A2328" s="3" t="s">
        <v>2372</v>
      </c>
      <c r="B2328">
        <v>3</v>
      </c>
      <c r="AU2328">
        <v>1</v>
      </c>
      <c r="AY2328">
        <f t="shared" si="72"/>
        <v>43</v>
      </c>
      <c r="AZ2328">
        <f t="shared" si="73"/>
        <v>3</v>
      </c>
    </row>
    <row r="2329" spans="1:52" ht="55.2">
      <c r="A2329" s="3" t="s">
        <v>2373</v>
      </c>
      <c r="B2329">
        <v>3</v>
      </c>
      <c r="AR2329">
        <v>1</v>
      </c>
      <c r="AY2329">
        <f t="shared" si="72"/>
        <v>43</v>
      </c>
      <c r="AZ2329">
        <f t="shared" si="73"/>
        <v>3</v>
      </c>
    </row>
    <row r="2330" spans="1:52" ht="55.2">
      <c r="A2330" s="3" t="s">
        <v>2374</v>
      </c>
      <c r="B2330">
        <v>3</v>
      </c>
      <c r="AR2330">
        <v>1</v>
      </c>
      <c r="AY2330">
        <f t="shared" si="72"/>
        <v>43</v>
      </c>
      <c r="AZ2330">
        <f t="shared" si="73"/>
        <v>3</v>
      </c>
    </row>
    <row r="2331" spans="1:52" ht="55.2">
      <c r="A2331" s="3" t="s">
        <v>2375</v>
      </c>
      <c r="B2331">
        <v>3</v>
      </c>
      <c r="AR2331">
        <v>1</v>
      </c>
      <c r="AY2331">
        <f t="shared" si="72"/>
        <v>43</v>
      </c>
      <c r="AZ2331">
        <f t="shared" si="73"/>
        <v>3</v>
      </c>
    </row>
    <row r="2332" spans="1:52" ht="55.2">
      <c r="A2332" s="3" t="s">
        <v>2376</v>
      </c>
      <c r="B2332">
        <v>3</v>
      </c>
      <c r="AR2332">
        <v>1</v>
      </c>
      <c r="AY2332">
        <f t="shared" si="72"/>
        <v>43</v>
      </c>
      <c r="AZ2332">
        <f t="shared" si="73"/>
        <v>3</v>
      </c>
    </row>
    <row r="2333" spans="1:52" ht="55.2">
      <c r="A2333" s="3" t="s">
        <v>2377</v>
      </c>
      <c r="B2333">
        <v>3</v>
      </c>
      <c r="AR2333">
        <v>1</v>
      </c>
      <c r="AY2333">
        <f t="shared" si="72"/>
        <v>43</v>
      </c>
      <c r="AZ2333">
        <f t="shared" si="73"/>
        <v>3</v>
      </c>
    </row>
    <row r="2334" spans="1:52" ht="55.2">
      <c r="A2334" s="3" t="s">
        <v>2378</v>
      </c>
      <c r="B2334">
        <v>3</v>
      </c>
      <c r="AR2334">
        <v>1</v>
      </c>
      <c r="AY2334">
        <f t="shared" si="72"/>
        <v>43</v>
      </c>
      <c r="AZ2334">
        <f t="shared" si="73"/>
        <v>3</v>
      </c>
    </row>
    <row r="2335" spans="1:52" ht="55.2">
      <c r="A2335" s="3" t="s">
        <v>2379</v>
      </c>
      <c r="B2335">
        <v>3</v>
      </c>
      <c r="AR2335">
        <v>1</v>
      </c>
      <c r="AY2335">
        <f t="shared" si="72"/>
        <v>43</v>
      </c>
      <c r="AZ2335">
        <f t="shared" si="73"/>
        <v>3</v>
      </c>
    </row>
    <row r="2336" spans="1:52" ht="55.2">
      <c r="A2336" s="3" t="s">
        <v>2380</v>
      </c>
      <c r="B2336">
        <v>3</v>
      </c>
      <c r="AR2336">
        <v>1</v>
      </c>
      <c r="AY2336">
        <f t="shared" si="72"/>
        <v>43</v>
      </c>
      <c r="AZ2336">
        <f t="shared" si="73"/>
        <v>3</v>
      </c>
    </row>
    <row r="2337" spans="1:52" ht="55.2">
      <c r="A2337" s="3" t="s">
        <v>2381</v>
      </c>
      <c r="B2337">
        <v>3</v>
      </c>
      <c r="AR2337">
        <v>1</v>
      </c>
      <c r="AY2337">
        <f t="shared" ref="AY2337:AY2400" si="74">COUNTBLANK(F2337:AW2337)</f>
        <v>43</v>
      </c>
      <c r="AZ2337">
        <f t="shared" ref="AZ2337:AZ2400" si="75">COUNTBLANK(B2337:E2337)</f>
        <v>3</v>
      </c>
    </row>
    <row r="2338" spans="1:52" ht="55.2">
      <c r="A2338" s="3" t="s">
        <v>2382</v>
      </c>
      <c r="B2338">
        <v>3</v>
      </c>
      <c r="AR2338">
        <v>1</v>
      </c>
      <c r="AY2338">
        <f t="shared" si="74"/>
        <v>43</v>
      </c>
      <c r="AZ2338">
        <f t="shared" si="75"/>
        <v>3</v>
      </c>
    </row>
    <row r="2339" spans="1:52" ht="55.2">
      <c r="A2339" s="3" t="s">
        <v>2383</v>
      </c>
      <c r="B2339">
        <v>3</v>
      </c>
      <c r="AR2339">
        <v>1</v>
      </c>
      <c r="AY2339">
        <f t="shared" si="74"/>
        <v>43</v>
      </c>
      <c r="AZ2339">
        <f t="shared" si="75"/>
        <v>3</v>
      </c>
    </row>
    <row r="2340" spans="1:52" ht="55.2">
      <c r="A2340" s="3" t="s">
        <v>2384</v>
      </c>
      <c r="B2340">
        <v>3</v>
      </c>
      <c r="AR2340">
        <v>1</v>
      </c>
      <c r="AY2340">
        <f t="shared" si="74"/>
        <v>43</v>
      </c>
      <c r="AZ2340">
        <f t="shared" si="75"/>
        <v>3</v>
      </c>
    </row>
    <row r="2341" spans="1:52" ht="55.2">
      <c r="A2341" s="3" t="s">
        <v>2385</v>
      </c>
      <c r="B2341">
        <v>3</v>
      </c>
      <c r="AR2341">
        <v>1</v>
      </c>
      <c r="AY2341">
        <f t="shared" si="74"/>
        <v>43</v>
      </c>
      <c r="AZ2341">
        <f t="shared" si="75"/>
        <v>3</v>
      </c>
    </row>
    <row r="2342" spans="1:52" ht="55.2">
      <c r="A2342" s="3" t="s">
        <v>2386</v>
      </c>
      <c r="B2342">
        <v>3</v>
      </c>
      <c r="AR2342">
        <v>1</v>
      </c>
      <c r="AY2342">
        <f t="shared" si="74"/>
        <v>43</v>
      </c>
      <c r="AZ2342">
        <f t="shared" si="75"/>
        <v>3</v>
      </c>
    </row>
    <row r="2343" spans="1:52" ht="55.2">
      <c r="A2343" s="3" t="s">
        <v>2387</v>
      </c>
      <c r="B2343">
        <v>3</v>
      </c>
      <c r="AR2343">
        <v>1</v>
      </c>
      <c r="AY2343">
        <f t="shared" si="74"/>
        <v>43</v>
      </c>
      <c r="AZ2343">
        <f t="shared" si="75"/>
        <v>3</v>
      </c>
    </row>
    <row r="2344" spans="1:52" ht="55.2">
      <c r="A2344" s="3" t="s">
        <v>2388</v>
      </c>
      <c r="B2344">
        <v>3</v>
      </c>
      <c r="AR2344">
        <v>1</v>
      </c>
      <c r="AY2344">
        <f t="shared" si="74"/>
        <v>43</v>
      </c>
      <c r="AZ2344">
        <f t="shared" si="75"/>
        <v>3</v>
      </c>
    </row>
    <row r="2345" spans="1:52" ht="55.2">
      <c r="A2345" s="3" t="s">
        <v>2389</v>
      </c>
      <c r="B2345">
        <v>3</v>
      </c>
      <c r="AR2345">
        <v>1</v>
      </c>
      <c r="AY2345">
        <f t="shared" si="74"/>
        <v>43</v>
      </c>
      <c r="AZ2345">
        <f t="shared" si="75"/>
        <v>3</v>
      </c>
    </row>
    <row r="2346" spans="1:52" ht="55.2">
      <c r="A2346" s="3" t="s">
        <v>2390</v>
      </c>
      <c r="B2346">
        <v>3</v>
      </c>
      <c r="AR2346">
        <v>1</v>
      </c>
      <c r="AY2346">
        <f t="shared" si="74"/>
        <v>43</v>
      </c>
      <c r="AZ2346">
        <f t="shared" si="75"/>
        <v>3</v>
      </c>
    </row>
    <row r="2347" spans="1:52" ht="55.2">
      <c r="A2347" s="3" t="s">
        <v>2391</v>
      </c>
      <c r="B2347">
        <v>3</v>
      </c>
      <c r="AR2347">
        <v>1</v>
      </c>
      <c r="AY2347">
        <f t="shared" si="74"/>
        <v>43</v>
      </c>
      <c r="AZ2347">
        <f t="shared" si="75"/>
        <v>3</v>
      </c>
    </row>
    <row r="2348" spans="1:52" ht="55.2">
      <c r="A2348" s="3" t="s">
        <v>2392</v>
      </c>
      <c r="B2348">
        <v>3</v>
      </c>
      <c r="AR2348">
        <v>1</v>
      </c>
      <c r="AY2348">
        <f t="shared" si="74"/>
        <v>43</v>
      </c>
      <c r="AZ2348">
        <f t="shared" si="75"/>
        <v>3</v>
      </c>
    </row>
    <row r="2349" spans="1:52" ht="55.2">
      <c r="A2349" s="3" t="s">
        <v>2393</v>
      </c>
      <c r="B2349">
        <v>3</v>
      </c>
      <c r="AR2349">
        <v>1</v>
      </c>
      <c r="AY2349">
        <f t="shared" si="74"/>
        <v>43</v>
      </c>
      <c r="AZ2349">
        <f t="shared" si="75"/>
        <v>3</v>
      </c>
    </row>
    <row r="2350" spans="1:52" ht="55.2">
      <c r="A2350" s="3" t="s">
        <v>2394</v>
      </c>
      <c r="B2350">
        <v>3</v>
      </c>
      <c r="AR2350">
        <v>1</v>
      </c>
      <c r="AY2350">
        <f t="shared" si="74"/>
        <v>43</v>
      </c>
      <c r="AZ2350">
        <f t="shared" si="75"/>
        <v>3</v>
      </c>
    </row>
    <row r="2351" spans="1:52" ht="55.2">
      <c r="A2351" s="3" t="s">
        <v>2395</v>
      </c>
      <c r="B2351">
        <v>3</v>
      </c>
      <c r="AR2351">
        <v>1</v>
      </c>
      <c r="AY2351">
        <f t="shared" si="74"/>
        <v>43</v>
      </c>
      <c r="AZ2351">
        <f t="shared" si="75"/>
        <v>3</v>
      </c>
    </row>
    <row r="2352" spans="1:52" ht="55.2">
      <c r="A2352" s="3" t="s">
        <v>2396</v>
      </c>
      <c r="B2352">
        <v>3</v>
      </c>
      <c r="AR2352">
        <v>1</v>
      </c>
      <c r="AY2352">
        <f t="shared" si="74"/>
        <v>43</v>
      </c>
      <c r="AZ2352">
        <f t="shared" si="75"/>
        <v>3</v>
      </c>
    </row>
    <row r="2353" spans="1:52" ht="55.2">
      <c r="A2353" s="3" t="s">
        <v>2397</v>
      </c>
      <c r="B2353">
        <v>3</v>
      </c>
      <c r="AR2353">
        <v>1</v>
      </c>
      <c r="AY2353">
        <f t="shared" si="74"/>
        <v>43</v>
      </c>
      <c r="AZ2353">
        <f t="shared" si="75"/>
        <v>3</v>
      </c>
    </row>
    <row r="2354" spans="1:52" ht="55.2">
      <c r="A2354" s="3" t="s">
        <v>2398</v>
      </c>
      <c r="B2354">
        <v>3</v>
      </c>
      <c r="AR2354">
        <v>1</v>
      </c>
      <c r="AY2354">
        <f t="shared" si="74"/>
        <v>43</v>
      </c>
      <c r="AZ2354">
        <f t="shared" si="75"/>
        <v>3</v>
      </c>
    </row>
    <row r="2355" spans="1:52" ht="55.2">
      <c r="A2355" s="3" t="s">
        <v>2399</v>
      </c>
      <c r="B2355">
        <v>3</v>
      </c>
      <c r="AR2355">
        <v>1</v>
      </c>
      <c r="AY2355">
        <f t="shared" si="74"/>
        <v>43</v>
      </c>
      <c r="AZ2355">
        <f t="shared" si="75"/>
        <v>3</v>
      </c>
    </row>
    <row r="2356" spans="1:52" ht="55.2">
      <c r="A2356" s="3" t="s">
        <v>2400</v>
      </c>
      <c r="B2356">
        <v>3</v>
      </c>
      <c r="AR2356">
        <v>1</v>
      </c>
      <c r="AY2356">
        <f t="shared" si="74"/>
        <v>43</v>
      </c>
      <c r="AZ2356">
        <f t="shared" si="75"/>
        <v>3</v>
      </c>
    </row>
    <row r="2357" spans="1:52" ht="55.2">
      <c r="A2357" s="3" t="s">
        <v>2401</v>
      </c>
      <c r="B2357">
        <v>3</v>
      </c>
      <c r="AR2357">
        <v>1</v>
      </c>
      <c r="AY2357">
        <f t="shared" si="74"/>
        <v>43</v>
      </c>
      <c r="AZ2357">
        <f t="shared" si="75"/>
        <v>3</v>
      </c>
    </row>
    <row r="2358" spans="1:52" ht="55.2">
      <c r="A2358" s="3" t="s">
        <v>2402</v>
      </c>
      <c r="B2358">
        <v>3</v>
      </c>
      <c r="AR2358">
        <v>1</v>
      </c>
      <c r="AY2358">
        <f t="shared" si="74"/>
        <v>43</v>
      </c>
      <c r="AZ2358">
        <f t="shared" si="75"/>
        <v>3</v>
      </c>
    </row>
    <row r="2359" spans="1:52" ht="55.2">
      <c r="A2359" s="3" t="s">
        <v>2403</v>
      </c>
      <c r="B2359">
        <v>3</v>
      </c>
      <c r="AR2359">
        <v>1</v>
      </c>
      <c r="AY2359">
        <f t="shared" si="74"/>
        <v>43</v>
      </c>
      <c r="AZ2359">
        <f t="shared" si="75"/>
        <v>3</v>
      </c>
    </row>
    <row r="2360" spans="1:52" ht="55.2">
      <c r="A2360" s="3" t="s">
        <v>2404</v>
      </c>
      <c r="B2360">
        <v>3</v>
      </c>
      <c r="AR2360">
        <v>1</v>
      </c>
      <c r="AY2360">
        <f t="shared" si="74"/>
        <v>43</v>
      </c>
      <c r="AZ2360">
        <f t="shared" si="75"/>
        <v>3</v>
      </c>
    </row>
    <row r="2361" spans="1:52" ht="55.2">
      <c r="A2361" s="3" t="s">
        <v>2405</v>
      </c>
      <c r="B2361">
        <v>3</v>
      </c>
      <c r="AS2361">
        <v>1</v>
      </c>
      <c r="AY2361">
        <f t="shared" si="74"/>
        <v>43</v>
      </c>
      <c r="AZ2361">
        <f t="shared" si="75"/>
        <v>3</v>
      </c>
    </row>
    <row r="2362" spans="1:52" ht="55.2">
      <c r="A2362" s="3" t="s">
        <v>2406</v>
      </c>
      <c r="B2362">
        <v>3</v>
      </c>
      <c r="AS2362">
        <v>1</v>
      </c>
      <c r="AY2362">
        <f t="shared" si="74"/>
        <v>43</v>
      </c>
      <c r="AZ2362">
        <f t="shared" si="75"/>
        <v>3</v>
      </c>
    </row>
    <row r="2363" spans="1:52" ht="55.2">
      <c r="A2363" s="3" t="s">
        <v>2407</v>
      </c>
      <c r="B2363">
        <v>3</v>
      </c>
      <c r="AS2363">
        <v>1</v>
      </c>
      <c r="AY2363">
        <f t="shared" si="74"/>
        <v>43</v>
      </c>
      <c r="AZ2363">
        <f t="shared" si="75"/>
        <v>3</v>
      </c>
    </row>
    <row r="2364" spans="1:52" ht="55.2">
      <c r="A2364" s="3" t="s">
        <v>2408</v>
      </c>
      <c r="B2364">
        <v>3</v>
      </c>
      <c r="AS2364">
        <v>1</v>
      </c>
      <c r="AY2364">
        <f t="shared" si="74"/>
        <v>43</v>
      </c>
      <c r="AZ2364">
        <f t="shared" si="75"/>
        <v>3</v>
      </c>
    </row>
    <row r="2365" spans="1:52" ht="55.2">
      <c r="A2365" s="3" t="s">
        <v>2409</v>
      </c>
      <c r="B2365">
        <v>3</v>
      </c>
      <c r="AS2365">
        <v>1</v>
      </c>
      <c r="AY2365">
        <f t="shared" si="74"/>
        <v>43</v>
      </c>
      <c r="AZ2365">
        <f t="shared" si="75"/>
        <v>3</v>
      </c>
    </row>
    <row r="2366" spans="1:52" ht="55.2">
      <c r="A2366" s="3" t="s">
        <v>2410</v>
      </c>
      <c r="B2366">
        <v>3</v>
      </c>
      <c r="J2366">
        <v>19</v>
      </c>
      <c r="AY2366">
        <f t="shared" si="74"/>
        <v>43</v>
      </c>
      <c r="AZ2366">
        <f t="shared" si="75"/>
        <v>3</v>
      </c>
    </row>
    <row r="2367" spans="1:52" ht="55.2">
      <c r="A2367" s="3" t="s">
        <v>2411</v>
      </c>
      <c r="B2367">
        <v>3</v>
      </c>
      <c r="J2367">
        <v>19</v>
      </c>
      <c r="AY2367">
        <f t="shared" si="74"/>
        <v>43</v>
      </c>
      <c r="AZ2367">
        <f t="shared" si="75"/>
        <v>3</v>
      </c>
    </row>
    <row r="2368" spans="1:52" ht="55.2">
      <c r="A2368" s="3" t="s">
        <v>2412</v>
      </c>
      <c r="B2368">
        <v>3</v>
      </c>
      <c r="J2368">
        <v>19</v>
      </c>
      <c r="AY2368">
        <f t="shared" si="74"/>
        <v>43</v>
      </c>
      <c r="AZ2368">
        <f t="shared" si="75"/>
        <v>3</v>
      </c>
    </row>
    <row r="2369" spans="1:52" ht="55.2">
      <c r="A2369" s="3" t="s">
        <v>2413</v>
      </c>
      <c r="B2369">
        <v>3</v>
      </c>
      <c r="J2369">
        <v>19</v>
      </c>
      <c r="AY2369">
        <f t="shared" si="74"/>
        <v>43</v>
      </c>
      <c r="AZ2369">
        <f t="shared" si="75"/>
        <v>3</v>
      </c>
    </row>
    <row r="2370" spans="1:52" ht="55.2">
      <c r="A2370" s="3" t="s">
        <v>2414</v>
      </c>
      <c r="B2370">
        <v>3</v>
      </c>
      <c r="J2370">
        <v>19</v>
      </c>
      <c r="AY2370">
        <f t="shared" si="74"/>
        <v>43</v>
      </c>
      <c r="AZ2370">
        <f t="shared" si="75"/>
        <v>3</v>
      </c>
    </row>
    <row r="2371" spans="1:52" ht="55.2">
      <c r="A2371" s="3" t="s">
        <v>2415</v>
      </c>
      <c r="B2371">
        <v>3</v>
      </c>
      <c r="J2371">
        <v>19</v>
      </c>
      <c r="AY2371">
        <f t="shared" si="74"/>
        <v>43</v>
      </c>
      <c r="AZ2371">
        <f t="shared" si="75"/>
        <v>3</v>
      </c>
    </row>
    <row r="2372" spans="1:52" ht="55.2">
      <c r="A2372" s="3" t="s">
        <v>2416</v>
      </c>
      <c r="B2372">
        <v>3</v>
      </c>
      <c r="J2372">
        <v>19</v>
      </c>
      <c r="AY2372">
        <f t="shared" si="74"/>
        <v>43</v>
      </c>
      <c r="AZ2372">
        <f t="shared" si="75"/>
        <v>3</v>
      </c>
    </row>
    <row r="2373" spans="1:52" ht="55.2">
      <c r="A2373" s="3" t="s">
        <v>2417</v>
      </c>
      <c r="B2373">
        <v>3</v>
      </c>
      <c r="J2373">
        <v>19</v>
      </c>
      <c r="AY2373">
        <f t="shared" si="74"/>
        <v>43</v>
      </c>
      <c r="AZ2373">
        <f t="shared" si="75"/>
        <v>3</v>
      </c>
    </row>
    <row r="2374" spans="1:52" ht="55.2">
      <c r="A2374" s="3" t="s">
        <v>2418</v>
      </c>
      <c r="B2374">
        <v>3</v>
      </c>
      <c r="J2374">
        <v>19</v>
      </c>
      <c r="AY2374">
        <f t="shared" si="74"/>
        <v>43</v>
      </c>
      <c r="AZ2374">
        <f t="shared" si="75"/>
        <v>3</v>
      </c>
    </row>
    <row r="2375" spans="1:52" ht="55.2">
      <c r="A2375" s="3" t="s">
        <v>2419</v>
      </c>
      <c r="B2375">
        <v>3</v>
      </c>
      <c r="J2375">
        <v>19</v>
      </c>
      <c r="AY2375">
        <f t="shared" si="74"/>
        <v>43</v>
      </c>
      <c r="AZ2375">
        <f t="shared" si="75"/>
        <v>3</v>
      </c>
    </row>
    <row r="2376" spans="1:52" ht="55.2">
      <c r="A2376" s="3" t="s">
        <v>2420</v>
      </c>
      <c r="B2376">
        <v>3</v>
      </c>
      <c r="J2376">
        <v>19</v>
      </c>
      <c r="AY2376">
        <f t="shared" si="74"/>
        <v>43</v>
      </c>
      <c r="AZ2376">
        <f t="shared" si="75"/>
        <v>3</v>
      </c>
    </row>
    <row r="2377" spans="1:52" ht="55.2">
      <c r="A2377" s="3" t="s">
        <v>2421</v>
      </c>
      <c r="B2377">
        <v>3</v>
      </c>
      <c r="J2377">
        <v>19</v>
      </c>
      <c r="AY2377">
        <f t="shared" si="74"/>
        <v>43</v>
      </c>
      <c r="AZ2377">
        <f t="shared" si="75"/>
        <v>3</v>
      </c>
    </row>
    <row r="2378" spans="1:52" ht="55.2">
      <c r="A2378" s="3" t="s">
        <v>2422</v>
      </c>
      <c r="B2378">
        <v>3</v>
      </c>
      <c r="J2378">
        <v>19</v>
      </c>
      <c r="AY2378">
        <f t="shared" si="74"/>
        <v>43</v>
      </c>
      <c r="AZ2378">
        <f t="shared" si="75"/>
        <v>3</v>
      </c>
    </row>
    <row r="2379" spans="1:52" ht="55.2">
      <c r="A2379" s="3" t="s">
        <v>2423</v>
      </c>
      <c r="B2379">
        <v>3</v>
      </c>
      <c r="J2379">
        <v>19</v>
      </c>
      <c r="AY2379">
        <f t="shared" si="74"/>
        <v>43</v>
      </c>
      <c r="AZ2379">
        <f t="shared" si="75"/>
        <v>3</v>
      </c>
    </row>
    <row r="2380" spans="1:52" ht="55.2">
      <c r="A2380" s="3" t="s">
        <v>2424</v>
      </c>
      <c r="B2380">
        <v>3</v>
      </c>
      <c r="J2380">
        <v>19</v>
      </c>
      <c r="AY2380">
        <f t="shared" si="74"/>
        <v>43</v>
      </c>
      <c r="AZ2380">
        <f t="shared" si="75"/>
        <v>3</v>
      </c>
    </row>
    <row r="2381" spans="1:52" ht="55.2">
      <c r="A2381" s="3" t="s">
        <v>2425</v>
      </c>
      <c r="B2381">
        <v>3</v>
      </c>
      <c r="J2381">
        <v>19</v>
      </c>
      <c r="AY2381">
        <f t="shared" si="74"/>
        <v>43</v>
      </c>
      <c r="AZ2381">
        <f t="shared" si="75"/>
        <v>3</v>
      </c>
    </row>
    <row r="2382" spans="1:52" ht="55.2">
      <c r="A2382" s="3" t="s">
        <v>2426</v>
      </c>
      <c r="B2382">
        <v>3</v>
      </c>
      <c r="J2382">
        <v>19</v>
      </c>
      <c r="AY2382">
        <f t="shared" si="74"/>
        <v>43</v>
      </c>
      <c r="AZ2382">
        <f t="shared" si="75"/>
        <v>3</v>
      </c>
    </row>
    <row r="2383" spans="1:52" ht="55.2">
      <c r="A2383" s="3" t="s">
        <v>2427</v>
      </c>
      <c r="B2383">
        <v>3</v>
      </c>
      <c r="J2383">
        <v>19</v>
      </c>
      <c r="AY2383">
        <f t="shared" si="74"/>
        <v>43</v>
      </c>
      <c r="AZ2383">
        <f t="shared" si="75"/>
        <v>3</v>
      </c>
    </row>
    <row r="2384" spans="1:52" ht="55.2">
      <c r="A2384" s="3" t="s">
        <v>2428</v>
      </c>
      <c r="B2384">
        <v>3</v>
      </c>
      <c r="J2384">
        <v>19</v>
      </c>
      <c r="AY2384">
        <f t="shared" si="74"/>
        <v>43</v>
      </c>
      <c r="AZ2384">
        <f t="shared" si="75"/>
        <v>3</v>
      </c>
    </row>
    <row r="2385" spans="1:52" ht="55.2">
      <c r="A2385" s="3" t="s">
        <v>2429</v>
      </c>
      <c r="B2385">
        <v>3</v>
      </c>
      <c r="J2385">
        <v>19</v>
      </c>
      <c r="AY2385">
        <f t="shared" si="74"/>
        <v>43</v>
      </c>
      <c r="AZ2385">
        <f t="shared" si="75"/>
        <v>3</v>
      </c>
    </row>
    <row r="2386" spans="1:52" ht="55.2">
      <c r="A2386" s="3" t="s">
        <v>2430</v>
      </c>
      <c r="B2386">
        <v>3</v>
      </c>
      <c r="J2386">
        <v>19</v>
      </c>
      <c r="AY2386">
        <f t="shared" si="74"/>
        <v>43</v>
      </c>
      <c r="AZ2386">
        <f t="shared" si="75"/>
        <v>3</v>
      </c>
    </row>
    <row r="2387" spans="1:52" ht="55.2">
      <c r="A2387" s="3" t="s">
        <v>2431</v>
      </c>
      <c r="B2387">
        <v>3</v>
      </c>
      <c r="J2387">
        <v>19</v>
      </c>
      <c r="AY2387">
        <f t="shared" si="74"/>
        <v>43</v>
      </c>
      <c r="AZ2387">
        <f t="shared" si="75"/>
        <v>3</v>
      </c>
    </row>
    <row r="2388" spans="1:52" ht="55.2">
      <c r="A2388" s="3" t="s">
        <v>2432</v>
      </c>
      <c r="B2388">
        <v>3</v>
      </c>
      <c r="J2388">
        <v>19</v>
      </c>
      <c r="AY2388">
        <f t="shared" si="74"/>
        <v>43</v>
      </c>
      <c r="AZ2388">
        <f t="shared" si="75"/>
        <v>3</v>
      </c>
    </row>
    <row r="2389" spans="1:52" ht="55.2">
      <c r="A2389" s="3" t="s">
        <v>2433</v>
      </c>
      <c r="B2389">
        <v>3</v>
      </c>
      <c r="J2389">
        <v>19</v>
      </c>
      <c r="AY2389">
        <f t="shared" si="74"/>
        <v>43</v>
      </c>
      <c r="AZ2389">
        <f t="shared" si="75"/>
        <v>3</v>
      </c>
    </row>
    <row r="2390" spans="1:52" ht="55.2">
      <c r="A2390" s="3" t="s">
        <v>2434</v>
      </c>
      <c r="B2390">
        <v>3</v>
      </c>
      <c r="J2390">
        <v>19</v>
      </c>
      <c r="AY2390">
        <f t="shared" si="74"/>
        <v>43</v>
      </c>
      <c r="AZ2390">
        <f t="shared" si="75"/>
        <v>3</v>
      </c>
    </row>
    <row r="2391" spans="1:52" ht="55.2">
      <c r="A2391" s="3" t="s">
        <v>2435</v>
      </c>
      <c r="B2391">
        <v>3</v>
      </c>
      <c r="J2391">
        <v>19</v>
      </c>
      <c r="AY2391">
        <f t="shared" si="74"/>
        <v>43</v>
      </c>
      <c r="AZ2391">
        <f t="shared" si="75"/>
        <v>3</v>
      </c>
    </row>
    <row r="2392" spans="1:52" ht="55.2">
      <c r="A2392" s="3" t="s">
        <v>2436</v>
      </c>
      <c r="B2392">
        <v>3</v>
      </c>
      <c r="J2392">
        <v>19</v>
      </c>
      <c r="AY2392">
        <f t="shared" si="74"/>
        <v>43</v>
      </c>
      <c r="AZ2392">
        <f t="shared" si="75"/>
        <v>3</v>
      </c>
    </row>
    <row r="2393" spans="1:52" ht="55.2">
      <c r="A2393" s="3" t="s">
        <v>2437</v>
      </c>
      <c r="B2393">
        <v>3</v>
      </c>
      <c r="J2393">
        <v>19</v>
      </c>
      <c r="AY2393">
        <f t="shared" si="74"/>
        <v>43</v>
      </c>
      <c r="AZ2393">
        <f t="shared" si="75"/>
        <v>3</v>
      </c>
    </row>
    <row r="2394" spans="1:52" ht="55.2">
      <c r="A2394" s="3" t="s">
        <v>2438</v>
      </c>
      <c r="B2394">
        <v>3</v>
      </c>
      <c r="J2394">
        <v>19</v>
      </c>
      <c r="AY2394">
        <f t="shared" si="74"/>
        <v>43</v>
      </c>
      <c r="AZ2394">
        <f t="shared" si="75"/>
        <v>3</v>
      </c>
    </row>
    <row r="2395" spans="1:52" ht="55.2">
      <c r="A2395" s="3" t="s">
        <v>2439</v>
      </c>
      <c r="B2395">
        <v>3</v>
      </c>
      <c r="J2395">
        <v>19</v>
      </c>
      <c r="AY2395">
        <f t="shared" si="74"/>
        <v>43</v>
      </c>
      <c r="AZ2395">
        <f t="shared" si="75"/>
        <v>3</v>
      </c>
    </row>
    <row r="2396" spans="1:52" ht="55.2">
      <c r="A2396" s="3" t="s">
        <v>2440</v>
      </c>
      <c r="B2396">
        <v>3</v>
      </c>
      <c r="J2396">
        <v>19</v>
      </c>
      <c r="AY2396">
        <f t="shared" si="74"/>
        <v>43</v>
      </c>
      <c r="AZ2396">
        <f t="shared" si="75"/>
        <v>3</v>
      </c>
    </row>
    <row r="2397" spans="1:52" ht="55.2">
      <c r="A2397" s="3" t="s">
        <v>2441</v>
      </c>
      <c r="B2397">
        <v>3</v>
      </c>
      <c r="J2397">
        <v>19</v>
      </c>
      <c r="AY2397">
        <f t="shared" si="74"/>
        <v>43</v>
      </c>
      <c r="AZ2397">
        <f t="shared" si="75"/>
        <v>3</v>
      </c>
    </row>
    <row r="2398" spans="1:52" ht="55.2">
      <c r="A2398" s="3" t="s">
        <v>2442</v>
      </c>
      <c r="B2398">
        <v>3</v>
      </c>
      <c r="J2398">
        <v>19</v>
      </c>
      <c r="AY2398">
        <f t="shared" si="74"/>
        <v>43</v>
      </c>
      <c r="AZ2398">
        <f t="shared" si="75"/>
        <v>3</v>
      </c>
    </row>
    <row r="2399" spans="1:52" ht="55.2">
      <c r="A2399" s="3" t="s">
        <v>2443</v>
      </c>
      <c r="B2399">
        <v>3</v>
      </c>
      <c r="J2399">
        <v>19</v>
      </c>
      <c r="AY2399">
        <f t="shared" si="74"/>
        <v>43</v>
      </c>
      <c r="AZ2399">
        <f t="shared" si="75"/>
        <v>3</v>
      </c>
    </row>
    <row r="2400" spans="1:52" ht="55.2">
      <c r="A2400" s="3" t="s">
        <v>2444</v>
      </c>
      <c r="B2400">
        <v>3</v>
      </c>
      <c r="J2400">
        <v>19</v>
      </c>
      <c r="AY2400">
        <f t="shared" si="74"/>
        <v>43</v>
      </c>
      <c r="AZ2400">
        <f t="shared" si="75"/>
        <v>3</v>
      </c>
    </row>
    <row r="2401" spans="1:52" ht="55.2">
      <c r="A2401" s="3" t="s">
        <v>2445</v>
      </c>
      <c r="B2401">
        <v>3</v>
      </c>
      <c r="J2401">
        <v>19</v>
      </c>
      <c r="AY2401">
        <f t="shared" ref="AY2401:AY2464" si="76">COUNTBLANK(F2401:AW2401)</f>
        <v>43</v>
      </c>
      <c r="AZ2401">
        <f t="shared" ref="AZ2401:AZ2464" si="77">COUNTBLANK(B2401:E2401)</f>
        <v>3</v>
      </c>
    </row>
    <row r="2402" spans="1:52" ht="55.2">
      <c r="A2402" s="3" t="s">
        <v>2446</v>
      </c>
      <c r="B2402">
        <v>3</v>
      </c>
      <c r="J2402">
        <v>19</v>
      </c>
      <c r="AY2402">
        <f t="shared" si="76"/>
        <v>43</v>
      </c>
      <c r="AZ2402">
        <f t="shared" si="77"/>
        <v>3</v>
      </c>
    </row>
    <row r="2403" spans="1:52" ht="55.2">
      <c r="A2403" s="3" t="s">
        <v>2447</v>
      </c>
      <c r="B2403">
        <v>3</v>
      </c>
      <c r="J2403">
        <v>19</v>
      </c>
      <c r="AY2403">
        <f t="shared" si="76"/>
        <v>43</v>
      </c>
      <c r="AZ2403">
        <f t="shared" si="77"/>
        <v>3</v>
      </c>
    </row>
    <row r="2404" spans="1:52" ht="55.2">
      <c r="A2404" s="3" t="s">
        <v>2448</v>
      </c>
      <c r="B2404">
        <v>3</v>
      </c>
      <c r="J2404">
        <v>19</v>
      </c>
      <c r="AY2404">
        <f t="shared" si="76"/>
        <v>43</v>
      </c>
      <c r="AZ2404">
        <f t="shared" si="77"/>
        <v>3</v>
      </c>
    </row>
    <row r="2405" spans="1:52" ht="55.2">
      <c r="A2405" s="3" t="s">
        <v>2449</v>
      </c>
      <c r="B2405">
        <v>3</v>
      </c>
      <c r="J2405">
        <v>19</v>
      </c>
      <c r="AY2405">
        <f t="shared" si="76"/>
        <v>43</v>
      </c>
      <c r="AZ2405">
        <f t="shared" si="77"/>
        <v>3</v>
      </c>
    </row>
    <row r="2406" spans="1:52" ht="55.2">
      <c r="A2406" s="3" t="s">
        <v>2450</v>
      </c>
      <c r="B2406">
        <v>3</v>
      </c>
      <c r="C2406">
        <v>3</v>
      </c>
      <c r="J2406">
        <v>19</v>
      </c>
      <c r="AY2406">
        <f t="shared" si="76"/>
        <v>43</v>
      </c>
      <c r="AZ2406">
        <f t="shared" si="77"/>
        <v>2</v>
      </c>
    </row>
    <row r="2407" spans="1:52" ht="55.2">
      <c r="A2407" s="3" t="s">
        <v>2451</v>
      </c>
      <c r="B2407">
        <v>3</v>
      </c>
      <c r="C2407">
        <v>3</v>
      </c>
      <c r="J2407">
        <v>19</v>
      </c>
      <c r="AY2407">
        <f t="shared" si="76"/>
        <v>43</v>
      </c>
      <c r="AZ2407">
        <f t="shared" si="77"/>
        <v>2</v>
      </c>
    </row>
    <row r="2408" spans="1:52" ht="55.2">
      <c r="A2408" s="3" t="s">
        <v>2452</v>
      </c>
      <c r="B2408">
        <v>3</v>
      </c>
      <c r="C2408">
        <v>3</v>
      </c>
      <c r="J2408">
        <v>19</v>
      </c>
      <c r="AY2408">
        <f t="shared" si="76"/>
        <v>43</v>
      </c>
      <c r="AZ2408">
        <f t="shared" si="77"/>
        <v>2</v>
      </c>
    </row>
    <row r="2409" spans="1:52" ht="55.2">
      <c r="A2409" s="3" t="s">
        <v>2453</v>
      </c>
      <c r="B2409">
        <v>3</v>
      </c>
      <c r="C2409">
        <v>3</v>
      </c>
      <c r="J2409">
        <v>19</v>
      </c>
      <c r="AY2409">
        <f t="shared" si="76"/>
        <v>43</v>
      </c>
      <c r="AZ2409">
        <f t="shared" si="77"/>
        <v>2</v>
      </c>
    </row>
    <row r="2410" spans="1:52" ht="55.2">
      <c r="A2410" s="3" t="s">
        <v>2454</v>
      </c>
      <c r="B2410">
        <v>3</v>
      </c>
      <c r="C2410">
        <v>3</v>
      </c>
      <c r="J2410">
        <v>19</v>
      </c>
      <c r="AY2410">
        <f t="shared" si="76"/>
        <v>43</v>
      </c>
      <c r="AZ2410">
        <f t="shared" si="77"/>
        <v>2</v>
      </c>
    </row>
    <row r="2411" spans="1:52" ht="55.2">
      <c r="A2411" s="3" t="s">
        <v>2455</v>
      </c>
      <c r="B2411">
        <v>3</v>
      </c>
      <c r="C2411">
        <v>3</v>
      </c>
      <c r="J2411">
        <v>19</v>
      </c>
      <c r="AY2411">
        <f t="shared" si="76"/>
        <v>43</v>
      </c>
      <c r="AZ2411">
        <f t="shared" si="77"/>
        <v>2</v>
      </c>
    </row>
    <row r="2412" spans="1:52" ht="55.2">
      <c r="A2412" s="3" t="s">
        <v>2456</v>
      </c>
      <c r="B2412">
        <v>3</v>
      </c>
      <c r="C2412">
        <v>3</v>
      </c>
      <c r="J2412">
        <v>19</v>
      </c>
      <c r="AY2412">
        <f t="shared" si="76"/>
        <v>43</v>
      </c>
      <c r="AZ2412">
        <f t="shared" si="77"/>
        <v>2</v>
      </c>
    </row>
    <row r="2413" spans="1:52" ht="55.2">
      <c r="A2413" s="3" t="s">
        <v>2457</v>
      </c>
      <c r="B2413">
        <v>3</v>
      </c>
      <c r="C2413">
        <v>3</v>
      </c>
      <c r="AV2413">
        <v>3</v>
      </c>
      <c r="AY2413">
        <f t="shared" si="76"/>
        <v>43</v>
      </c>
      <c r="AZ2413">
        <f t="shared" si="77"/>
        <v>2</v>
      </c>
    </row>
    <row r="2414" spans="1:52" ht="55.2">
      <c r="A2414" s="3" t="s">
        <v>2458</v>
      </c>
      <c r="B2414">
        <v>3</v>
      </c>
      <c r="C2414">
        <v>3</v>
      </c>
      <c r="AV2414">
        <v>3</v>
      </c>
      <c r="AY2414">
        <f t="shared" si="76"/>
        <v>43</v>
      </c>
      <c r="AZ2414">
        <f t="shared" si="77"/>
        <v>2</v>
      </c>
    </row>
    <row r="2415" spans="1:52" ht="55.2">
      <c r="A2415" s="3" t="s">
        <v>2459</v>
      </c>
      <c r="B2415">
        <v>3</v>
      </c>
      <c r="C2415">
        <v>3</v>
      </c>
      <c r="AV2415">
        <v>3</v>
      </c>
      <c r="AY2415">
        <f t="shared" si="76"/>
        <v>43</v>
      </c>
      <c r="AZ2415">
        <f t="shared" si="77"/>
        <v>2</v>
      </c>
    </row>
    <row r="2416" spans="1:52" ht="55.2">
      <c r="A2416" s="3" t="s">
        <v>2460</v>
      </c>
      <c r="B2416">
        <v>3</v>
      </c>
      <c r="C2416">
        <v>3</v>
      </c>
      <c r="AV2416">
        <v>3</v>
      </c>
      <c r="AY2416">
        <f t="shared" si="76"/>
        <v>43</v>
      </c>
      <c r="AZ2416">
        <f t="shared" si="77"/>
        <v>2</v>
      </c>
    </row>
    <row r="2417" spans="1:52" ht="55.2">
      <c r="A2417" s="3" t="s">
        <v>2461</v>
      </c>
      <c r="B2417">
        <v>3</v>
      </c>
      <c r="C2417">
        <v>3</v>
      </c>
      <c r="AV2417">
        <v>3</v>
      </c>
      <c r="AY2417">
        <f t="shared" si="76"/>
        <v>43</v>
      </c>
      <c r="AZ2417">
        <f t="shared" si="77"/>
        <v>2</v>
      </c>
    </row>
    <row r="2418" spans="1:52" ht="55.2">
      <c r="A2418" s="3" t="s">
        <v>2462</v>
      </c>
      <c r="B2418">
        <v>3</v>
      </c>
      <c r="C2418">
        <v>3</v>
      </c>
      <c r="AV2418">
        <v>3</v>
      </c>
      <c r="AY2418">
        <f t="shared" si="76"/>
        <v>43</v>
      </c>
      <c r="AZ2418">
        <f t="shared" si="77"/>
        <v>2</v>
      </c>
    </row>
    <row r="2419" spans="1:52" ht="55.2">
      <c r="A2419" s="3" t="s">
        <v>2463</v>
      </c>
      <c r="B2419">
        <v>3</v>
      </c>
      <c r="C2419">
        <v>3</v>
      </c>
      <c r="AV2419">
        <v>3</v>
      </c>
      <c r="AY2419">
        <f t="shared" si="76"/>
        <v>43</v>
      </c>
      <c r="AZ2419">
        <f t="shared" si="77"/>
        <v>2</v>
      </c>
    </row>
    <row r="2420" spans="1:52" ht="55.2">
      <c r="A2420" s="3" t="s">
        <v>2464</v>
      </c>
      <c r="B2420">
        <v>3</v>
      </c>
      <c r="C2420">
        <v>3</v>
      </c>
      <c r="AV2420">
        <v>3</v>
      </c>
      <c r="AY2420">
        <f t="shared" si="76"/>
        <v>43</v>
      </c>
      <c r="AZ2420">
        <f t="shared" si="77"/>
        <v>2</v>
      </c>
    </row>
    <row r="2421" spans="1:52" ht="55.2">
      <c r="A2421" s="3" t="s">
        <v>2465</v>
      </c>
      <c r="B2421">
        <v>3</v>
      </c>
      <c r="C2421">
        <v>3</v>
      </c>
      <c r="AV2421">
        <v>3</v>
      </c>
      <c r="AY2421">
        <f t="shared" si="76"/>
        <v>43</v>
      </c>
      <c r="AZ2421">
        <f t="shared" si="77"/>
        <v>2</v>
      </c>
    </row>
    <row r="2422" spans="1:52" ht="55.2">
      <c r="A2422" s="3" t="s">
        <v>2466</v>
      </c>
      <c r="B2422">
        <v>3</v>
      </c>
      <c r="C2422">
        <v>3</v>
      </c>
      <c r="AV2422">
        <v>3</v>
      </c>
      <c r="AY2422">
        <f t="shared" si="76"/>
        <v>43</v>
      </c>
      <c r="AZ2422">
        <f t="shared" si="77"/>
        <v>2</v>
      </c>
    </row>
    <row r="2423" spans="1:52" ht="55.2">
      <c r="A2423" s="3" t="s">
        <v>2467</v>
      </c>
      <c r="B2423">
        <v>3</v>
      </c>
      <c r="C2423">
        <v>3</v>
      </c>
      <c r="AV2423">
        <v>3</v>
      </c>
      <c r="AY2423">
        <f t="shared" si="76"/>
        <v>43</v>
      </c>
      <c r="AZ2423">
        <f t="shared" si="77"/>
        <v>2</v>
      </c>
    </row>
    <row r="2424" spans="1:52" ht="55.2">
      <c r="A2424" s="3" t="s">
        <v>2468</v>
      </c>
      <c r="B2424">
        <v>3</v>
      </c>
      <c r="C2424">
        <v>3</v>
      </c>
      <c r="AV2424">
        <v>3</v>
      </c>
      <c r="AY2424">
        <f t="shared" si="76"/>
        <v>43</v>
      </c>
      <c r="AZ2424">
        <f t="shared" si="77"/>
        <v>2</v>
      </c>
    </row>
    <row r="2425" spans="1:52" ht="55.2">
      <c r="A2425" s="3" t="s">
        <v>2469</v>
      </c>
      <c r="B2425">
        <v>3</v>
      </c>
      <c r="C2425">
        <v>3</v>
      </c>
      <c r="AV2425">
        <v>3</v>
      </c>
      <c r="AY2425">
        <f t="shared" si="76"/>
        <v>43</v>
      </c>
      <c r="AZ2425">
        <f t="shared" si="77"/>
        <v>2</v>
      </c>
    </row>
    <row r="2426" spans="1:52" ht="55.2">
      <c r="A2426" s="3" t="s">
        <v>2470</v>
      </c>
      <c r="B2426">
        <v>3</v>
      </c>
      <c r="C2426">
        <v>3</v>
      </c>
      <c r="AV2426">
        <v>3</v>
      </c>
      <c r="AY2426">
        <f t="shared" si="76"/>
        <v>43</v>
      </c>
      <c r="AZ2426">
        <f t="shared" si="77"/>
        <v>2</v>
      </c>
    </row>
    <row r="2427" spans="1:52" ht="55.2">
      <c r="A2427" s="3" t="s">
        <v>2471</v>
      </c>
      <c r="B2427">
        <v>3</v>
      </c>
      <c r="C2427">
        <v>3</v>
      </c>
      <c r="AV2427">
        <v>3</v>
      </c>
      <c r="AY2427">
        <f t="shared" si="76"/>
        <v>43</v>
      </c>
      <c r="AZ2427">
        <f t="shared" si="77"/>
        <v>2</v>
      </c>
    </row>
    <row r="2428" spans="1:52" ht="55.2">
      <c r="A2428" s="3" t="s">
        <v>2472</v>
      </c>
      <c r="B2428">
        <v>3</v>
      </c>
      <c r="C2428">
        <v>3</v>
      </c>
      <c r="AV2428">
        <v>3</v>
      </c>
      <c r="AY2428">
        <f t="shared" si="76"/>
        <v>43</v>
      </c>
      <c r="AZ2428">
        <f t="shared" si="77"/>
        <v>2</v>
      </c>
    </row>
    <row r="2429" spans="1:52" ht="55.2">
      <c r="A2429" s="3" t="s">
        <v>2473</v>
      </c>
      <c r="B2429">
        <v>3</v>
      </c>
      <c r="C2429">
        <v>3</v>
      </c>
      <c r="AV2429">
        <v>3</v>
      </c>
      <c r="AY2429">
        <f t="shared" si="76"/>
        <v>43</v>
      </c>
      <c r="AZ2429">
        <f t="shared" si="77"/>
        <v>2</v>
      </c>
    </row>
    <row r="2430" spans="1:52" ht="55.2">
      <c r="A2430" s="3" t="s">
        <v>2474</v>
      </c>
      <c r="B2430">
        <v>3</v>
      </c>
      <c r="C2430">
        <v>3</v>
      </c>
      <c r="AV2430">
        <v>3</v>
      </c>
      <c r="AY2430">
        <f t="shared" si="76"/>
        <v>43</v>
      </c>
      <c r="AZ2430">
        <f t="shared" si="77"/>
        <v>2</v>
      </c>
    </row>
    <row r="2431" spans="1:52" ht="55.2">
      <c r="A2431" s="3" t="s">
        <v>2475</v>
      </c>
      <c r="B2431">
        <v>3</v>
      </c>
      <c r="C2431">
        <v>3</v>
      </c>
      <c r="AV2431">
        <v>3</v>
      </c>
      <c r="AY2431">
        <f t="shared" si="76"/>
        <v>43</v>
      </c>
      <c r="AZ2431">
        <f t="shared" si="77"/>
        <v>2</v>
      </c>
    </row>
    <row r="2432" spans="1:52" ht="55.2">
      <c r="A2432" s="3" t="s">
        <v>2476</v>
      </c>
      <c r="B2432">
        <v>3</v>
      </c>
      <c r="C2432">
        <v>3</v>
      </c>
      <c r="AV2432">
        <v>3</v>
      </c>
      <c r="AY2432">
        <f t="shared" si="76"/>
        <v>43</v>
      </c>
      <c r="AZ2432">
        <f t="shared" si="77"/>
        <v>2</v>
      </c>
    </row>
    <row r="2433" spans="1:52" ht="55.2">
      <c r="A2433" s="3" t="s">
        <v>2477</v>
      </c>
      <c r="B2433">
        <v>3</v>
      </c>
      <c r="C2433">
        <v>3</v>
      </c>
      <c r="AV2433">
        <v>3</v>
      </c>
      <c r="AY2433">
        <f t="shared" si="76"/>
        <v>43</v>
      </c>
      <c r="AZ2433">
        <f t="shared" si="77"/>
        <v>2</v>
      </c>
    </row>
    <row r="2434" spans="1:52" ht="55.2">
      <c r="A2434" s="3" t="s">
        <v>2478</v>
      </c>
      <c r="B2434">
        <v>3</v>
      </c>
      <c r="C2434">
        <v>3</v>
      </c>
      <c r="AW2434">
        <v>2</v>
      </c>
      <c r="AY2434">
        <f t="shared" si="76"/>
        <v>43</v>
      </c>
      <c r="AZ2434">
        <f t="shared" si="77"/>
        <v>2</v>
      </c>
    </row>
    <row r="2435" spans="1:52" ht="55.2">
      <c r="A2435" s="3" t="s">
        <v>2479</v>
      </c>
      <c r="B2435">
        <v>3</v>
      </c>
      <c r="C2435">
        <v>3</v>
      </c>
      <c r="AW2435">
        <v>2</v>
      </c>
      <c r="AY2435">
        <f t="shared" si="76"/>
        <v>43</v>
      </c>
      <c r="AZ2435">
        <f t="shared" si="77"/>
        <v>2</v>
      </c>
    </row>
    <row r="2436" spans="1:52" ht="55.2">
      <c r="A2436" s="3" t="s">
        <v>2480</v>
      </c>
      <c r="B2436">
        <v>3</v>
      </c>
      <c r="C2436">
        <v>3</v>
      </c>
      <c r="AW2436">
        <v>2</v>
      </c>
      <c r="AY2436">
        <f t="shared" si="76"/>
        <v>43</v>
      </c>
      <c r="AZ2436">
        <f t="shared" si="77"/>
        <v>2</v>
      </c>
    </row>
    <row r="2437" spans="1:52" ht="55.2">
      <c r="A2437" s="3" t="s">
        <v>2481</v>
      </c>
      <c r="B2437">
        <v>3</v>
      </c>
      <c r="C2437">
        <v>3</v>
      </c>
      <c r="AW2437">
        <v>2</v>
      </c>
      <c r="AY2437">
        <f t="shared" si="76"/>
        <v>43</v>
      </c>
      <c r="AZ2437">
        <f t="shared" si="77"/>
        <v>2</v>
      </c>
    </row>
    <row r="2438" spans="1:52" ht="55.2">
      <c r="A2438" s="3" t="s">
        <v>2482</v>
      </c>
      <c r="B2438">
        <v>3</v>
      </c>
      <c r="C2438">
        <v>3</v>
      </c>
      <c r="J2438">
        <v>20</v>
      </c>
      <c r="AY2438">
        <f t="shared" si="76"/>
        <v>43</v>
      </c>
      <c r="AZ2438">
        <f t="shared" si="77"/>
        <v>2</v>
      </c>
    </row>
    <row r="2439" spans="1:52" ht="55.2">
      <c r="A2439" s="3" t="s">
        <v>2483</v>
      </c>
      <c r="B2439">
        <v>3</v>
      </c>
      <c r="C2439">
        <v>3</v>
      </c>
      <c r="J2439">
        <v>20</v>
      </c>
      <c r="AY2439">
        <f t="shared" si="76"/>
        <v>43</v>
      </c>
      <c r="AZ2439">
        <f t="shared" si="77"/>
        <v>2</v>
      </c>
    </row>
    <row r="2440" spans="1:52" ht="55.2">
      <c r="A2440" s="3" t="s">
        <v>2484</v>
      </c>
      <c r="B2440">
        <v>3</v>
      </c>
      <c r="C2440">
        <v>3</v>
      </c>
      <c r="J2440">
        <v>20</v>
      </c>
      <c r="AY2440">
        <f t="shared" si="76"/>
        <v>43</v>
      </c>
      <c r="AZ2440">
        <f t="shared" si="77"/>
        <v>2</v>
      </c>
    </row>
    <row r="2441" spans="1:52" ht="55.2">
      <c r="A2441" s="3" t="s">
        <v>2485</v>
      </c>
      <c r="B2441">
        <v>3</v>
      </c>
      <c r="C2441">
        <v>3</v>
      </c>
      <c r="J2441">
        <v>20</v>
      </c>
      <c r="AY2441">
        <f t="shared" si="76"/>
        <v>43</v>
      </c>
      <c r="AZ2441">
        <f t="shared" si="77"/>
        <v>2</v>
      </c>
    </row>
    <row r="2442" spans="1:52" ht="55.2">
      <c r="A2442" s="3" t="s">
        <v>2486</v>
      </c>
      <c r="B2442">
        <v>3</v>
      </c>
      <c r="C2442">
        <v>3</v>
      </c>
      <c r="J2442">
        <v>20</v>
      </c>
      <c r="AY2442">
        <f t="shared" si="76"/>
        <v>43</v>
      </c>
      <c r="AZ2442">
        <f t="shared" si="77"/>
        <v>2</v>
      </c>
    </row>
    <row r="2443" spans="1:52" ht="55.2">
      <c r="A2443" s="3" t="s">
        <v>2487</v>
      </c>
      <c r="B2443">
        <v>3</v>
      </c>
      <c r="C2443">
        <v>3</v>
      </c>
      <c r="J2443">
        <v>20</v>
      </c>
      <c r="AY2443">
        <f t="shared" si="76"/>
        <v>43</v>
      </c>
      <c r="AZ2443">
        <f t="shared" si="77"/>
        <v>2</v>
      </c>
    </row>
    <row r="2444" spans="1:52" ht="55.2">
      <c r="A2444" s="3" t="s">
        <v>2488</v>
      </c>
      <c r="B2444">
        <v>3</v>
      </c>
      <c r="C2444">
        <v>3</v>
      </c>
      <c r="J2444">
        <v>20</v>
      </c>
      <c r="AY2444">
        <f t="shared" si="76"/>
        <v>43</v>
      </c>
      <c r="AZ2444">
        <f t="shared" si="77"/>
        <v>2</v>
      </c>
    </row>
    <row r="2445" spans="1:52" ht="55.2">
      <c r="A2445" s="3" t="s">
        <v>2489</v>
      </c>
      <c r="B2445">
        <v>3</v>
      </c>
      <c r="C2445">
        <v>3</v>
      </c>
      <c r="J2445">
        <v>20</v>
      </c>
      <c r="AY2445">
        <f t="shared" si="76"/>
        <v>43</v>
      </c>
      <c r="AZ2445">
        <f t="shared" si="77"/>
        <v>2</v>
      </c>
    </row>
    <row r="2446" spans="1:52" ht="55.2">
      <c r="A2446" s="3" t="s">
        <v>2490</v>
      </c>
      <c r="B2446">
        <v>3</v>
      </c>
      <c r="C2446">
        <v>3</v>
      </c>
      <c r="J2446">
        <v>20</v>
      </c>
      <c r="AY2446">
        <f t="shared" si="76"/>
        <v>43</v>
      </c>
      <c r="AZ2446">
        <f t="shared" si="77"/>
        <v>2</v>
      </c>
    </row>
    <row r="2447" spans="1:52" ht="55.2">
      <c r="A2447" s="3" t="s">
        <v>2491</v>
      </c>
      <c r="B2447">
        <v>3</v>
      </c>
      <c r="C2447">
        <v>3</v>
      </c>
      <c r="J2447">
        <v>20</v>
      </c>
      <c r="AY2447">
        <f t="shared" si="76"/>
        <v>43</v>
      </c>
      <c r="AZ2447">
        <f t="shared" si="77"/>
        <v>2</v>
      </c>
    </row>
    <row r="2448" spans="1:52" ht="55.2">
      <c r="A2448" s="3" t="s">
        <v>2492</v>
      </c>
      <c r="B2448">
        <v>3</v>
      </c>
      <c r="C2448">
        <v>3</v>
      </c>
      <c r="J2448">
        <v>20</v>
      </c>
      <c r="AY2448">
        <f t="shared" si="76"/>
        <v>43</v>
      </c>
      <c r="AZ2448">
        <f t="shared" si="77"/>
        <v>2</v>
      </c>
    </row>
    <row r="2449" spans="1:52" ht="55.2">
      <c r="A2449" s="3" t="s">
        <v>2493</v>
      </c>
      <c r="B2449">
        <v>3</v>
      </c>
      <c r="C2449">
        <v>3</v>
      </c>
      <c r="J2449">
        <v>20</v>
      </c>
      <c r="AY2449">
        <f t="shared" si="76"/>
        <v>43</v>
      </c>
      <c r="AZ2449">
        <f t="shared" si="77"/>
        <v>2</v>
      </c>
    </row>
    <row r="2450" spans="1:52" ht="55.2">
      <c r="A2450" s="3" t="s">
        <v>2494</v>
      </c>
      <c r="B2450">
        <v>3</v>
      </c>
      <c r="C2450">
        <v>3</v>
      </c>
      <c r="J2450">
        <v>20</v>
      </c>
      <c r="AY2450">
        <f t="shared" si="76"/>
        <v>43</v>
      </c>
      <c r="AZ2450">
        <f t="shared" si="77"/>
        <v>2</v>
      </c>
    </row>
    <row r="2451" spans="1:52" ht="55.2">
      <c r="A2451" s="3" t="s">
        <v>2495</v>
      </c>
      <c r="B2451">
        <v>3</v>
      </c>
      <c r="C2451">
        <v>3</v>
      </c>
      <c r="J2451">
        <v>20</v>
      </c>
      <c r="AY2451">
        <f t="shared" si="76"/>
        <v>43</v>
      </c>
      <c r="AZ2451">
        <f t="shared" si="77"/>
        <v>2</v>
      </c>
    </row>
    <row r="2452" spans="1:52" ht="55.2">
      <c r="A2452" s="3" t="s">
        <v>2496</v>
      </c>
      <c r="B2452">
        <v>3</v>
      </c>
      <c r="C2452">
        <v>3</v>
      </c>
      <c r="J2452">
        <v>20</v>
      </c>
      <c r="AY2452">
        <f t="shared" si="76"/>
        <v>43</v>
      </c>
      <c r="AZ2452">
        <f t="shared" si="77"/>
        <v>2</v>
      </c>
    </row>
    <row r="2453" spans="1:52" ht="55.2">
      <c r="A2453" s="3" t="s">
        <v>2497</v>
      </c>
      <c r="B2453">
        <v>3</v>
      </c>
      <c r="C2453">
        <v>3</v>
      </c>
      <c r="J2453">
        <v>20</v>
      </c>
      <c r="AY2453">
        <f t="shared" si="76"/>
        <v>43</v>
      </c>
      <c r="AZ2453">
        <f t="shared" si="77"/>
        <v>2</v>
      </c>
    </row>
    <row r="2454" spans="1:52" ht="55.2">
      <c r="A2454" s="3" t="s">
        <v>2498</v>
      </c>
      <c r="B2454">
        <v>3</v>
      </c>
      <c r="C2454">
        <v>3</v>
      </c>
      <c r="J2454">
        <v>20</v>
      </c>
      <c r="AY2454">
        <f t="shared" si="76"/>
        <v>43</v>
      </c>
      <c r="AZ2454">
        <f t="shared" si="77"/>
        <v>2</v>
      </c>
    </row>
    <row r="2455" spans="1:52" ht="55.2">
      <c r="A2455" s="3" t="s">
        <v>2499</v>
      </c>
      <c r="B2455">
        <v>3</v>
      </c>
      <c r="C2455">
        <v>3</v>
      </c>
      <c r="J2455">
        <v>20</v>
      </c>
      <c r="AY2455">
        <f t="shared" si="76"/>
        <v>43</v>
      </c>
      <c r="AZ2455">
        <f t="shared" si="77"/>
        <v>2</v>
      </c>
    </row>
    <row r="2456" spans="1:52" ht="55.2">
      <c r="A2456" s="3" t="s">
        <v>2500</v>
      </c>
      <c r="B2456">
        <v>3</v>
      </c>
      <c r="C2456">
        <v>3</v>
      </c>
      <c r="J2456">
        <v>20</v>
      </c>
      <c r="AY2456">
        <f t="shared" si="76"/>
        <v>43</v>
      </c>
      <c r="AZ2456">
        <f t="shared" si="77"/>
        <v>2</v>
      </c>
    </row>
    <row r="2457" spans="1:52" ht="55.2">
      <c r="A2457" s="3" t="s">
        <v>2501</v>
      </c>
      <c r="B2457">
        <v>3</v>
      </c>
      <c r="C2457">
        <v>3</v>
      </c>
      <c r="J2457">
        <v>20</v>
      </c>
      <c r="AY2457">
        <f t="shared" si="76"/>
        <v>43</v>
      </c>
      <c r="AZ2457">
        <f t="shared" si="77"/>
        <v>2</v>
      </c>
    </row>
    <row r="2458" spans="1:52" ht="55.2">
      <c r="A2458" s="3" t="s">
        <v>2502</v>
      </c>
      <c r="B2458">
        <v>3</v>
      </c>
      <c r="C2458">
        <v>3</v>
      </c>
      <c r="J2458">
        <v>20</v>
      </c>
      <c r="AY2458">
        <f t="shared" si="76"/>
        <v>43</v>
      </c>
      <c r="AZ2458">
        <f t="shared" si="77"/>
        <v>2</v>
      </c>
    </row>
    <row r="2459" spans="1:52" ht="55.2">
      <c r="A2459" s="3" t="s">
        <v>2503</v>
      </c>
      <c r="B2459">
        <v>3</v>
      </c>
      <c r="C2459">
        <v>3</v>
      </c>
      <c r="J2459">
        <v>20</v>
      </c>
      <c r="AY2459">
        <f t="shared" si="76"/>
        <v>43</v>
      </c>
      <c r="AZ2459">
        <f t="shared" si="77"/>
        <v>2</v>
      </c>
    </row>
    <row r="2460" spans="1:52" ht="55.2">
      <c r="A2460" s="3" t="s">
        <v>2504</v>
      </c>
      <c r="B2460">
        <v>3</v>
      </c>
      <c r="C2460">
        <v>3</v>
      </c>
      <c r="J2460">
        <v>20</v>
      </c>
      <c r="AY2460">
        <f t="shared" si="76"/>
        <v>43</v>
      </c>
      <c r="AZ2460">
        <f t="shared" si="77"/>
        <v>2</v>
      </c>
    </row>
    <row r="2461" spans="1:52" ht="55.2">
      <c r="A2461" s="3" t="s">
        <v>2505</v>
      </c>
      <c r="B2461">
        <v>3</v>
      </c>
      <c r="C2461">
        <v>3</v>
      </c>
      <c r="J2461">
        <v>20</v>
      </c>
      <c r="AY2461">
        <f t="shared" si="76"/>
        <v>43</v>
      </c>
      <c r="AZ2461">
        <f t="shared" si="77"/>
        <v>2</v>
      </c>
    </row>
    <row r="2462" spans="1:52" ht="55.2">
      <c r="A2462" s="3" t="s">
        <v>2506</v>
      </c>
      <c r="B2462">
        <v>3</v>
      </c>
      <c r="C2462">
        <v>3</v>
      </c>
      <c r="J2462">
        <v>20</v>
      </c>
      <c r="AY2462">
        <f t="shared" si="76"/>
        <v>43</v>
      </c>
      <c r="AZ2462">
        <f t="shared" si="77"/>
        <v>2</v>
      </c>
    </row>
    <row r="2463" spans="1:52" ht="55.2">
      <c r="A2463" s="3" t="s">
        <v>2507</v>
      </c>
      <c r="B2463">
        <v>3</v>
      </c>
      <c r="C2463">
        <v>3</v>
      </c>
      <c r="J2463">
        <v>20</v>
      </c>
      <c r="AY2463">
        <f t="shared" si="76"/>
        <v>43</v>
      </c>
      <c r="AZ2463">
        <f t="shared" si="77"/>
        <v>2</v>
      </c>
    </row>
    <row r="2464" spans="1:52" ht="55.2">
      <c r="A2464" s="3" t="s">
        <v>2508</v>
      </c>
      <c r="B2464">
        <v>3</v>
      </c>
      <c r="C2464">
        <v>3</v>
      </c>
      <c r="J2464">
        <v>20</v>
      </c>
      <c r="AY2464">
        <f t="shared" si="76"/>
        <v>43</v>
      </c>
      <c r="AZ2464">
        <f t="shared" si="77"/>
        <v>2</v>
      </c>
    </row>
    <row r="2465" spans="1:52" ht="55.2">
      <c r="A2465" s="3" t="s">
        <v>2509</v>
      </c>
      <c r="B2465">
        <v>3</v>
      </c>
      <c r="C2465">
        <v>3</v>
      </c>
      <c r="J2465">
        <v>20</v>
      </c>
      <c r="AY2465">
        <f t="shared" ref="AY2465:AY2528" si="78">COUNTBLANK(F2465:AW2465)</f>
        <v>43</v>
      </c>
      <c r="AZ2465">
        <f t="shared" ref="AZ2465:AZ2528" si="79">COUNTBLANK(B2465:E2465)</f>
        <v>2</v>
      </c>
    </row>
    <row r="2466" spans="1:52" ht="55.2">
      <c r="A2466" s="3" t="s">
        <v>2510</v>
      </c>
      <c r="B2466">
        <v>3</v>
      </c>
      <c r="C2466">
        <v>3</v>
      </c>
      <c r="J2466">
        <v>20</v>
      </c>
      <c r="AY2466">
        <f t="shared" si="78"/>
        <v>43</v>
      </c>
      <c r="AZ2466">
        <f t="shared" si="79"/>
        <v>2</v>
      </c>
    </row>
    <row r="2467" spans="1:52" ht="55.2">
      <c r="A2467" s="3" t="s">
        <v>2511</v>
      </c>
      <c r="B2467">
        <v>3</v>
      </c>
      <c r="C2467">
        <v>3</v>
      </c>
      <c r="J2467">
        <v>20</v>
      </c>
      <c r="AY2467">
        <f t="shared" si="78"/>
        <v>43</v>
      </c>
      <c r="AZ2467">
        <f t="shared" si="79"/>
        <v>2</v>
      </c>
    </row>
    <row r="2468" spans="1:52" ht="55.2">
      <c r="A2468" s="3" t="s">
        <v>2512</v>
      </c>
      <c r="B2468">
        <v>3</v>
      </c>
      <c r="C2468">
        <v>3</v>
      </c>
      <c r="J2468">
        <v>20</v>
      </c>
      <c r="AY2468">
        <f t="shared" si="78"/>
        <v>43</v>
      </c>
      <c r="AZ2468">
        <f t="shared" si="79"/>
        <v>2</v>
      </c>
    </row>
    <row r="2469" spans="1:52" ht="55.2">
      <c r="A2469" s="3" t="s">
        <v>2513</v>
      </c>
      <c r="C2469">
        <v>3</v>
      </c>
      <c r="J2469">
        <v>20</v>
      </c>
      <c r="AY2469">
        <f t="shared" si="78"/>
        <v>43</v>
      </c>
      <c r="AZ2469">
        <f t="shared" si="79"/>
        <v>3</v>
      </c>
    </row>
    <row r="2470" spans="1:52" ht="55.2">
      <c r="A2470" s="3" t="s">
        <v>2514</v>
      </c>
      <c r="C2470">
        <v>3</v>
      </c>
      <c r="AV2470">
        <v>4</v>
      </c>
      <c r="AY2470">
        <f t="shared" si="78"/>
        <v>43</v>
      </c>
      <c r="AZ2470">
        <f t="shared" si="79"/>
        <v>3</v>
      </c>
    </row>
    <row r="2471" spans="1:52" ht="55.2">
      <c r="A2471" s="3" t="s">
        <v>2515</v>
      </c>
      <c r="C2471">
        <v>3</v>
      </c>
      <c r="AV2471">
        <v>4</v>
      </c>
      <c r="AY2471">
        <f t="shared" si="78"/>
        <v>43</v>
      </c>
      <c r="AZ2471">
        <f t="shared" si="79"/>
        <v>3</v>
      </c>
    </row>
    <row r="2472" spans="1:52" ht="55.2">
      <c r="A2472" s="3" t="s">
        <v>2516</v>
      </c>
      <c r="C2472">
        <v>3</v>
      </c>
      <c r="AV2472">
        <v>4</v>
      </c>
      <c r="AY2472">
        <f t="shared" si="78"/>
        <v>43</v>
      </c>
      <c r="AZ2472">
        <f t="shared" si="79"/>
        <v>3</v>
      </c>
    </row>
    <row r="2473" spans="1:52" ht="55.2">
      <c r="A2473" s="3" t="s">
        <v>2517</v>
      </c>
      <c r="C2473">
        <v>3</v>
      </c>
      <c r="AV2473">
        <v>4</v>
      </c>
      <c r="AY2473">
        <f t="shared" si="78"/>
        <v>43</v>
      </c>
      <c r="AZ2473">
        <f t="shared" si="79"/>
        <v>3</v>
      </c>
    </row>
    <row r="2474" spans="1:52" ht="55.2">
      <c r="A2474" s="3" t="s">
        <v>2518</v>
      </c>
      <c r="C2474">
        <v>3</v>
      </c>
      <c r="AV2474">
        <v>4</v>
      </c>
      <c r="AY2474">
        <f t="shared" si="78"/>
        <v>43</v>
      </c>
      <c r="AZ2474">
        <f t="shared" si="79"/>
        <v>3</v>
      </c>
    </row>
    <row r="2475" spans="1:52" ht="55.2">
      <c r="A2475" s="3" t="s">
        <v>2519</v>
      </c>
      <c r="C2475">
        <v>3</v>
      </c>
      <c r="AV2475">
        <v>4</v>
      </c>
      <c r="AY2475">
        <f t="shared" si="78"/>
        <v>43</v>
      </c>
      <c r="AZ2475">
        <f t="shared" si="79"/>
        <v>3</v>
      </c>
    </row>
    <row r="2476" spans="1:52" ht="55.2">
      <c r="A2476" s="3" t="s">
        <v>2520</v>
      </c>
      <c r="C2476">
        <v>3</v>
      </c>
      <c r="AV2476">
        <v>4</v>
      </c>
      <c r="AY2476">
        <f t="shared" si="78"/>
        <v>43</v>
      </c>
      <c r="AZ2476">
        <f t="shared" si="79"/>
        <v>3</v>
      </c>
    </row>
    <row r="2477" spans="1:52" ht="55.2">
      <c r="A2477" s="3" t="s">
        <v>2521</v>
      </c>
      <c r="C2477">
        <v>3</v>
      </c>
      <c r="AV2477">
        <v>4</v>
      </c>
      <c r="AY2477">
        <f t="shared" si="78"/>
        <v>43</v>
      </c>
      <c r="AZ2477">
        <f t="shared" si="79"/>
        <v>3</v>
      </c>
    </row>
    <row r="2478" spans="1:52" ht="55.2">
      <c r="A2478" s="3" t="s">
        <v>2522</v>
      </c>
      <c r="C2478">
        <v>3</v>
      </c>
      <c r="AV2478">
        <v>4</v>
      </c>
      <c r="AY2478">
        <f t="shared" si="78"/>
        <v>43</v>
      </c>
      <c r="AZ2478">
        <f t="shared" si="79"/>
        <v>3</v>
      </c>
    </row>
    <row r="2479" spans="1:52" ht="55.2">
      <c r="A2479" s="3" t="s">
        <v>2523</v>
      </c>
      <c r="C2479">
        <v>3</v>
      </c>
      <c r="AV2479">
        <v>4</v>
      </c>
      <c r="AY2479">
        <f t="shared" si="78"/>
        <v>43</v>
      </c>
      <c r="AZ2479">
        <f t="shared" si="79"/>
        <v>3</v>
      </c>
    </row>
    <row r="2480" spans="1:52" ht="55.2">
      <c r="A2480" s="3" t="s">
        <v>2524</v>
      </c>
      <c r="C2480">
        <v>3</v>
      </c>
      <c r="AV2480">
        <v>4</v>
      </c>
      <c r="AY2480">
        <f t="shared" si="78"/>
        <v>43</v>
      </c>
      <c r="AZ2480">
        <f t="shared" si="79"/>
        <v>3</v>
      </c>
    </row>
    <row r="2481" spans="1:52" ht="55.2">
      <c r="A2481" s="3" t="s">
        <v>2525</v>
      </c>
      <c r="C2481">
        <v>3</v>
      </c>
      <c r="AV2481">
        <v>4</v>
      </c>
      <c r="AY2481">
        <f t="shared" si="78"/>
        <v>43</v>
      </c>
      <c r="AZ2481">
        <f t="shared" si="79"/>
        <v>3</v>
      </c>
    </row>
    <row r="2482" spans="1:52" ht="55.2">
      <c r="A2482" s="3" t="s">
        <v>2526</v>
      </c>
      <c r="C2482">
        <v>3</v>
      </c>
      <c r="AV2482">
        <v>4</v>
      </c>
      <c r="AY2482">
        <f t="shared" si="78"/>
        <v>43</v>
      </c>
      <c r="AZ2482">
        <f t="shared" si="79"/>
        <v>3</v>
      </c>
    </row>
    <row r="2483" spans="1:52" ht="55.2">
      <c r="A2483" s="3" t="s">
        <v>2527</v>
      </c>
      <c r="C2483">
        <v>3</v>
      </c>
      <c r="AV2483">
        <v>4</v>
      </c>
      <c r="AY2483">
        <f t="shared" si="78"/>
        <v>43</v>
      </c>
      <c r="AZ2483">
        <f t="shared" si="79"/>
        <v>3</v>
      </c>
    </row>
    <row r="2484" spans="1:52" ht="55.2">
      <c r="A2484" s="3" t="s">
        <v>2528</v>
      </c>
      <c r="C2484">
        <v>3</v>
      </c>
      <c r="AV2484">
        <v>4</v>
      </c>
      <c r="AY2484">
        <f t="shared" si="78"/>
        <v>43</v>
      </c>
      <c r="AZ2484">
        <f t="shared" si="79"/>
        <v>3</v>
      </c>
    </row>
    <row r="2485" spans="1:52" ht="55.2">
      <c r="A2485" s="3" t="s">
        <v>2529</v>
      </c>
      <c r="C2485">
        <v>3</v>
      </c>
      <c r="AV2485">
        <v>4</v>
      </c>
      <c r="AY2485">
        <f t="shared" si="78"/>
        <v>43</v>
      </c>
      <c r="AZ2485">
        <f t="shared" si="79"/>
        <v>3</v>
      </c>
    </row>
    <row r="2486" spans="1:52" ht="55.2">
      <c r="A2486" s="3" t="s">
        <v>2530</v>
      </c>
      <c r="C2486">
        <v>3</v>
      </c>
      <c r="AV2486">
        <v>4</v>
      </c>
      <c r="AY2486">
        <f t="shared" si="78"/>
        <v>43</v>
      </c>
      <c r="AZ2486">
        <f t="shared" si="79"/>
        <v>3</v>
      </c>
    </row>
    <row r="2487" spans="1:52" ht="55.2">
      <c r="A2487" s="3" t="s">
        <v>2531</v>
      </c>
      <c r="C2487">
        <v>3</v>
      </c>
      <c r="AV2487">
        <v>4</v>
      </c>
      <c r="AY2487">
        <f t="shared" si="78"/>
        <v>43</v>
      </c>
      <c r="AZ2487">
        <f t="shared" si="79"/>
        <v>3</v>
      </c>
    </row>
    <row r="2488" spans="1:52" ht="55.2">
      <c r="A2488" s="3" t="s">
        <v>2532</v>
      </c>
      <c r="C2488">
        <v>3</v>
      </c>
      <c r="AV2488">
        <v>4</v>
      </c>
      <c r="AY2488">
        <f t="shared" si="78"/>
        <v>43</v>
      </c>
      <c r="AZ2488">
        <f t="shared" si="79"/>
        <v>3</v>
      </c>
    </row>
    <row r="2489" spans="1:52" ht="55.2">
      <c r="A2489" s="3" t="s">
        <v>2533</v>
      </c>
      <c r="C2489">
        <v>3</v>
      </c>
      <c r="AV2489">
        <v>4</v>
      </c>
      <c r="AY2489">
        <f t="shared" si="78"/>
        <v>43</v>
      </c>
      <c r="AZ2489">
        <f t="shared" si="79"/>
        <v>3</v>
      </c>
    </row>
    <row r="2490" spans="1:52" ht="55.2">
      <c r="A2490" s="3" t="s">
        <v>2534</v>
      </c>
      <c r="C2490">
        <v>3</v>
      </c>
      <c r="AV2490">
        <v>4</v>
      </c>
      <c r="AY2490">
        <f t="shared" si="78"/>
        <v>43</v>
      </c>
      <c r="AZ2490">
        <f t="shared" si="79"/>
        <v>3</v>
      </c>
    </row>
    <row r="2491" spans="1:52" ht="55.2">
      <c r="A2491" s="3" t="s">
        <v>2535</v>
      </c>
      <c r="C2491">
        <v>3</v>
      </c>
      <c r="AV2491">
        <v>4</v>
      </c>
      <c r="AY2491">
        <f t="shared" si="78"/>
        <v>43</v>
      </c>
      <c r="AZ2491">
        <f t="shared" si="79"/>
        <v>3</v>
      </c>
    </row>
    <row r="2492" spans="1:52" ht="55.2">
      <c r="A2492" s="3" t="s">
        <v>2536</v>
      </c>
      <c r="C2492">
        <v>3</v>
      </c>
      <c r="AV2492">
        <v>4</v>
      </c>
      <c r="AY2492">
        <f t="shared" si="78"/>
        <v>43</v>
      </c>
      <c r="AZ2492">
        <f t="shared" si="79"/>
        <v>3</v>
      </c>
    </row>
    <row r="2493" spans="1:52" ht="55.2">
      <c r="A2493" s="3" t="s">
        <v>2537</v>
      </c>
      <c r="C2493">
        <v>3</v>
      </c>
      <c r="AV2493">
        <v>4</v>
      </c>
      <c r="AY2493">
        <f t="shared" si="78"/>
        <v>43</v>
      </c>
      <c r="AZ2493">
        <f t="shared" si="79"/>
        <v>3</v>
      </c>
    </row>
    <row r="2494" spans="1:52" ht="55.2">
      <c r="A2494" s="3" t="s">
        <v>2538</v>
      </c>
      <c r="C2494">
        <v>3</v>
      </c>
      <c r="AV2494">
        <v>4</v>
      </c>
      <c r="AY2494">
        <f t="shared" si="78"/>
        <v>43</v>
      </c>
      <c r="AZ2494">
        <f t="shared" si="79"/>
        <v>3</v>
      </c>
    </row>
    <row r="2495" spans="1:52" ht="55.2">
      <c r="A2495" s="3" t="s">
        <v>2539</v>
      </c>
      <c r="C2495">
        <v>3</v>
      </c>
      <c r="AV2495">
        <v>4</v>
      </c>
      <c r="AY2495">
        <f t="shared" si="78"/>
        <v>43</v>
      </c>
      <c r="AZ2495">
        <f t="shared" si="79"/>
        <v>3</v>
      </c>
    </row>
    <row r="2496" spans="1:52" ht="55.2">
      <c r="A2496" s="3" t="s">
        <v>2540</v>
      </c>
      <c r="C2496">
        <v>3</v>
      </c>
      <c r="AV2496">
        <v>4</v>
      </c>
      <c r="AY2496">
        <f t="shared" si="78"/>
        <v>43</v>
      </c>
      <c r="AZ2496">
        <f t="shared" si="79"/>
        <v>3</v>
      </c>
    </row>
    <row r="2497" spans="1:52" ht="55.2">
      <c r="A2497" s="3" t="s">
        <v>2541</v>
      </c>
      <c r="C2497">
        <v>3</v>
      </c>
      <c r="AV2497">
        <v>4</v>
      </c>
      <c r="AY2497">
        <f t="shared" si="78"/>
        <v>43</v>
      </c>
      <c r="AZ2497">
        <f t="shared" si="79"/>
        <v>3</v>
      </c>
    </row>
    <row r="2498" spans="1:52" ht="55.2">
      <c r="A2498" s="3" t="s">
        <v>2542</v>
      </c>
      <c r="C2498">
        <v>3</v>
      </c>
      <c r="AV2498">
        <v>4</v>
      </c>
      <c r="AY2498">
        <f t="shared" si="78"/>
        <v>43</v>
      </c>
      <c r="AZ2498">
        <f t="shared" si="79"/>
        <v>3</v>
      </c>
    </row>
    <row r="2499" spans="1:52" ht="55.2">
      <c r="A2499" s="3" t="s">
        <v>2543</v>
      </c>
      <c r="C2499">
        <v>3</v>
      </c>
      <c r="AV2499">
        <v>4</v>
      </c>
      <c r="AY2499">
        <f t="shared" si="78"/>
        <v>43</v>
      </c>
      <c r="AZ2499">
        <f t="shared" si="79"/>
        <v>3</v>
      </c>
    </row>
    <row r="2500" spans="1:52" ht="55.2">
      <c r="A2500" s="3" t="s">
        <v>2544</v>
      </c>
      <c r="C2500">
        <v>3</v>
      </c>
      <c r="AV2500">
        <v>4</v>
      </c>
      <c r="AY2500">
        <f t="shared" si="78"/>
        <v>43</v>
      </c>
      <c r="AZ2500">
        <f t="shared" si="79"/>
        <v>3</v>
      </c>
    </row>
    <row r="2501" spans="1:52" ht="55.2">
      <c r="A2501" s="3" t="s">
        <v>2545</v>
      </c>
      <c r="C2501">
        <v>3</v>
      </c>
      <c r="AV2501">
        <v>4</v>
      </c>
      <c r="AY2501">
        <f t="shared" si="78"/>
        <v>43</v>
      </c>
      <c r="AZ2501">
        <f t="shared" si="79"/>
        <v>3</v>
      </c>
    </row>
    <row r="2502" spans="1:52" ht="55.2">
      <c r="A2502" s="3" t="s">
        <v>2546</v>
      </c>
      <c r="C2502">
        <v>3</v>
      </c>
      <c r="AV2502">
        <v>4</v>
      </c>
      <c r="AY2502">
        <f t="shared" si="78"/>
        <v>43</v>
      </c>
      <c r="AZ2502">
        <f t="shared" si="79"/>
        <v>3</v>
      </c>
    </row>
    <row r="2503" spans="1:52" ht="55.2">
      <c r="A2503" s="3" t="s">
        <v>2547</v>
      </c>
      <c r="C2503">
        <v>3</v>
      </c>
      <c r="AV2503">
        <v>4</v>
      </c>
      <c r="AY2503">
        <f t="shared" si="78"/>
        <v>43</v>
      </c>
      <c r="AZ2503">
        <f t="shared" si="79"/>
        <v>3</v>
      </c>
    </row>
    <row r="2504" spans="1:52" ht="55.2">
      <c r="A2504" s="3" t="s">
        <v>2548</v>
      </c>
      <c r="C2504">
        <v>3</v>
      </c>
      <c r="AV2504">
        <v>4</v>
      </c>
      <c r="AY2504">
        <f t="shared" si="78"/>
        <v>43</v>
      </c>
      <c r="AZ2504">
        <f t="shared" si="79"/>
        <v>3</v>
      </c>
    </row>
    <row r="2505" spans="1:52" ht="55.2">
      <c r="A2505" s="3" t="s">
        <v>2549</v>
      </c>
      <c r="C2505">
        <v>3</v>
      </c>
      <c r="AV2505">
        <v>4</v>
      </c>
      <c r="AY2505">
        <f t="shared" si="78"/>
        <v>43</v>
      </c>
      <c r="AZ2505">
        <f t="shared" si="79"/>
        <v>3</v>
      </c>
    </row>
    <row r="2506" spans="1:52" ht="55.2">
      <c r="A2506" s="3" t="s">
        <v>2550</v>
      </c>
      <c r="C2506">
        <v>3</v>
      </c>
      <c r="AV2506">
        <v>4</v>
      </c>
      <c r="AY2506">
        <f t="shared" si="78"/>
        <v>43</v>
      </c>
      <c r="AZ2506">
        <f t="shared" si="79"/>
        <v>3</v>
      </c>
    </row>
    <row r="2507" spans="1:52" ht="55.2">
      <c r="A2507" s="3" t="s">
        <v>2551</v>
      </c>
      <c r="C2507">
        <v>3</v>
      </c>
      <c r="AV2507">
        <v>4</v>
      </c>
      <c r="AY2507">
        <f t="shared" si="78"/>
        <v>43</v>
      </c>
      <c r="AZ2507">
        <f t="shared" si="79"/>
        <v>3</v>
      </c>
    </row>
    <row r="2508" spans="1:52" ht="55.2">
      <c r="A2508" s="3" t="s">
        <v>2552</v>
      </c>
      <c r="C2508">
        <v>3</v>
      </c>
      <c r="AV2508">
        <v>4</v>
      </c>
      <c r="AY2508">
        <f t="shared" si="78"/>
        <v>43</v>
      </c>
      <c r="AZ2508">
        <f t="shared" si="79"/>
        <v>3</v>
      </c>
    </row>
    <row r="2509" spans="1:52" ht="55.2">
      <c r="A2509" s="3" t="s">
        <v>2553</v>
      </c>
      <c r="C2509">
        <v>3</v>
      </c>
      <c r="AV2509">
        <v>4</v>
      </c>
      <c r="AY2509">
        <f t="shared" si="78"/>
        <v>43</v>
      </c>
      <c r="AZ2509">
        <f t="shared" si="79"/>
        <v>3</v>
      </c>
    </row>
    <row r="2510" spans="1:52" ht="55.2">
      <c r="A2510" s="3" t="s">
        <v>2554</v>
      </c>
      <c r="C2510">
        <v>3</v>
      </c>
      <c r="AV2510">
        <v>4</v>
      </c>
      <c r="AY2510">
        <f t="shared" si="78"/>
        <v>43</v>
      </c>
      <c r="AZ2510">
        <f t="shared" si="79"/>
        <v>3</v>
      </c>
    </row>
    <row r="2511" spans="1:52" ht="55.2">
      <c r="A2511" s="3" t="s">
        <v>2555</v>
      </c>
      <c r="C2511">
        <v>3</v>
      </c>
      <c r="AV2511">
        <v>4</v>
      </c>
      <c r="AY2511">
        <f t="shared" si="78"/>
        <v>43</v>
      </c>
      <c r="AZ2511">
        <f t="shared" si="79"/>
        <v>3</v>
      </c>
    </row>
    <row r="2512" spans="1:52" ht="55.2">
      <c r="A2512" s="3" t="s">
        <v>2556</v>
      </c>
      <c r="C2512">
        <v>3</v>
      </c>
      <c r="AV2512">
        <v>4</v>
      </c>
      <c r="AY2512">
        <f t="shared" si="78"/>
        <v>43</v>
      </c>
      <c r="AZ2512">
        <f t="shared" si="79"/>
        <v>3</v>
      </c>
    </row>
    <row r="2513" spans="1:52" ht="55.2">
      <c r="A2513" s="3" t="s">
        <v>2557</v>
      </c>
      <c r="C2513">
        <v>3</v>
      </c>
      <c r="AV2513">
        <v>4</v>
      </c>
      <c r="AY2513">
        <f t="shared" si="78"/>
        <v>43</v>
      </c>
      <c r="AZ2513">
        <f t="shared" si="79"/>
        <v>3</v>
      </c>
    </row>
    <row r="2514" spans="1:52" ht="55.2">
      <c r="A2514" s="3" t="s">
        <v>2558</v>
      </c>
      <c r="C2514">
        <v>3</v>
      </c>
      <c r="AV2514">
        <v>4</v>
      </c>
      <c r="AY2514">
        <f t="shared" si="78"/>
        <v>43</v>
      </c>
      <c r="AZ2514">
        <f t="shared" si="79"/>
        <v>3</v>
      </c>
    </row>
    <row r="2515" spans="1:52" ht="55.2">
      <c r="A2515" s="3" t="s">
        <v>2559</v>
      </c>
      <c r="C2515">
        <v>3</v>
      </c>
      <c r="AV2515">
        <v>4</v>
      </c>
      <c r="AY2515">
        <f t="shared" si="78"/>
        <v>43</v>
      </c>
      <c r="AZ2515">
        <f t="shared" si="79"/>
        <v>3</v>
      </c>
    </row>
    <row r="2516" spans="1:52" ht="55.2">
      <c r="A2516" s="3" t="s">
        <v>2560</v>
      </c>
      <c r="C2516">
        <v>3</v>
      </c>
      <c r="AV2516">
        <v>4</v>
      </c>
      <c r="AY2516">
        <f t="shared" si="78"/>
        <v>43</v>
      </c>
      <c r="AZ2516">
        <f t="shared" si="79"/>
        <v>3</v>
      </c>
    </row>
    <row r="2517" spans="1:52" ht="55.2">
      <c r="A2517" s="3" t="s">
        <v>2561</v>
      </c>
      <c r="C2517">
        <v>3</v>
      </c>
      <c r="AV2517">
        <v>4</v>
      </c>
      <c r="AY2517">
        <f t="shared" si="78"/>
        <v>43</v>
      </c>
      <c r="AZ2517">
        <f t="shared" si="79"/>
        <v>3</v>
      </c>
    </row>
    <row r="2518" spans="1:52" ht="55.2">
      <c r="A2518" s="3" t="s">
        <v>2562</v>
      </c>
      <c r="C2518">
        <v>3</v>
      </c>
      <c r="AV2518">
        <v>4</v>
      </c>
      <c r="AY2518">
        <f t="shared" si="78"/>
        <v>43</v>
      </c>
      <c r="AZ2518">
        <f t="shared" si="79"/>
        <v>3</v>
      </c>
    </row>
    <row r="2519" spans="1:52" ht="55.2">
      <c r="A2519" s="3" t="s">
        <v>2563</v>
      </c>
      <c r="C2519">
        <v>3</v>
      </c>
      <c r="AV2519">
        <v>4</v>
      </c>
      <c r="AY2519">
        <f t="shared" si="78"/>
        <v>43</v>
      </c>
      <c r="AZ2519">
        <f t="shared" si="79"/>
        <v>3</v>
      </c>
    </row>
    <row r="2520" spans="1:52" ht="55.2">
      <c r="A2520" s="3" t="s">
        <v>2564</v>
      </c>
      <c r="C2520">
        <v>3</v>
      </c>
      <c r="AV2520">
        <v>4</v>
      </c>
      <c r="AY2520">
        <f t="shared" si="78"/>
        <v>43</v>
      </c>
      <c r="AZ2520">
        <f t="shared" si="79"/>
        <v>3</v>
      </c>
    </row>
    <row r="2521" spans="1:52" ht="55.2">
      <c r="A2521" s="3" t="s">
        <v>2565</v>
      </c>
      <c r="C2521">
        <v>3</v>
      </c>
      <c r="AV2521">
        <v>4</v>
      </c>
      <c r="AY2521">
        <f t="shared" si="78"/>
        <v>43</v>
      </c>
      <c r="AZ2521">
        <f t="shared" si="79"/>
        <v>3</v>
      </c>
    </row>
    <row r="2522" spans="1:52" ht="55.2">
      <c r="A2522" s="3" t="s">
        <v>2566</v>
      </c>
      <c r="C2522">
        <v>3</v>
      </c>
      <c r="AV2522">
        <v>4</v>
      </c>
      <c r="AY2522">
        <f t="shared" si="78"/>
        <v>43</v>
      </c>
      <c r="AZ2522">
        <f t="shared" si="79"/>
        <v>3</v>
      </c>
    </row>
    <row r="2523" spans="1:52" ht="55.2">
      <c r="A2523" s="3" t="s">
        <v>2567</v>
      </c>
      <c r="C2523">
        <v>3</v>
      </c>
      <c r="AV2523">
        <v>4</v>
      </c>
      <c r="AY2523">
        <f t="shared" si="78"/>
        <v>43</v>
      </c>
      <c r="AZ2523">
        <f t="shared" si="79"/>
        <v>3</v>
      </c>
    </row>
    <row r="2524" spans="1:52" ht="55.2">
      <c r="A2524" s="3" t="s">
        <v>2568</v>
      </c>
      <c r="C2524">
        <v>3</v>
      </c>
      <c r="AV2524">
        <v>4</v>
      </c>
      <c r="AY2524">
        <f t="shared" si="78"/>
        <v>43</v>
      </c>
      <c r="AZ2524">
        <f t="shared" si="79"/>
        <v>3</v>
      </c>
    </row>
    <row r="2525" spans="1:52" ht="55.2">
      <c r="A2525" s="3" t="s">
        <v>2569</v>
      </c>
      <c r="C2525">
        <v>3</v>
      </c>
      <c r="AV2525">
        <v>4</v>
      </c>
      <c r="AY2525">
        <f t="shared" si="78"/>
        <v>43</v>
      </c>
      <c r="AZ2525">
        <f t="shared" si="79"/>
        <v>3</v>
      </c>
    </row>
    <row r="2526" spans="1:52" ht="55.2">
      <c r="A2526" s="3" t="s">
        <v>2570</v>
      </c>
      <c r="C2526">
        <v>3</v>
      </c>
      <c r="AV2526">
        <v>4</v>
      </c>
      <c r="AY2526">
        <f t="shared" si="78"/>
        <v>43</v>
      </c>
      <c r="AZ2526">
        <f t="shared" si="79"/>
        <v>3</v>
      </c>
    </row>
    <row r="2527" spans="1:52" ht="55.2">
      <c r="A2527" s="3" t="s">
        <v>2571</v>
      </c>
      <c r="C2527">
        <v>3</v>
      </c>
      <c r="AV2527">
        <v>4</v>
      </c>
      <c r="AY2527">
        <f t="shared" si="78"/>
        <v>43</v>
      </c>
      <c r="AZ2527">
        <f t="shared" si="79"/>
        <v>3</v>
      </c>
    </row>
    <row r="2528" spans="1:52" ht="55.2">
      <c r="A2528" s="3" t="s">
        <v>2572</v>
      </c>
      <c r="C2528">
        <v>3</v>
      </c>
      <c r="AV2528">
        <v>4</v>
      </c>
      <c r="AY2528">
        <f t="shared" si="78"/>
        <v>43</v>
      </c>
      <c r="AZ2528">
        <f t="shared" si="79"/>
        <v>3</v>
      </c>
    </row>
    <row r="2529" spans="1:52" ht="55.2">
      <c r="A2529" s="3" t="s">
        <v>2573</v>
      </c>
      <c r="C2529">
        <v>3</v>
      </c>
      <c r="AV2529">
        <v>4</v>
      </c>
      <c r="AY2529">
        <f t="shared" ref="AY2529:AY2592" si="80">COUNTBLANK(F2529:AW2529)</f>
        <v>43</v>
      </c>
      <c r="AZ2529">
        <f t="shared" ref="AZ2529:AZ2592" si="81">COUNTBLANK(B2529:E2529)</f>
        <v>3</v>
      </c>
    </row>
    <row r="2530" spans="1:52" ht="55.2">
      <c r="A2530" s="3" t="s">
        <v>2574</v>
      </c>
      <c r="C2530">
        <v>3</v>
      </c>
      <c r="AV2530">
        <v>4</v>
      </c>
      <c r="AY2530">
        <f t="shared" si="80"/>
        <v>43</v>
      </c>
      <c r="AZ2530">
        <f t="shared" si="81"/>
        <v>3</v>
      </c>
    </row>
    <row r="2531" spans="1:52" ht="55.2">
      <c r="A2531" s="3" t="s">
        <v>2575</v>
      </c>
      <c r="C2531">
        <v>3</v>
      </c>
      <c r="AV2531">
        <v>4</v>
      </c>
      <c r="AY2531">
        <f t="shared" si="80"/>
        <v>43</v>
      </c>
      <c r="AZ2531">
        <f t="shared" si="81"/>
        <v>3</v>
      </c>
    </row>
    <row r="2532" spans="1:52" ht="55.2">
      <c r="A2532" s="3" t="s">
        <v>2576</v>
      </c>
      <c r="C2532">
        <v>3</v>
      </c>
      <c r="AV2532">
        <v>4</v>
      </c>
      <c r="AY2532">
        <f t="shared" si="80"/>
        <v>43</v>
      </c>
      <c r="AZ2532">
        <f t="shared" si="81"/>
        <v>3</v>
      </c>
    </row>
    <row r="2533" spans="1:52" ht="55.2">
      <c r="A2533" s="3" t="s">
        <v>2577</v>
      </c>
      <c r="C2533">
        <v>3</v>
      </c>
      <c r="AV2533">
        <v>4</v>
      </c>
      <c r="AY2533">
        <f t="shared" si="80"/>
        <v>43</v>
      </c>
      <c r="AZ2533">
        <f t="shared" si="81"/>
        <v>3</v>
      </c>
    </row>
    <row r="2534" spans="1:52" ht="55.2">
      <c r="A2534" s="3" t="s">
        <v>2578</v>
      </c>
      <c r="C2534">
        <v>3</v>
      </c>
      <c r="AV2534">
        <v>4</v>
      </c>
      <c r="AY2534">
        <f t="shared" si="80"/>
        <v>43</v>
      </c>
      <c r="AZ2534">
        <f t="shared" si="81"/>
        <v>3</v>
      </c>
    </row>
    <row r="2535" spans="1:52" ht="55.2">
      <c r="A2535" s="3" t="s">
        <v>2579</v>
      </c>
      <c r="C2535">
        <v>3</v>
      </c>
      <c r="AV2535">
        <v>4</v>
      </c>
      <c r="AY2535">
        <f t="shared" si="80"/>
        <v>43</v>
      </c>
      <c r="AZ2535">
        <f t="shared" si="81"/>
        <v>3</v>
      </c>
    </row>
    <row r="2536" spans="1:52" ht="55.2">
      <c r="A2536" s="3" t="s">
        <v>2580</v>
      </c>
      <c r="C2536">
        <v>3</v>
      </c>
      <c r="AV2536">
        <v>4</v>
      </c>
      <c r="AY2536">
        <f t="shared" si="80"/>
        <v>43</v>
      </c>
      <c r="AZ2536">
        <f t="shared" si="81"/>
        <v>3</v>
      </c>
    </row>
    <row r="2537" spans="1:52" ht="55.2">
      <c r="A2537" s="3" t="s">
        <v>2581</v>
      </c>
      <c r="C2537">
        <v>3</v>
      </c>
      <c r="AV2537">
        <v>4</v>
      </c>
      <c r="AY2537">
        <f t="shared" si="80"/>
        <v>43</v>
      </c>
      <c r="AZ2537">
        <f t="shared" si="81"/>
        <v>3</v>
      </c>
    </row>
    <row r="2538" spans="1:52" ht="55.2">
      <c r="A2538" s="3" t="s">
        <v>2582</v>
      </c>
      <c r="C2538">
        <v>3</v>
      </c>
      <c r="AV2538">
        <v>4</v>
      </c>
      <c r="AY2538">
        <f t="shared" si="80"/>
        <v>43</v>
      </c>
      <c r="AZ2538">
        <f t="shared" si="81"/>
        <v>3</v>
      </c>
    </row>
    <row r="2539" spans="1:52" ht="55.2">
      <c r="A2539" s="3" t="s">
        <v>2583</v>
      </c>
      <c r="C2539">
        <v>3</v>
      </c>
      <c r="AV2539">
        <v>4</v>
      </c>
      <c r="AY2539">
        <f t="shared" si="80"/>
        <v>43</v>
      </c>
      <c r="AZ2539">
        <f t="shared" si="81"/>
        <v>3</v>
      </c>
    </row>
    <row r="2540" spans="1:52" ht="55.2">
      <c r="A2540" s="3" t="s">
        <v>2584</v>
      </c>
      <c r="C2540">
        <v>3</v>
      </c>
      <c r="AV2540">
        <v>4</v>
      </c>
      <c r="AY2540">
        <f t="shared" si="80"/>
        <v>43</v>
      </c>
      <c r="AZ2540">
        <f t="shared" si="81"/>
        <v>3</v>
      </c>
    </row>
    <row r="2541" spans="1:52" ht="55.2">
      <c r="A2541" s="3" t="s">
        <v>2585</v>
      </c>
      <c r="C2541">
        <v>3</v>
      </c>
      <c r="AV2541">
        <v>4</v>
      </c>
      <c r="AY2541">
        <f t="shared" si="80"/>
        <v>43</v>
      </c>
      <c r="AZ2541">
        <f t="shared" si="81"/>
        <v>3</v>
      </c>
    </row>
    <row r="2542" spans="1:52" ht="55.2">
      <c r="A2542" s="3" t="s">
        <v>2586</v>
      </c>
      <c r="C2542">
        <v>3</v>
      </c>
      <c r="AV2542">
        <v>4</v>
      </c>
      <c r="AY2542">
        <f t="shared" si="80"/>
        <v>43</v>
      </c>
      <c r="AZ2542">
        <f t="shared" si="81"/>
        <v>3</v>
      </c>
    </row>
    <row r="2543" spans="1:52" ht="55.2">
      <c r="A2543" s="3" t="s">
        <v>2587</v>
      </c>
      <c r="C2543">
        <v>3</v>
      </c>
      <c r="AV2543">
        <v>4</v>
      </c>
      <c r="AY2543">
        <f t="shared" si="80"/>
        <v>43</v>
      </c>
      <c r="AZ2543">
        <f t="shared" si="81"/>
        <v>3</v>
      </c>
    </row>
    <row r="2544" spans="1:52" ht="55.2">
      <c r="A2544" s="3" t="s">
        <v>2588</v>
      </c>
      <c r="C2544">
        <v>3</v>
      </c>
      <c r="AV2544">
        <v>4</v>
      </c>
      <c r="AY2544">
        <f t="shared" si="80"/>
        <v>43</v>
      </c>
      <c r="AZ2544">
        <f t="shared" si="81"/>
        <v>3</v>
      </c>
    </row>
    <row r="2545" spans="1:52" ht="55.2">
      <c r="A2545" s="3" t="s">
        <v>2589</v>
      </c>
      <c r="C2545">
        <v>3</v>
      </c>
      <c r="AV2545">
        <v>4</v>
      </c>
      <c r="AY2545">
        <f t="shared" si="80"/>
        <v>43</v>
      </c>
      <c r="AZ2545">
        <f t="shared" si="81"/>
        <v>3</v>
      </c>
    </row>
    <row r="2546" spans="1:52" ht="55.2">
      <c r="A2546" s="3" t="s">
        <v>2590</v>
      </c>
      <c r="C2546">
        <v>3</v>
      </c>
      <c r="AV2546">
        <v>4</v>
      </c>
      <c r="AY2546">
        <f t="shared" si="80"/>
        <v>43</v>
      </c>
      <c r="AZ2546">
        <f t="shared" si="81"/>
        <v>3</v>
      </c>
    </row>
    <row r="2547" spans="1:52" ht="55.2">
      <c r="A2547" s="3" t="s">
        <v>2591</v>
      </c>
      <c r="C2547">
        <v>3</v>
      </c>
      <c r="AV2547">
        <v>4</v>
      </c>
      <c r="AY2547">
        <f t="shared" si="80"/>
        <v>43</v>
      </c>
      <c r="AZ2547">
        <f t="shared" si="81"/>
        <v>3</v>
      </c>
    </row>
    <row r="2548" spans="1:52" ht="55.2">
      <c r="A2548" s="3" t="s">
        <v>2592</v>
      </c>
      <c r="C2548">
        <v>3</v>
      </c>
      <c r="AV2548">
        <v>4</v>
      </c>
      <c r="AY2548">
        <f t="shared" si="80"/>
        <v>43</v>
      </c>
      <c r="AZ2548">
        <f t="shared" si="81"/>
        <v>3</v>
      </c>
    </row>
    <row r="2549" spans="1:52" ht="55.2">
      <c r="A2549" s="3" t="s">
        <v>2593</v>
      </c>
      <c r="C2549">
        <v>3</v>
      </c>
      <c r="AV2549">
        <v>4</v>
      </c>
      <c r="AY2549">
        <f t="shared" si="80"/>
        <v>43</v>
      </c>
      <c r="AZ2549">
        <f t="shared" si="81"/>
        <v>3</v>
      </c>
    </row>
    <row r="2550" spans="1:52" ht="55.2">
      <c r="A2550" s="3" t="s">
        <v>2594</v>
      </c>
      <c r="C2550">
        <v>3</v>
      </c>
      <c r="AV2550">
        <v>4</v>
      </c>
      <c r="AY2550">
        <f t="shared" si="80"/>
        <v>43</v>
      </c>
      <c r="AZ2550">
        <f t="shared" si="81"/>
        <v>3</v>
      </c>
    </row>
    <row r="2551" spans="1:52" ht="55.2">
      <c r="A2551" s="3" t="s">
        <v>2595</v>
      </c>
      <c r="C2551">
        <v>3</v>
      </c>
      <c r="AV2551">
        <v>4</v>
      </c>
      <c r="AY2551">
        <f t="shared" si="80"/>
        <v>43</v>
      </c>
      <c r="AZ2551">
        <f t="shared" si="81"/>
        <v>3</v>
      </c>
    </row>
    <row r="2552" spans="1:52" ht="55.2">
      <c r="A2552" s="3" t="s">
        <v>2596</v>
      </c>
      <c r="C2552">
        <v>3</v>
      </c>
      <c r="AV2552">
        <v>4</v>
      </c>
      <c r="AY2552">
        <f t="shared" si="80"/>
        <v>43</v>
      </c>
      <c r="AZ2552">
        <f t="shared" si="81"/>
        <v>3</v>
      </c>
    </row>
    <row r="2553" spans="1:52" ht="55.2">
      <c r="A2553" s="3" t="s">
        <v>2597</v>
      </c>
      <c r="C2553">
        <v>3</v>
      </c>
      <c r="AV2553">
        <v>4</v>
      </c>
      <c r="AY2553">
        <f t="shared" si="80"/>
        <v>43</v>
      </c>
      <c r="AZ2553">
        <f t="shared" si="81"/>
        <v>3</v>
      </c>
    </row>
    <row r="2554" spans="1:52" ht="55.2">
      <c r="A2554" s="3" t="s">
        <v>2598</v>
      </c>
      <c r="C2554">
        <v>3</v>
      </c>
      <c r="AV2554">
        <v>4</v>
      </c>
      <c r="AY2554">
        <f t="shared" si="80"/>
        <v>43</v>
      </c>
      <c r="AZ2554">
        <f t="shared" si="81"/>
        <v>3</v>
      </c>
    </row>
    <row r="2555" spans="1:52" ht="55.2">
      <c r="A2555" s="3" t="s">
        <v>2599</v>
      </c>
      <c r="C2555">
        <v>3</v>
      </c>
      <c r="AV2555">
        <v>4</v>
      </c>
      <c r="AY2555">
        <f t="shared" si="80"/>
        <v>43</v>
      </c>
      <c r="AZ2555">
        <f t="shared" si="81"/>
        <v>3</v>
      </c>
    </row>
    <row r="2556" spans="1:52" ht="55.2">
      <c r="A2556" s="3" t="s">
        <v>2600</v>
      </c>
      <c r="C2556">
        <v>3</v>
      </c>
      <c r="AV2556">
        <v>4</v>
      </c>
      <c r="AY2556">
        <f t="shared" si="80"/>
        <v>43</v>
      </c>
      <c r="AZ2556">
        <f t="shared" si="81"/>
        <v>3</v>
      </c>
    </row>
    <row r="2557" spans="1:52" ht="55.2">
      <c r="A2557" s="3" t="s">
        <v>2601</v>
      </c>
      <c r="C2557">
        <v>3</v>
      </c>
      <c r="AV2557">
        <v>4</v>
      </c>
      <c r="AY2557">
        <f t="shared" si="80"/>
        <v>43</v>
      </c>
      <c r="AZ2557">
        <f t="shared" si="81"/>
        <v>3</v>
      </c>
    </row>
    <row r="2558" spans="1:52" ht="55.2">
      <c r="A2558" s="3" t="s">
        <v>2602</v>
      </c>
      <c r="C2558">
        <v>3</v>
      </c>
      <c r="AV2558">
        <v>4</v>
      </c>
      <c r="AY2558">
        <f t="shared" si="80"/>
        <v>43</v>
      </c>
      <c r="AZ2558">
        <f t="shared" si="81"/>
        <v>3</v>
      </c>
    </row>
    <row r="2559" spans="1:52" ht="55.2">
      <c r="A2559" s="3" t="s">
        <v>2603</v>
      </c>
      <c r="C2559">
        <v>3</v>
      </c>
      <c r="AV2559">
        <v>4</v>
      </c>
      <c r="AY2559">
        <f t="shared" si="80"/>
        <v>43</v>
      </c>
      <c r="AZ2559">
        <f t="shared" si="81"/>
        <v>3</v>
      </c>
    </row>
    <row r="2560" spans="1:52" ht="55.2">
      <c r="A2560" s="3" t="s">
        <v>2604</v>
      </c>
      <c r="C2560">
        <v>3</v>
      </c>
      <c r="AV2560">
        <v>4</v>
      </c>
      <c r="AY2560">
        <f t="shared" si="80"/>
        <v>43</v>
      </c>
      <c r="AZ2560">
        <f t="shared" si="81"/>
        <v>3</v>
      </c>
    </row>
    <row r="2561" spans="1:52" ht="55.2">
      <c r="A2561" s="3" t="s">
        <v>2605</v>
      </c>
      <c r="C2561">
        <v>3</v>
      </c>
      <c r="AV2561">
        <v>4</v>
      </c>
      <c r="AY2561">
        <f t="shared" si="80"/>
        <v>43</v>
      </c>
      <c r="AZ2561">
        <f t="shared" si="81"/>
        <v>3</v>
      </c>
    </row>
    <row r="2562" spans="1:52" ht="55.2">
      <c r="A2562" s="3" t="s">
        <v>2606</v>
      </c>
      <c r="C2562">
        <v>3</v>
      </c>
      <c r="AV2562">
        <v>4</v>
      </c>
      <c r="AY2562">
        <f t="shared" si="80"/>
        <v>43</v>
      </c>
      <c r="AZ2562">
        <f t="shared" si="81"/>
        <v>3</v>
      </c>
    </row>
    <row r="2563" spans="1:52" ht="55.2">
      <c r="A2563" s="3" t="s">
        <v>2607</v>
      </c>
      <c r="C2563">
        <v>3</v>
      </c>
      <c r="AV2563">
        <v>4</v>
      </c>
      <c r="AY2563">
        <f t="shared" si="80"/>
        <v>43</v>
      </c>
      <c r="AZ2563">
        <f t="shared" si="81"/>
        <v>3</v>
      </c>
    </row>
    <row r="2564" spans="1:52" ht="55.2">
      <c r="A2564" s="3" t="s">
        <v>2608</v>
      </c>
      <c r="C2564">
        <v>3</v>
      </c>
      <c r="AV2564">
        <v>4</v>
      </c>
      <c r="AY2564">
        <f t="shared" si="80"/>
        <v>43</v>
      </c>
      <c r="AZ2564">
        <f t="shared" si="81"/>
        <v>3</v>
      </c>
    </row>
    <row r="2565" spans="1:52" ht="55.2">
      <c r="A2565" s="3" t="s">
        <v>2609</v>
      </c>
      <c r="C2565">
        <v>3</v>
      </c>
      <c r="AV2565">
        <v>4</v>
      </c>
      <c r="AY2565">
        <f t="shared" si="80"/>
        <v>43</v>
      </c>
      <c r="AZ2565">
        <f t="shared" si="81"/>
        <v>3</v>
      </c>
    </row>
    <row r="2566" spans="1:52" ht="55.2">
      <c r="A2566" s="3" t="s">
        <v>2610</v>
      </c>
      <c r="C2566">
        <v>3</v>
      </c>
      <c r="AV2566">
        <v>4</v>
      </c>
      <c r="AY2566">
        <f t="shared" si="80"/>
        <v>43</v>
      </c>
      <c r="AZ2566">
        <f t="shared" si="81"/>
        <v>3</v>
      </c>
    </row>
    <row r="2567" spans="1:52" ht="55.2">
      <c r="A2567" s="3" t="s">
        <v>2611</v>
      </c>
      <c r="C2567">
        <v>3</v>
      </c>
      <c r="AV2567">
        <v>4</v>
      </c>
      <c r="AY2567">
        <f t="shared" si="80"/>
        <v>43</v>
      </c>
      <c r="AZ2567">
        <f t="shared" si="81"/>
        <v>3</v>
      </c>
    </row>
    <row r="2568" spans="1:52" ht="55.2">
      <c r="A2568" s="3" t="s">
        <v>2612</v>
      </c>
      <c r="C2568">
        <v>3</v>
      </c>
      <c r="AV2568">
        <v>4</v>
      </c>
      <c r="AY2568">
        <f t="shared" si="80"/>
        <v>43</v>
      </c>
      <c r="AZ2568">
        <f t="shared" si="81"/>
        <v>3</v>
      </c>
    </row>
    <row r="2569" spans="1:52" ht="55.2">
      <c r="A2569" s="3" t="s">
        <v>2613</v>
      </c>
      <c r="C2569">
        <v>3</v>
      </c>
      <c r="AV2569">
        <v>4</v>
      </c>
      <c r="AY2569">
        <f t="shared" si="80"/>
        <v>43</v>
      </c>
      <c r="AZ2569">
        <f t="shared" si="81"/>
        <v>3</v>
      </c>
    </row>
    <row r="2570" spans="1:52" ht="55.2">
      <c r="A2570" s="3" t="s">
        <v>2614</v>
      </c>
      <c r="C2570">
        <v>3</v>
      </c>
      <c r="AV2570">
        <v>4</v>
      </c>
      <c r="AY2570">
        <f t="shared" si="80"/>
        <v>43</v>
      </c>
      <c r="AZ2570">
        <f t="shared" si="81"/>
        <v>3</v>
      </c>
    </row>
    <row r="2571" spans="1:52" ht="55.2">
      <c r="A2571" s="3" t="s">
        <v>2615</v>
      </c>
      <c r="C2571">
        <v>3</v>
      </c>
      <c r="AV2571">
        <v>4</v>
      </c>
      <c r="AY2571">
        <f t="shared" si="80"/>
        <v>43</v>
      </c>
      <c r="AZ2571">
        <f t="shared" si="81"/>
        <v>3</v>
      </c>
    </row>
    <row r="2572" spans="1:52" ht="55.2">
      <c r="A2572" s="3" t="s">
        <v>2616</v>
      </c>
      <c r="C2572">
        <v>3</v>
      </c>
      <c r="AV2572">
        <v>4</v>
      </c>
      <c r="AY2572">
        <f t="shared" si="80"/>
        <v>43</v>
      </c>
      <c r="AZ2572">
        <f t="shared" si="81"/>
        <v>3</v>
      </c>
    </row>
    <row r="2573" spans="1:52" ht="55.2">
      <c r="A2573" s="3" t="s">
        <v>2617</v>
      </c>
      <c r="C2573">
        <v>3</v>
      </c>
      <c r="AV2573">
        <v>4</v>
      </c>
      <c r="AY2573">
        <f t="shared" si="80"/>
        <v>43</v>
      </c>
      <c r="AZ2573">
        <f t="shared" si="81"/>
        <v>3</v>
      </c>
    </row>
    <row r="2574" spans="1:52" ht="55.2">
      <c r="A2574" s="3" t="s">
        <v>2618</v>
      </c>
      <c r="C2574">
        <v>3</v>
      </c>
      <c r="AV2574">
        <v>4</v>
      </c>
      <c r="AY2574">
        <f t="shared" si="80"/>
        <v>43</v>
      </c>
      <c r="AZ2574">
        <f t="shared" si="81"/>
        <v>3</v>
      </c>
    </row>
    <row r="2575" spans="1:52" ht="55.2">
      <c r="A2575" s="3" t="s">
        <v>2619</v>
      </c>
      <c r="C2575">
        <v>3</v>
      </c>
      <c r="AV2575">
        <v>4</v>
      </c>
      <c r="AY2575">
        <f t="shared" si="80"/>
        <v>43</v>
      </c>
      <c r="AZ2575">
        <f t="shared" si="81"/>
        <v>3</v>
      </c>
    </row>
    <row r="2576" spans="1:52" ht="55.2">
      <c r="A2576" s="3" t="s">
        <v>2620</v>
      </c>
      <c r="C2576">
        <v>3</v>
      </c>
      <c r="AV2576">
        <v>4</v>
      </c>
      <c r="AY2576">
        <f t="shared" si="80"/>
        <v>43</v>
      </c>
      <c r="AZ2576">
        <f t="shared" si="81"/>
        <v>3</v>
      </c>
    </row>
    <row r="2577" spans="1:52" ht="55.2">
      <c r="A2577" s="3" t="s">
        <v>2621</v>
      </c>
      <c r="C2577">
        <v>3</v>
      </c>
      <c r="AV2577">
        <v>4</v>
      </c>
      <c r="AY2577">
        <f t="shared" si="80"/>
        <v>43</v>
      </c>
      <c r="AZ2577">
        <f t="shared" si="81"/>
        <v>3</v>
      </c>
    </row>
    <row r="2578" spans="1:52" ht="55.2">
      <c r="A2578" s="3" t="s">
        <v>2622</v>
      </c>
      <c r="C2578">
        <v>3</v>
      </c>
      <c r="AV2578">
        <v>4</v>
      </c>
      <c r="AY2578">
        <f t="shared" si="80"/>
        <v>43</v>
      </c>
      <c r="AZ2578">
        <f t="shared" si="81"/>
        <v>3</v>
      </c>
    </row>
    <row r="2579" spans="1:52" ht="55.2">
      <c r="A2579" s="3" t="s">
        <v>2623</v>
      </c>
      <c r="C2579">
        <v>3</v>
      </c>
      <c r="AV2579">
        <v>4</v>
      </c>
      <c r="AY2579">
        <f t="shared" si="80"/>
        <v>43</v>
      </c>
      <c r="AZ2579">
        <f t="shared" si="81"/>
        <v>3</v>
      </c>
    </row>
    <row r="2580" spans="1:52" ht="55.2">
      <c r="A2580" s="3" t="s">
        <v>2624</v>
      </c>
      <c r="C2580">
        <v>3</v>
      </c>
      <c r="AV2580">
        <v>4</v>
      </c>
      <c r="AY2580">
        <f t="shared" si="80"/>
        <v>43</v>
      </c>
      <c r="AZ2580">
        <f t="shared" si="81"/>
        <v>3</v>
      </c>
    </row>
    <row r="2581" spans="1:52" ht="55.2">
      <c r="A2581" s="3" t="s">
        <v>2625</v>
      </c>
      <c r="C2581">
        <v>3</v>
      </c>
      <c r="AV2581">
        <v>4</v>
      </c>
      <c r="AY2581">
        <f t="shared" si="80"/>
        <v>43</v>
      </c>
      <c r="AZ2581">
        <f t="shared" si="81"/>
        <v>3</v>
      </c>
    </row>
    <row r="2582" spans="1:52" ht="55.2">
      <c r="A2582" s="3" t="s">
        <v>2626</v>
      </c>
      <c r="C2582">
        <v>3</v>
      </c>
      <c r="AV2582">
        <v>4</v>
      </c>
      <c r="AY2582">
        <f t="shared" si="80"/>
        <v>43</v>
      </c>
      <c r="AZ2582">
        <f t="shared" si="81"/>
        <v>3</v>
      </c>
    </row>
    <row r="2583" spans="1:52" ht="55.2">
      <c r="A2583" s="3" t="s">
        <v>2627</v>
      </c>
      <c r="C2583">
        <v>3</v>
      </c>
      <c r="AV2583">
        <v>4</v>
      </c>
      <c r="AY2583">
        <f t="shared" si="80"/>
        <v>43</v>
      </c>
      <c r="AZ2583">
        <f t="shared" si="81"/>
        <v>3</v>
      </c>
    </row>
    <row r="2584" spans="1:52" ht="55.2">
      <c r="A2584" s="3" t="s">
        <v>2628</v>
      </c>
      <c r="C2584">
        <v>3</v>
      </c>
      <c r="AV2584">
        <v>4</v>
      </c>
      <c r="AY2584">
        <f t="shared" si="80"/>
        <v>43</v>
      </c>
      <c r="AZ2584">
        <f t="shared" si="81"/>
        <v>3</v>
      </c>
    </row>
    <row r="2585" spans="1:52" ht="55.2">
      <c r="A2585" s="3" t="s">
        <v>2629</v>
      </c>
      <c r="C2585">
        <v>3</v>
      </c>
      <c r="AV2585">
        <v>4</v>
      </c>
      <c r="AY2585">
        <f t="shared" si="80"/>
        <v>43</v>
      </c>
      <c r="AZ2585">
        <f t="shared" si="81"/>
        <v>3</v>
      </c>
    </row>
    <row r="2586" spans="1:52" ht="55.2">
      <c r="A2586" s="3" t="s">
        <v>2630</v>
      </c>
      <c r="C2586">
        <v>3</v>
      </c>
      <c r="AV2586">
        <v>4</v>
      </c>
      <c r="AY2586">
        <f t="shared" si="80"/>
        <v>43</v>
      </c>
      <c r="AZ2586">
        <f t="shared" si="81"/>
        <v>3</v>
      </c>
    </row>
    <row r="2587" spans="1:52" ht="55.2">
      <c r="A2587" s="3" t="s">
        <v>2631</v>
      </c>
      <c r="C2587">
        <v>3</v>
      </c>
      <c r="AV2587">
        <v>4</v>
      </c>
      <c r="AY2587">
        <f t="shared" si="80"/>
        <v>43</v>
      </c>
      <c r="AZ2587">
        <f t="shared" si="81"/>
        <v>3</v>
      </c>
    </row>
    <row r="2588" spans="1:52" ht="55.2">
      <c r="A2588" s="3" t="s">
        <v>2632</v>
      </c>
      <c r="C2588">
        <v>3</v>
      </c>
      <c r="AV2588">
        <v>4</v>
      </c>
      <c r="AY2588">
        <f t="shared" si="80"/>
        <v>43</v>
      </c>
      <c r="AZ2588">
        <f t="shared" si="81"/>
        <v>3</v>
      </c>
    </row>
    <row r="2589" spans="1:52" ht="55.2">
      <c r="A2589" s="3" t="s">
        <v>2633</v>
      </c>
      <c r="C2589">
        <v>3</v>
      </c>
      <c r="AV2589">
        <v>4</v>
      </c>
      <c r="AY2589">
        <f t="shared" si="80"/>
        <v>43</v>
      </c>
      <c r="AZ2589">
        <f t="shared" si="81"/>
        <v>3</v>
      </c>
    </row>
    <row r="2590" spans="1:52" ht="55.2">
      <c r="A2590" s="3" t="s">
        <v>2634</v>
      </c>
      <c r="C2590">
        <v>3</v>
      </c>
      <c r="AV2590">
        <v>4</v>
      </c>
      <c r="AY2590">
        <f t="shared" si="80"/>
        <v>43</v>
      </c>
      <c r="AZ2590">
        <f t="shared" si="81"/>
        <v>3</v>
      </c>
    </row>
    <row r="2591" spans="1:52" ht="55.2">
      <c r="A2591" s="3" t="s">
        <v>2635</v>
      </c>
      <c r="C2591">
        <v>3</v>
      </c>
      <c r="AV2591">
        <v>4</v>
      </c>
      <c r="AY2591">
        <f t="shared" si="80"/>
        <v>43</v>
      </c>
      <c r="AZ2591">
        <f t="shared" si="81"/>
        <v>3</v>
      </c>
    </row>
    <row r="2592" spans="1:52" ht="55.2">
      <c r="A2592" s="3" t="s">
        <v>2636</v>
      </c>
      <c r="C2592">
        <v>3</v>
      </c>
      <c r="AV2592">
        <v>4</v>
      </c>
      <c r="AY2592">
        <f t="shared" si="80"/>
        <v>43</v>
      </c>
      <c r="AZ2592">
        <f t="shared" si="81"/>
        <v>3</v>
      </c>
    </row>
    <row r="2593" spans="1:52" ht="55.2">
      <c r="A2593" s="3" t="s">
        <v>2637</v>
      </c>
      <c r="C2593">
        <v>3</v>
      </c>
      <c r="AV2593">
        <v>4</v>
      </c>
      <c r="AY2593">
        <f t="shared" ref="AY2593:AY2656" si="82">COUNTBLANK(F2593:AW2593)</f>
        <v>43</v>
      </c>
      <c r="AZ2593">
        <f t="shared" ref="AZ2593:AZ2656" si="83">COUNTBLANK(B2593:E2593)</f>
        <v>3</v>
      </c>
    </row>
    <row r="2594" spans="1:52" ht="55.2">
      <c r="A2594" s="3" t="s">
        <v>2638</v>
      </c>
      <c r="C2594">
        <v>3</v>
      </c>
      <c r="AV2594">
        <v>4</v>
      </c>
      <c r="AY2594">
        <f t="shared" si="82"/>
        <v>43</v>
      </c>
      <c r="AZ2594">
        <f t="shared" si="83"/>
        <v>3</v>
      </c>
    </row>
    <row r="2595" spans="1:52" ht="55.2">
      <c r="A2595" s="3" t="s">
        <v>2639</v>
      </c>
      <c r="C2595">
        <v>3</v>
      </c>
      <c r="AV2595">
        <v>4</v>
      </c>
      <c r="AY2595">
        <f t="shared" si="82"/>
        <v>43</v>
      </c>
      <c r="AZ2595">
        <f t="shared" si="83"/>
        <v>3</v>
      </c>
    </row>
    <row r="2596" spans="1:52" ht="55.2">
      <c r="A2596" s="3" t="s">
        <v>2640</v>
      </c>
      <c r="C2596">
        <v>3</v>
      </c>
      <c r="AV2596">
        <v>4</v>
      </c>
      <c r="AY2596">
        <f t="shared" si="82"/>
        <v>43</v>
      </c>
      <c r="AZ2596">
        <f t="shared" si="83"/>
        <v>3</v>
      </c>
    </row>
    <row r="2597" spans="1:52" ht="55.2">
      <c r="A2597" s="3" t="s">
        <v>2641</v>
      </c>
      <c r="C2597">
        <v>3</v>
      </c>
      <c r="AV2597">
        <v>4</v>
      </c>
      <c r="AY2597">
        <f t="shared" si="82"/>
        <v>43</v>
      </c>
      <c r="AZ2597">
        <f t="shared" si="83"/>
        <v>3</v>
      </c>
    </row>
    <row r="2598" spans="1:52" ht="55.2">
      <c r="A2598" s="3" t="s">
        <v>2642</v>
      </c>
      <c r="C2598">
        <v>3</v>
      </c>
      <c r="AV2598">
        <v>4</v>
      </c>
      <c r="AY2598">
        <f t="shared" si="82"/>
        <v>43</v>
      </c>
      <c r="AZ2598">
        <f t="shared" si="83"/>
        <v>3</v>
      </c>
    </row>
    <row r="2599" spans="1:52" ht="55.2">
      <c r="A2599" s="3" t="s">
        <v>2643</v>
      </c>
      <c r="C2599">
        <v>3</v>
      </c>
      <c r="AV2599">
        <v>4</v>
      </c>
      <c r="AY2599">
        <f t="shared" si="82"/>
        <v>43</v>
      </c>
      <c r="AZ2599">
        <f t="shared" si="83"/>
        <v>3</v>
      </c>
    </row>
    <row r="2600" spans="1:52" ht="55.2">
      <c r="A2600" s="3" t="s">
        <v>2644</v>
      </c>
      <c r="C2600">
        <v>3</v>
      </c>
      <c r="AV2600">
        <v>4</v>
      </c>
      <c r="AY2600">
        <f t="shared" si="82"/>
        <v>43</v>
      </c>
      <c r="AZ2600">
        <f t="shared" si="83"/>
        <v>3</v>
      </c>
    </row>
    <row r="2601" spans="1:52" ht="55.2">
      <c r="A2601" s="3" t="s">
        <v>2645</v>
      </c>
      <c r="C2601">
        <v>3</v>
      </c>
      <c r="AV2601">
        <v>4</v>
      </c>
      <c r="AY2601">
        <f t="shared" si="82"/>
        <v>43</v>
      </c>
      <c r="AZ2601">
        <f t="shared" si="83"/>
        <v>3</v>
      </c>
    </row>
    <row r="2602" spans="1:52" ht="55.2">
      <c r="A2602" s="3" t="s">
        <v>2646</v>
      </c>
      <c r="C2602">
        <v>3</v>
      </c>
      <c r="AV2602">
        <v>4</v>
      </c>
      <c r="AY2602">
        <f t="shared" si="82"/>
        <v>43</v>
      </c>
      <c r="AZ2602">
        <f t="shared" si="83"/>
        <v>3</v>
      </c>
    </row>
    <row r="2603" spans="1:52" ht="55.2">
      <c r="A2603" s="3" t="s">
        <v>2647</v>
      </c>
      <c r="C2603">
        <v>3</v>
      </c>
      <c r="AV2603">
        <v>4</v>
      </c>
      <c r="AY2603">
        <f t="shared" si="82"/>
        <v>43</v>
      </c>
      <c r="AZ2603">
        <f t="shared" si="83"/>
        <v>3</v>
      </c>
    </row>
    <row r="2604" spans="1:52" ht="55.2">
      <c r="A2604" s="3" t="s">
        <v>2648</v>
      </c>
      <c r="C2604">
        <v>3</v>
      </c>
      <c r="AV2604">
        <v>4</v>
      </c>
      <c r="AY2604">
        <f t="shared" si="82"/>
        <v>43</v>
      </c>
      <c r="AZ2604">
        <f t="shared" si="83"/>
        <v>3</v>
      </c>
    </row>
    <row r="2605" spans="1:52" ht="55.2">
      <c r="A2605" s="3" t="s">
        <v>2649</v>
      </c>
      <c r="C2605">
        <v>3</v>
      </c>
      <c r="AV2605">
        <v>4</v>
      </c>
      <c r="AY2605">
        <f t="shared" si="82"/>
        <v>43</v>
      </c>
      <c r="AZ2605">
        <f t="shared" si="83"/>
        <v>3</v>
      </c>
    </row>
    <row r="2606" spans="1:52" ht="55.2">
      <c r="A2606" s="3" t="s">
        <v>2650</v>
      </c>
      <c r="C2606">
        <v>3</v>
      </c>
      <c r="AV2606">
        <v>4</v>
      </c>
      <c r="AY2606">
        <f t="shared" si="82"/>
        <v>43</v>
      </c>
      <c r="AZ2606">
        <f t="shared" si="83"/>
        <v>3</v>
      </c>
    </row>
    <row r="2607" spans="1:52" ht="55.2">
      <c r="A2607" s="3" t="s">
        <v>2651</v>
      </c>
      <c r="C2607">
        <v>3</v>
      </c>
      <c r="AV2607">
        <v>4</v>
      </c>
      <c r="AY2607">
        <f t="shared" si="82"/>
        <v>43</v>
      </c>
      <c r="AZ2607">
        <f t="shared" si="83"/>
        <v>3</v>
      </c>
    </row>
    <row r="2608" spans="1:52" ht="55.2">
      <c r="A2608" s="3" t="s">
        <v>2652</v>
      </c>
      <c r="C2608">
        <v>3</v>
      </c>
      <c r="AV2608">
        <v>4</v>
      </c>
      <c r="AY2608">
        <f t="shared" si="82"/>
        <v>43</v>
      </c>
      <c r="AZ2608">
        <f t="shared" si="83"/>
        <v>3</v>
      </c>
    </row>
    <row r="2609" spans="1:52" ht="55.2">
      <c r="A2609" s="3" t="s">
        <v>2653</v>
      </c>
      <c r="C2609">
        <v>3</v>
      </c>
      <c r="AV2609">
        <v>4</v>
      </c>
      <c r="AY2609">
        <f t="shared" si="82"/>
        <v>43</v>
      </c>
      <c r="AZ2609">
        <f t="shared" si="83"/>
        <v>3</v>
      </c>
    </row>
    <row r="2610" spans="1:52" ht="55.2">
      <c r="A2610" s="3" t="s">
        <v>2654</v>
      </c>
      <c r="C2610">
        <v>3</v>
      </c>
      <c r="AV2610">
        <v>4</v>
      </c>
      <c r="AY2610">
        <f t="shared" si="82"/>
        <v>43</v>
      </c>
      <c r="AZ2610">
        <f t="shared" si="83"/>
        <v>3</v>
      </c>
    </row>
    <row r="2611" spans="1:52" ht="55.2">
      <c r="A2611" s="3" t="s">
        <v>2655</v>
      </c>
      <c r="C2611">
        <v>3</v>
      </c>
      <c r="AV2611">
        <v>4</v>
      </c>
      <c r="AY2611">
        <f t="shared" si="82"/>
        <v>43</v>
      </c>
      <c r="AZ2611">
        <f t="shared" si="83"/>
        <v>3</v>
      </c>
    </row>
    <row r="2612" spans="1:52" ht="55.2">
      <c r="A2612" s="3" t="s">
        <v>2656</v>
      </c>
      <c r="C2612">
        <v>3</v>
      </c>
      <c r="AV2612">
        <v>4</v>
      </c>
      <c r="AY2612">
        <f t="shared" si="82"/>
        <v>43</v>
      </c>
      <c r="AZ2612">
        <f t="shared" si="83"/>
        <v>3</v>
      </c>
    </row>
    <row r="2613" spans="1:52" ht="55.2">
      <c r="A2613" s="3" t="s">
        <v>2657</v>
      </c>
      <c r="C2613">
        <v>3</v>
      </c>
      <c r="AV2613">
        <v>4</v>
      </c>
      <c r="AY2613">
        <f t="shared" si="82"/>
        <v>43</v>
      </c>
      <c r="AZ2613">
        <f t="shared" si="83"/>
        <v>3</v>
      </c>
    </row>
    <row r="2614" spans="1:52" ht="55.2">
      <c r="A2614" s="3" t="s">
        <v>2658</v>
      </c>
      <c r="C2614">
        <v>3</v>
      </c>
      <c r="AV2614">
        <v>4</v>
      </c>
      <c r="AY2614">
        <f t="shared" si="82"/>
        <v>43</v>
      </c>
      <c r="AZ2614">
        <f t="shared" si="83"/>
        <v>3</v>
      </c>
    </row>
    <row r="2615" spans="1:52" ht="55.2">
      <c r="A2615" s="3" t="s">
        <v>2659</v>
      </c>
      <c r="C2615">
        <v>3</v>
      </c>
      <c r="AV2615">
        <v>4</v>
      </c>
      <c r="AY2615">
        <f t="shared" si="82"/>
        <v>43</v>
      </c>
      <c r="AZ2615">
        <f t="shared" si="83"/>
        <v>3</v>
      </c>
    </row>
    <row r="2616" spans="1:52" ht="55.2">
      <c r="A2616" s="3" t="s">
        <v>2660</v>
      </c>
      <c r="C2616">
        <v>3</v>
      </c>
      <c r="AV2616">
        <v>4</v>
      </c>
      <c r="AY2616">
        <f t="shared" si="82"/>
        <v>43</v>
      </c>
      <c r="AZ2616">
        <f t="shared" si="83"/>
        <v>3</v>
      </c>
    </row>
    <row r="2617" spans="1:52" ht="55.2">
      <c r="A2617" s="3" t="s">
        <v>2661</v>
      </c>
      <c r="C2617">
        <v>3</v>
      </c>
      <c r="AV2617">
        <v>4</v>
      </c>
      <c r="AY2617">
        <f t="shared" si="82"/>
        <v>43</v>
      </c>
      <c r="AZ2617">
        <f t="shared" si="83"/>
        <v>3</v>
      </c>
    </row>
    <row r="2618" spans="1:52" ht="55.2">
      <c r="A2618" s="3" t="s">
        <v>2662</v>
      </c>
      <c r="C2618">
        <v>3</v>
      </c>
      <c r="AV2618">
        <v>4</v>
      </c>
      <c r="AY2618">
        <f t="shared" si="82"/>
        <v>43</v>
      </c>
      <c r="AZ2618">
        <f t="shared" si="83"/>
        <v>3</v>
      </c>
    </row>
    <row r="2619" spans="1:52" ht="55.2">
      <c r="A2619" s="3" t="s">
        <v>2663</v>
      </c>
      <c r="C2619">
        <v>3</v>
      </c>
      <c r="AV2619">
        <v>4</v>
      </c>
      <c r="AY2619">
        <f t="shared" si="82"/>
        <v>43</v>
      </c>
      <c r="AZ2619">
        <f t="shared" si="83"/>
        <v>3</v>
      </c>
    </row>
    <row r="2620" spans="1:52" ht="55.2">
      <c r="A2620" s="3" t="s">
        <v>2664</v>
      </c>
      <c r="C2620">
        <v>3</v>
      </c>
      <c r="AV2620">
        <v>4</v>
      </c>
      <c r="AY2620">
        <f t="shared" si="82"/>
        <v>43</v>
      </c>
      <c r="AZ2620">
        <f t="shared" si="83"/>
        <v>3</v>
      </c>
    </row>
    <row r="2621" spans="1:52" ht="55.2">
      <c r="A2621" s="3" t="s">
        <v>2665</v>
      </c>
      <c r="C2621">
        <v>3</v>
      </c>
      <c r="AV2621">
        <v>4</v>
      </c>
      <c r="AY2621">
        <f t="shared" si="82"/>
        <v>43</v>
      </c>
      <c r="AZ2621">
        <f t="shared" si="83"/>
        <v>3</v>
      </c>
    </row>
    <row r="2622" spans="1:52" ht="55.2">
      <c r="A2622" s="3" t="s">
        <v>2666</v>
      </c>
      <c r="C2622">
        <v>3</v>
      </c>
      <c r="AV2622">
        <v>4</v>
      </c>
      <c r="AY2622">
        <f t="shared" si="82"/>
        <v>43</v>
      </c>
      <c r="AZ2622">
        <f t="shared" si="83"/>
        <v>3</v>
      </c>
    </row>
    <row r="2623" spans="1:52" ht="55.2">
      <c r="A2623" s="3" t="s">
        <v>2667</v>
      </c>
      <c r="C2623">
        <v>3</v>
      </c>
      <c r="AV2623">
        <v>4</v>
      </c>
      <c r="AY2623">
        <f t="shared" si="82"/>
        <v>43</v>
      </c>
      <c r="AZ2623">
        <f t="shared" si="83"/>
        <v>3</v>
      </c>
    </row>
    <row r="2624" spans="1:52" ht="55.2">
      <c r="A2624" s="3" t="s">
        <v>2668</v>
      </c>
      <c r="C2624">
        <v>3</v>
      </c>
      <c r="AV2624">
        <v>4</v>
      </c>
      <c r="AY2624">
        <f t="shared" si="82"/>
        <v>43</v>
      </c>
      <c r="AZ2624">
        <f t="shared" si="83"/>
        <v>3</v>
      </c>
    </row>
    <row r="2625" spans="1:52" ht="55.2">
      <c r="A2625" s="3" t="s">
        <v>2669</v>
      </c>
      <c r="C2625">
        <v>3</v>
      </c>
      <c r="AV2625">
        <v>4</v>
      </c>
      <c r="AY2625">
        <f t="shared" si="82"/>
        <v>43</v>
      </c>
      <c r="AZ2625">
        <f t="shared" si="83"/>
        <v>3</v>
      </c>
    </row>
    <row r="2626" spans="1:52" ht="55.2">
      <c r="A2626" s="3" t="s">
        <v>2670</v>
      </c>
      <c r="C2626">
        <v>3</v>
      </c>
      <c r="AV2626">
        <v>4</v>
      </c>
      <c r="AY2626">
        <f t="shared" si="82"/>
        <v>43</v>
      </c>
      <c r="AZ2626">
        <f t="shared" si="83"/>
        <v>3</v>
      </c>
    </row>
    <row r="2627" spans="1:52" ht="55.2">
      <c r="A2627" s="3" t="s">
        <v>2671</v>
      </c>
      <c r="C2627">
        <v>3</v>
      </c>
      <c r="AV2627">
        <v>4</v>
      </c>
      <c r="AY2627">
        <f t="shared" si="82"/>
        <v>43</v>
      </c>
      <c r="AZ2627">
        <f t="shared" si="83"/>
        <v>3</v>
      </c>
    </row>
    <row r="2628" spans="1:52" ht="55.2">
      <c r="A2628" s="3" t="s">
        <v>2672</v>
      </c>
      <c r="C2628">
        <v>3</v>
      </c>
      <c r="AV2628">
        <v>4</v>
      </c>
      <c r="AY2628">
        <f t="shared" si="82"/>
        <v>43</v>
      </c>
      <c r="AZ2628">
        <f t="shared" si="83"/>
        <v>3</v>
      </c>
    </row>
    <row r="2629" spans="1:52" ht="55.2">
      <c r="A2629" s="3" t="s">
        <v>2673</v>
      </c>
      <c r="C2629">
        <v>3</v>
      </c>
      <c r="AV2629">
        <v>4</v>
      </c>
      <c r="AY2629">
        <f t="shared" si="82"/>
        <v>43</v>
      </c>
      <c r="AZ2629">
        <f t="shared" si="83"/>
        <v>3</v>
      </c>
    </row>
    <row r="2630" spans="1:52" ht="55.2">
      <c r="A2630" s="3" t="s">
        <v>2674</v>
      </c>
      <c r="C2630">
        <v>3</v>
      </c>
      <c r="AV2630">
        <v>4</v>
      </c>
      <c r="AY2630">
        <f t="shared" si="82"/>
        <v>43</v>
      </c>
      <c r="AZ2630">
        <f t="shared" si="83"/>
        <v>3</v>
      </c>
    </row>
    <row r="2631" spans="1:52" ht="55.2">
      <c r="A2631" s="3" t="s">
        <v>2675</v>
      </c>
      <c r="C2631">
        <v>3</v>
      </c>
      <c r="AV2631">
        <v>4</v>
      </c>
      <c r="AY2631">
        <f t="shared" si="82"/>
        <v>43</v>
      </c>
      <c r="AZ2631">
        <f t="shared" si="83"/>
        <v>3</v>
      </c>
    </row>
    <row r="2632" spans="1:52" ht="55.2">
      <c r="A2632" s="3" t="s">
        <v>2676</v>
      </c>
      <c r="C2632">
        <v>3</v>
      </c>
      <c r="AV2632">
        <v>4</v>
      </c>
      <c r="AY2632">
        <f t="shared" si="82"/>
        <v>43</v>
      </c>
      <c r="AZ2632">
        <f t="shared" si="83"/>
        <v>3</v>
      </c>
    </row>
    <row r="2633" spans="1:52" ht="55.2">
      <c r="A2633" s="3" t="s">
        <v>2677</v>
      </c>
      <c r="C2633">
        <v>3</v>
      </c>
      <c r="AV2633">
        <v>4</v>
      </c>
      <c r="AY2633">
        <f t="shared" si="82"/>
        <v>43</v>
      </c>
      <c r="AZ2633">
        <f t="shared" si="83"/>
        <v>3</v>
      </c>
    </row>
    <row r="2634" spans="1:52" ht="55.2">
      <c r="A2634" s="3" t="s">
        <v>2678</v>
      </c>
      <c r="C2634">
        <v>3</v>
      </c>
      <c r="AV2634">
        <v>4</v>
      </c>
      <c r="AY2634">
        <f t="shared" si="82"/>
        <v>43</v>
      </c>
      <c r="AZ2634">
        <f t="shared" si="83"/>
        <v>3</v>
      </c>
    </row>
    <row r="2635" spans="1:52" ht="55.2">
      <c r="A2635" s="3" t="s">
        <v>2679</v>
      </c>
      <c r="C2635">
        <v>3</v>
      </c>
      <c r="AV2635">
        <v>4</v>
      </c>
      <c r="AY2635">
        <f t="shared" si="82"/>
        <v>43</v>
      </c>
      <c r="AZ2635">
        <f t="shared" si="83"/>
        <v>3</v>
      </c>
    </row>
    <row r="2636" spans="1:52" ht="55.2">
      <c r="A2636" s="3" t="s">
        <v>2680</v>
      </c>
      <c r="C2636">
        <v>3</v>
      </c>
      <c r="AV2636">
        <v>4</v>
      </c>
      <c r="AY2636">
        <f t="shared" si="82"/>
        <v>43</v>
      </c>
      <c r="AZ2636">
        <f t="shared" si="83"/>
        <v>3</v>
      </c>
    </row>
    <row r="2637" spans="1:52" ht="55.2">
      <c r="A2637" s="3" t="s">
        <v>2681</v>
      </c>
      <c r="C2637">
        <v>3</v>
      </c>
      <c r="AV2637">
        <v>4</v>
      </c>
      <c r="AY2637">
        <f t="shared" si="82"/>
        <v>43</v>
      </c>
      <c r="AZ2637">
        <f t="shared" si="83"/>
        <v>3</v>
      </c>
    </row>
    <row r="2638" spans="1:52" ht="55.2">
      <c r="A2638" s="3" t="s">
        <v>2682</v>
      </c>
      <c r="C2638">
        <v>3</v>
      </c>
      <c r="AV2638">
        <v>4</v>
      </c>
      <c r="AY2638">
        <f t="shared" si="82"/>
        <v>43</v>
      </c>
      <c r="AZ2638">
        <f t="shared" si="83"/>
        <v>3</v>
      </c>
    </row>
    <row r="2639" spans="1:52" ht="55.2">
      <c r="A2639" s="3" t="s">
        <v>2683</v>
      </c>
      <c r="C2639">
        <v>3</v>
      </c>
      <c r="AV2639">
        <v>4</v>
      </c>
      <c r="AY2639">
        <f t="shared" si="82"/>
        <v>43</v>
      </c>
      <c r="AZ2639">
        <f t="shared" si="83"/>
        <v>3</v>
      </c>
    </row>
    <row r="2640" spans="1:52" ht="55.2">
      <c r="A2640" s="3" t="s">
        <v>2684</v>
      </c>
      <c r="C2640">
        <v>3</v>
      </c>
      <c r="AV2640">
        <v>4</v>
      </c>
      <c r="AY2640">
        <f t="shared" si="82"/>
        <v>43</v>
      </c>
      <c r="AZ2640">
        <f t="shared" si="83"/>
        <v>3</v>
      </c>
    </row>
    <row r="2641" spans="1:52" ht="55.2">
      <c r="A2641" s="3" t="s">
        <v>2685</v>
      </c>
      <c r="C2641">
        <v>3</v>
      </c>
      <c r="AV2641">
        <v>4</v>
      </c>
      <c r="AY2641">
        <f t="shared" si="82"/>
        <v>43</v>
      </c>
      <c r="AZ2641">
        <f t="shared" si="83"/>
        <v>3</v>
      </c>
    </row>
    <row r="2642" spans="1:52" ht="55.2">
      <c r="A2642" s="3" t="s">
        <v>2686</v>
      </c>
      <c r="C2642">
        <v>3</v>
      </c>
      <c r="AV2642">
        <v>4</v>
      </c>
      <c r="AY2642">
        <f t="shared" si="82"/>
        <v>43</v>
      </c>
      <c r="AZ2642">
        <f t="shared" si="83"/>
        <v>3</v>
      </c>
    </row>
    <row r="2643" spans="1:52" ht="55.2">
      <c r="A2643" s="3" t="s">
        <v>2687</v>
      </c>
      <c r="C2643">
        <v>3</v>
      </c>
      <c r="AV2643">
        <v>4</v>
      </c>
      <c r="AY2643">
        <f t="shared" si="82"/>
        <v>43</v>
      </c>
      <c r="AZ2643">
        <f t="shared" si="83"/>
        <v>3</v>
      </c>
    </row>
    <row r="2644" spans="1:52" ht="55.2">
      <c r="A2644" s="3" t="s">
        <v>2688</v>
      </c>
      <c r="C2644">
        <v>3</v>
      </c>
      <c r="AV2644">
        <v>4</v>
      </c>
      <c r="AY2644">
        <f t="shared" si="82"/>
        <v>43</v>
      </c>
      <c r="AZ2644">
        <f t="shared" si="83"/>
        <v>3</v>
      </c>
    </row>
    <row r="2645" spans="1:52" ht="55.2">
      <c r="A2645" s="3" t="s">
        <v>2689</v>
      </c>
      <c r="C2645">
        <v>3</v>
      </c>
      <c r="AV2645">
        <v>4</v>
      </c>
      <c r="AY2645">
        <f t="shared" si="82"/>
        <v>43</v>
      </c>
      <c r="AZ2645">
        <f t="shared" si="83"/>
        <v>3</v>
      </c>
    </row>
    <row r="2646" spans="1:52" ht="55.2">
      <c r="A2646" s="3" t="s">
        <v>2690</v>
      </c>
      <c r="C2646">
        <v>3</v>
      </c>
      <c r="AV2646">
        <v>4</v>
      </c>
      <c r="AY2646">
        <f t="shared" si="82"/>
        <v>43</v>
      </c>
      <c r="AZ2646">
        <f t="shared" si="83"/>
        <v>3</v>
      </c>
    </row>
    <row r="2647" spans="1:52" ht="55.2">
      <c r="A2647" s="3" t="s">
        <v>2691</v>
      </c>
      <c r="C2647">
        <v>3</v>
      </c>
      <c r="AV2647">
        <v>4</v>
      </c>
      <c r="AY2647">
        <f t="shared" si="82"/>
        <v>43</v>
      </c>
      <c r="AZ2647">
        <f t="shared" si="83"/>
        <v>3</v>
      </c>
    </row>
    <row r="2648" spans="1:52" ht="55.2">
      <c r="A2648" s="3" t="s">
        <v>2692</v>
      </c>
      <c r="C2648">
        <v>3</v>
      </c>
      <c r="AV2648">
        <v>4</v>
      </c>
      <c r="AY2648">
        <f t="shared" si="82"/>
        <v>43</v>
      </c>
      <c r="AZ2648">
        <f t="shared" si="83"/>
        <v>3</v>
      </c>
    </row>
    <row r="2649" spans="1:52" ht="55.2">
      <c r="A2649" s="3" t="s">
        <v>2693</v>
      </c>
      <c r="C2649">
        <v>3</v>
      </c>
      <c r="AV2649">
        <v>4</v>
      </c>
      <c r="AY2649">
        <f t="shared" si="82"/>
        <v>43</v>
      </c>
      <c r="AZ2649">
        <f t="shared" si="83"/>
        <v>3</v>
      </c>
    </row>
    <row r="2650" spans="1:52" ht="55.2">
      <c r="A2650" s="3" t="s">
        <v>2694</v>
      </c>
      <c r="C2650">
        <v>3</v>
      </c>
      <c r="AV2650">
        <v>4</v>
      </c>
      <c r="AY2650">
        <f t="shared" si="82"/>
        <v>43</v>
      </c>
      <c r="AZ2650">
        <f t="shared" si="83"/>
        <v>3</v>
      </c>
    </row>
    <row r="2651" spans="1:52" ht="55.2">
      <c r="A2651" s="3" t="s">
        <v>2695</v>
      </c>
      <c r="C2651">
        <v>3</v>
      </c>
      <c r="AV2651">
        <v>4</v>
      </c>
      <c r="AY2651">
        <f t="shared" si="82"/>
        <v>43</v>
      </c>
      <c r="AZ2651">
        <f t="shared" si="83"/>
        <v>3</v>
      </c>
    </row>
    <row r="2652" spans="1:52" ht="55.2">
      <c r="A2652" s="3" t="s">
        <v>2696</v>
      </c>
      <c r="C2652">
        <v>3</v>
      </c>
      <c r="AV2652">
        <v>4</v>
      </c>
      <c r="AY2652">
        <f t="shared" si="82"/>
        <v>43</v>
      </c>
      <c r="AZ2652">
        <f t="shared" si="83"/>
        <v>3</v>
      </c>
    </row>
    <row r="2653" spans="1:52" ht="55.2">
      <c r="A2653" s="3" t="s">
        <v>2697</v>
      </c>
      <c r="C2653">
        <v>3</v>
      </c>
      <c r="AV2653">
        <v>4</v>
      </c>
      <c r="AY2653">
        <f t="shared" si="82"/>
        <v>43</v>
      </c>
      <c r="AZ2653">
        <f t="shared" si="83"/>
        <v>3</v>
      </c>
    </row>
    <row r="2654" spans="1:52" ht="55.2">
      <c r="A2654" s="3" t="s">
        <v>2698</v>
      </c>
      <c r="C2654">
        <v>3</v>
      </c>
      <c r="M2654">
        <v>6</v>
      </c>
      <c r="AY2654">
        <f t="shared" si="82"/>
        <v>43</v>
      </c>
      <c r="AZ2654">
        <f t="shared" si="83"/>
        <v>3</v>
      </c>
    </row>
    <row r="2655" spans="1:52" ht="55.2">
      <c r="A2655" s="3" t="s">
        <v>2699</v>
      </c>
      <c r="C2655">
        <v>3</v>
      </c>
      <c r="M2655">
        <v>6</v>
      </c>
      <c r="AY2655">
        <f t="shared" si="82"/>
        <v>43</v>
      </c>
      <c r="AZ2655">
        <f t="shared" si="83"/>
        <v>3</v>
      </c>
    </row>
    <row r="2656" spans="1:52" ht="55.2">
      <c r="A2656" s="3" t="s">
        <v>2700</v>
      </c>
      <c r="C2656">
        <v>3</v>
      </c>
      <c r="M2656">
        <v>6</v>
      </c>
      <c r="AY2656">
        <f t="shared" si="82"/>
        <v>43</v>
      </c>
      <c r="AZ2656">
        <f t="shared" si="83"/>
        <v>3</v>
      </c>
    </row>
    <row r="2657" spans="1:52" ht="55.2">
      <c r="A2657" s="3" t="s">
        <v>2701</v>
      </c>
      <c r="C2657">
        <v>3</v>
      </c>
      <c r="M2657">
        <v>6</v>
      </c>
      <c r="AY2657">
        <f t="shared" ref="AY2657:AY2720" si="84">COUNTBLANK(F2657:AW2657)</f>
        <v>43</v>
      </c>
      <c r="AZ2657">
        <f t="shared" ref="AZ2657:AZ2720" si="85">COUNTBLANK(B2657:E2657)</f>
        <v>3</v>
      </c>
    </row>
    <row r="2658" spans="1:52" ht="55.2">
      <c r="A2658" s="3" t="s">
        <v>2702</v>
      </c>
      <c r="C2658">
        <v>3</v>
      </c>
      <c r="M2658">
        <v>6</v>
      </c>
      <c r="AY2658">
        <f t="shared" si="84"/>
        <v>43</v>
      </c>
      <c r="AZ2658">
        <f t="shared" si="85"/>
        <v>3</v>
      </c>
    </row>
    <row r="2659" spans="1:52" ht="55.2">
      <c r="A2659" s="3" t="s">
        <v>2703</v>
      </c>
      <c r="C2659">
        <v>3</v>
      </c>
      <c r="M2659">
        <v>6</v>
      </c>
      <c r="AY2659">
        <f t="shared" si="84"/>
        <v>43</v>
      </c>
      <c r="AZ2659">
        <f t="shared" si="85"/>
        <v>3</v>
      </c>
    </row>
    <row r="2660" spans="1:52" ht="55.2">
      <c r="A2660" s="3" t="s">
        <v>2704</v>
      </c>
      <c r="C2660">
        <v>3</v>
      </c>
      <c r="M2660">
        <v>6</v>
      </c>
      <c r="AY2660">
        <f t="shared" si="84"/>
        <v>43</v>
      </c>
      <c r="AZ2660">
        <f t="shared" si="85"/>
        <v>3</v>
      </c>
    </row>
    <row r="2661" spans="1:52" ht="55.2">
      <c r="A2661" s="3" t="s">
        <v>2705</v>
      </c>
      <c r="C2661">
        <v>3</v>
      </c>
      <c r="M2661">
        <v>6</v>
      </c>
      <c r="AY2661">
        <f t="shared" si="84"/>
        <v>43</v>
      </c>
      <c r="AZ2661">
        <f t="shared" si="85"/>
        <v>3</v>
      </c>
    </row>
    <row r="2662" spans="1:52" ht="55.2">
      <c r="A2662" s="3" t="s">
        <v>2706</v>
      </c>
      <c r="C2662">
        <v>3</v>
      </c>
      <c r="M2662">
        <v>6</v>
      </c>
      <c r="AY2662">
        <f t="shared" si="84"/>
        <v>43</v>
      </c>
      <c r="AZ2662">
        <f t="shared" si="85"/>
        <v>3</v>
      </c>
    </row>
    <row r="2663" spans="1:52" ht="55.2">
      <c r="A2663" s="3" t="s">
        <v>2707</v>
      </c>
      <c r="C2663">
        <v>3</v>
      </c>
      <c r="M2663">
        <v>6</v>
      </c>
      <c r="AY2663">
        <f t="shared" si="84"/>
        <v>43</v>
      </c>
      <c r="AZ2663">
        <f t="shared" si="85"/>
        <v>3</v>
      </c>
    </row>
    <row r="2664" spans="1:52" ht="55.2">
      <c r="A2664" s="3" t="s">
        <v>2708</v>
      </c>
      <c r="C2664">
        <v>3</v>
      </c>
      <c r="M2664">
        <v>6</v>
      </c>
      <c r="AY2664">
        <f t="shared" si="84"/>
        <v>43</v>
      </c>
      <c r="AZ2664">
        <f t="shared" si="85"/>
        <v>3</v>
      </c>
    </row>
    <row r="2665" spans="1:52" ht="55.2">
      <c r="A2665" s="3" t="s">
        <v>2709</v>
      </c>
      <c r="C2665">
        <v>3</v>
      </c>
      <c r="M2665">
        <v>6</v>
      </c>
      <c r="AY2665">
        <f t="shared" si="84"/>
        <v>43</v>
      </c>
      <c r="AZ2665">
        <f t="shared" si="85"/>
        <v>3</v>
      </c>
    </row>
    <row r="2666" spans="1:52" ht="55.2">
      <c r="A2666" s="3" t="s">
        <v>2710</v>
      </c>
      <c r="C2666">
        <v>3</v>
      </c>
      <c r="M2666">
        <v>6</v>
      </c>
      <c r="AY2666">
        <f t="shared" si="84"/>
        <v>43</v>
      </c>
      <c r="AZ2666">
        <f t="shared" si="85"/>
        <v>3</v>
      </c>
    </row>
    <row r="2667" spans="1:52" ht="55.2">
      <c r="A2667" s="3" t="s">
        <v>2711</v>
      </c>
      <c r="C2667">
        <v>3</v>
      </c>
      <c r="M2667">
        <v>6</v>
      </c>
      <c r="AY2667">
        <f t="shared" si="84"/>
        <v>43</v>
      </c>
      <c r="AZ2667">
        <f t="shared" si="85"/>
        <v>3</v>
      </c>
    </row>
    <row r="2668" spans="1:52" ht="55.2">
      <c r="A2668" s="3" t="s">
        <v>2712</v>
      </c>
      <c r="C2668">
        <v>3</v>
      </c>
      <c r="M2668">
        <v>6</v>
      </c>
      <c r="AY2668">
        <f t="shared" si="84"/>
        <v>43</v>
      </c>
      <c r="AZ2668">
        <f t="shared" si="85"/>
        <v>3</v>
      </c>
    </row>
    <row r="2669" spans="1:52" ht="55.2">
      <c r="A2669" s="3" t="s">
        <v>2713</v>
      </c>
      <c r="C2669">
        <v>3</v>
      </c>
      <c r="M2669">
        <v>6</v>
      </c>
      <c r="AY2669">
        <f t="shared" si="84"/>
        <v>43</v>
      </c>
      <c r="AZ2669">
        <f t="shared" si="85"/>
        <v>3</v>
      </c>
    </row>
    <row r="2670" spans="1:52" ht="55.2">
      <c r="A2670" s="3" t="s">
        <v>2714</v>
      </c>
      <c r="C2670">
        <v>3</v>
      </c>
      <c r="M2670">
        <v>6</v>
      </c>
      <c r="AY2670">
        <f t="shared" si="84"/>
        <v>43</v>
      </c>
      <c r="AZ2670">
        <f t="shared" si="85"/>
        <v>3</v>
      </c>
    </row>
    <row r="2671" spans="1:52" ht="55.2">
      <c r="A2671" s="3" t="s">
        <v>2715</v>
      </c>
      <c r="C2671">
        <v>3</v>
      </c>
      <c r="M2671">
        <v>6</v>
      </c>
      <c r="AY2671">
        <f t="shared" si="84"/>
        <v>43</v>
      </c>
      <c r="AZ2671">
        <f t="shared" si="85"/>
        <v>3</v>
      </c>
    </row>
    <row r="2672" spans="1:52" ht="55.2">
      <c r="A2672" s="3" t="s">
        <v>2716</v>
      </c>
      <c r="C2672">
        <v>3</v>
      </c>
      <c r="M2672">
        <v>6</v>
      </c>
      <c r="AY2672">
        <f t="shared" si="84"/>
        <v>43</v>
      </c>
      <c r="AZ2672">
        <f t="shared" si="85"/>
        <v>3</v>
      </c>
    </row>
    <row r="2673" spans="1:52" ht="55.2">
      <c r="A2673" s="3" t="s">
        <v>2717</v>
      </c>
      <c r="C2673">
        <v>3</v>
      </c>
      <c r="J2673">
        <v>21</v>
      </c>
      <c r="AY2673">
        <f t="shared" si="84"/>
        <v>43</v>
      </c>
      <c r="AZ2673">
        <f t="shared" si="85"/>
        <v>3</v>
      </c>
    </row>
    <row r="2674" spans="1:52" ht="55.2">
      <c r="A2674" s="3" t="s">
        <v>2718</v>
      </c>
      <c r="C2674">
        <v>3</v>
      </c>
      <c r="J2674">
        <v>21</v>
      </c>
      <c r="AY2674">
        <f t="shared" si="84"/>
        <v>43</v>
      </c>
      <c r="AZ2674">
        <f t="shared" si="85"/>
        <v>3</v>
      </c>
    </row>
    <row r="2675" spans="1:52" ht="55.2">
      <c r="A2675" s="3" t="s">
        <v>2719</v>
      </c>
      <c r="C2675">
        <v>3</v>
      </c>
      <c r="J2675">
        <v>21</v>
      </c>
      <c r="AY2675">
        <f t="shared" si="84"/>
        <v>43</v>
      </c>
      <c r="AZ2675">
        <f t="shared" si="85"/>
        <v>3</v>
      </c>
    </row>
    <row r="2676" spans="1:52" ht="55.2">
      <c r="A2676" s="3" t="s">
        <v>2720</v>
      </c>
      <c r="C2676">
        <v>3</v>
      </c>
      <c r="AW2676">
        <v>3</v>
      </c>
      <c r="AY2676">
        <f t="shared" si="84"/>
        <v>43</v>
      </c>
      <c r="AZ2676">
        <f t="shared" si="85"/>
        <v>3</v>
      </c>
    </row>
    <row r="2677" spans="1:52" ht="55.2">
      <c r="A2677" s="3" t="s">
        <v>2721</v>
      </c>
      <c r="C2677">
        <v>3</v>
      </c>
      <c r="AV2677">
        <v>5</v>
      </c>
      <c r="AY2677">
        <f t="shared" si="84"/>
        <v>43</v>
      </c>
      <c r="AZ2677">
        <f t="shared" si="85"/>
        <v>3</v>
      </c>
    </row>
    <row r="2678" spans="1:52" ht="55.2">
      <c r="A2678" s="3" t="s">
        <v>2722</v>
      </c>
      <c r="C2678">
        <v>3</v>
      </c>
      <c r="AV2678">
        <v>5</v>
      </c>
      <c r="AY2678">
        <f t="shared" si="84"/>
        <v>43</v>
      </c>
      <c r="AZ2678">
        <f t="shared" si="85"/>
        <v>3</v>
      </c>
    </row>
    <row r="2679" spans="1:52" ht="55.2">
      <c r="A2679" s="3" t="s">
        <v>2723</v>
      </c>
      <c r="C2679">
        <v>3</v>
      </c>
      <c r="AV2679">
        <v>5</v>
      </c>
      <c r="AY2679">
        <f t="shared" si="84"/>
        <v>43</v>
      </c>
      <c r="AZ2679">
        <f t="shared" si="85"/>
        <v>3</v>
      </c>
    </row>
    <row r="2680" spans="1:52" ht="55.2">
      <c r="A2680" s="3" t="s">
        <v>2724</v>
      </c>
      <c r="C2680">
        <v>3</v>
      </c>
      <c r="AV2680">
        <v>5</v>
      </c>
      <c r="AY2680">
        <f t="shared" si="84"/>
        <v>43</v>
      </c>
      <c r="AZ2680">
        <f t="shared" si="85"/>
        <v>3</v>
      </c>
    </row>
    <row r="2681" spans="1:52" ht="55.2">
      <c r="A2681" s="3" t="s">
        <v>2725</v>
      </c>
      <c r="C2681">
        <v>3</v>
      </c>
      <c r="AV2681">
        <v>5</v>
      </c>
      <c r="AY2681">
        <f t="shared" si="84"/>
        <v>43</v>
      </c>
      <c r="AZ2681">
        <f t="shared" si="85"/>
        <v>3</v>
      </c>
    </row>
    <row r="2682" spans="1:52" ht="55.2">
      <c r="A2682" s="3" t="s">
        <v>2726</v>
      </c>
      <c r="C2682">
        <v>3</v>
      </c>
      <c r="AV2682">
        <v>5</v>
      </c>
      <c r="AY2682">
        <f t="shared" si="84"/>
        <v>43</v>
      </c>
      <c r="AZ2682">
        <f t="shared" si="85"/>
        <v>3</v>
      </c>
    </row>
    <row r="2683" spans="1:52" ht="55.2">
      <c r="A2683" s="3" t="s">
        <v>2727</v>
      </c>
      <c r="C2683">
        <v>3</v>
      </c>
      <c r="AV2683">
        <v>5</v>
      </c>
      <c r="AY2683">
        <f t="shared" si="84"/>
        <v>43</v>
      </c>
      <c r="AZ2683">
        <f t="shared" si="85"/>
        <v>3</v>
      </c>
    </row>
    <row r="2684" spans="1:52" ht="55.2">
      <c r="A2684" s="3" t="s">
        <v>2728</v>
      </c>
      <c r="C2684">
        <v>3</v>
      </c>
      <c r="AV2684">
        <v>5</v>
      </c>
      <c r="AY2684">
        <f t="shared" si="84"/>
        <v>43</v>
      </c>
      <c r="AZ2684">
        <f t="shared" si="85"/>
        <v>3</v>
      </c>
    </row>
    <row r="2685" spans="1:52" ht="55.2">
      <c r="A2685" s="3" t="s">
        <v>2729</v>
      </c>
      <c r="C2685">
        <v>3</v>
      </c>
      <c r="AV2685">
        <v>5</v>
      </c>
      <c r="AY2685">
        <f t="shared" si="84"/>
        <v>43</v>
      </c>
      <c r="AZ2685">
        <f t="shared" si="85"/>
        <v>3</v>
      </c>
    </row>
    <row r="2686" spans="1:52" ht="55.2">
      <c r="A2686" s="3" t="s">
        <v>2730</v>
      </c>
      <c r="C2686">
        <v>3</v>
      </c>
      <c r="AV2686">
        <v>5</v>
      </c>
      <c r="AY2686">
        <f t="shared" si="84"/>
        <v>43</v>
      </c>
      <c r="AZ2686">
        <f t="shared" si="85"/>
        <v>3</v>
      </c>
    </row>
    <row r="2687" spans="1:52" ht="55.2">
      <c r="A2687" s="3" t="s">
        <v>2731</v>
      </c>
      <c r="C2687">
        <v>3</v>
      </c>
      <c r="AV2687">
        <v>5</v>
      </c>
      <c r="AY2687">
        <f t="shared" si="84"/>
        <v>43</v>
      </c>
      <c r="AZ2687">
        <f t="shared" si="85"/>
        <v>3</v>
      </c>
    </row>
    <row r="2688" spans="1:52" ht="55.2">
      <c r="A2688" s="3" t="s">
        <v>2732</v>
      </c>
      <c r="C2688">
        <v>3</v>
      </c>
      <c r="AV2688">
        <v>5</v>
      </c>
      <c r="AY2688">
        <f t="shared" si="84"/>
        <v>43</v>
      </c>
      <c r="AZ2688">
        <f t="shared" si="85"/>
        <v>3</v>
      </c>
    </row>
    <row r="2689" spans="1:52" ht="55.2">
      <c r="A2689" s="3" t="s">
        <v>2733</v>
      </c>
      <c r="C2689">
        <v>3</v>
      </c>
      <c r="AV2689">
        <v>5</v>
      </c>
      <c r="AY2689">
        <f t="shared" si="84"/>
        <v>43</v>
      </c>
      <c r="AZ2689">
        <f t="shared" si="85"/>
        <v>3</v>
      </c>
    </row>
    <row r="2690" spans="1:52" ht="55.2">
      <c r="A2690" s="3" t="s">
        <v>2734</v>
      </c>
      <c r="C2690">
        <v>3</v>
      </c>
      <c r="AV2690">
        <v>5</v>
      </c>
      <c r="AY2690">
        <f t="shared" si="84"/>
        <v>43</v>
      </c>
      <c r="AZ2690">
        <f t="shared" si="85"/>
        <v>3</v>
      </c>
    </row>
    <row r="2691" spans="1:52" ht="55.2">
      <c r="A2691" s="3" t="s">
        <v>2735</v>
      </c>
      <c r="C2691">
        <v>3</v>
      </c>
      <c r="AV2691">
        <v>5</v>
      </c>
      <c r="AY2691">
        <f t="shared" si="84"/>
        <v>43</v>
      </c>
      <c r="AZ2691">
        <f t="shared" si="85"/>
        <v>3</v>
      </c>
    </row>
    <row r="2692" spans="1:52" ht="55.2">
      <c r="A2692" s="3" t="s">
        <v>2736</v>
      </c>
      <c r="C2692">
        <v>3</v>
      </c>
      <c r="AV2692">
        <v>5</v>
      </c>
      <c r="AY2692">
        <f t="shared" si="84"/>
        <v>43</v>
      </c>
      <c r="AZ2692">
        <f t="shared" si="85"/>
        <v>3</v>
      </c>
    </row>
    <row r="2693" spans="1:52" ht="55.2">
      <c r="A2693" s="3" t="s">
        <v>2737</v>
      </c>
      <c r="C2693">
        <v>3</v>
      </c>
      <c r="K2693">
        <v>5</v>
      </c>
      <c r="AY2693">
        <f t="shared" si="84"/>
        <v>43</v>
      </c>
      <c r="AZ2693">
        <f t="shared" si="85"/>
        <v>3</v>
      </c>
    </row>
    <row r="2694" spans="1:52" ht="55.2">
      <c r="A2694" s="3" t="s">
        <v>2738</v>
      </c>
      <c r="C2694">
        <v>3</v>
      </c>
      <c r="K2694">
        <v>5</v>
      </c>
      <c r="AY2694">
        <f t="shared" si="84"/>
        <v>43</v>
      </c>
      <c r="AZ2694">
        <f t="shared" si="85"/>
        <v>3</v>
      </c>
    </row>
    <row r="2695" spans="1:52" ht="55.2">
      <c r="A2695" s="3" t="s">
        <v>2739</v>
      </c>
      <c r="C2695">
        <v>3</v>
      </c>
      <c r="K2695">
        <v>5</v>
      </c>
      <c r="AY2695">
        <f t="shared" si="84"/>
        <v>43</v>
      </c>
      <c r="AZ2695">
        <f t="shared" si="85"/>
        <v>3</v>
      </c>
    </row>
    <row r="2696" spans="1:52" ht="55.2">
      <c r="A2696" s="3" t="s">
        <v>2740</v>
      </c>
      <c r="C2696">
        <v>3</v>
      </c>
      <c r="K2696">
        <v>5</v>
      </c>
      <c r="AY2696">
        <f t="shared" si="84"/>
        <v>43</v>
      </c>
      <c r="AZ2696">
        <f t="shared" si="85"/>
        <v>3</v>
      </c>
    </row>
    <row r="2697" spans="1:52" ht="55.2">
      <c r="A2697" s="3" t="s">
        <v>2741</v>
      </c>
      <c r="C2697">
        <v>3</v>
      </c>
      <c r="K2697">
        <v>5</v>
      </c>
      <c r="AY2697">
        <f t="shared" si="84"/>
        <v>43</v>
      </c>
      <c r="AZ2697">
        <f t="shared" si="85"/>
        <v>3</v>
      </c>
    </row>
    <row r="2698" spans="1:52" ht="55.2">
      <c r="A2698" s="3" t="s">
        <v>2742</v>
      </c>
      <c r="C2698">
        <v>3</v>
      </c>
      <c r="K2698">
        <v>5</v>
      </c>
      <c r="AY2698">
        <f t="shared" si="84"/>
        <v>43</v>
      </c>
      <c r="AZ2698">
        <f t="shared" si="85"/>
        <v>3</v>
      </c>
    </row>
    <row r="2699" spans="1:52" ht="55.2">
      <c r="A2699" s="3" t="s">
        <v>2743</v>
      </c>
      <c r="C2699">
        <v>3</v>
      </c>
      <c r="K2699">
        <v>5</v>
      </c>
      <c r="AY2699">
        <f t="shared" si="84"/>
        <v>43</v>
      </c>
      <c r="AZ2699">
        <f t="shared" si="85"/>
        <v>3</v>
      </c>
    </row>
    <row r="2700" spans="1:52" ht="55.2">
      <c r="A2700" s="3" t="s">
        <v>2744</v>
      </c>
      <c r="C2700">
        <v>3</v>
      </c>
      <c r="K2700">
        <v>5</v>
      </c>
      <c r="AY2700">
        <f t="shared" si="84"/>
        <v>43</v>
      </c>
      <c r="AZ2700">
        <f t="shared" si="85"/>
        <v>3</v>
      </c>
    </row>
    <row r="2701" spans="1:52" ht="55.2">
      <c r="A2701" s="3" t="s">
        <v>2745</v>
      </c>
      <c r="C2701">
        <v>3</v>
      </c>
      <c r="K2701">
        <v>5</v>
      </c>
      <c r="AY2701">
        <f t="shared" si="84"/>
        <v>43</v>
      </c>
      <c r="AZ2701">
        <f t="shared" si="85"/>
        <v>3</v>
      </c>
    </row>
    <row r="2702" spans="1:52" ht="55.2">
      <c r="A2702" s="3" t="s">
        <v>2746</v>
      </c>
      <c r="C2702">
        <v>3</v>
      </c>
      <c r="K2702">
        <v>5</v>
      </c>
      <c r="AY2702">
        <f t="shared" si="84"/>
        <v>43</v>
      </c>
      <c r="AZ2702">
        <f t="shared" si="85"/>
        <v>3</v>
      </c>
    </row>
    <row r="2703" spans="1:52" ht="55.2">
      <c r="A2703" s="3" t="s">
        <v>2747</v>
      </c>
      <c r="C2703">
        <v>3</v>
      </c>
      <c r="K2703">
        <v>5</v>
      </c>
      <c r="AY2703">
        <f t="shared" si="84"/>
        <v>43</v>
      </c>
      <c r="AZ2703">
        <f t="shared" si="85"/>
        <v>3</v>
      </c>
    </row>
    <row r="2704" spans="1:52" ht="55.2">
      <c r="A2704" s="3" t="s">
        <v>2748</v>
      </c>
      <c r="C2704">
        <v>3</v>
      </c>
      <c r="K2704">
        <v>5</v>
      </c>
      <c r="AY2704">
        <f t="shared" si="84"/>
        <v>43</v>
      </c>
      <c r="AZ2704">
        <f t="shared" si="85"/>
        <v>3</v>
      </c>
    </row>
    <row r="2705" spans="1:52" ht="55.2">
      <c r="A2705" s="3" t="s">
        <v>2749</v>
      </c>
      <c r="C2705">
        <v>3</v>
      </c>
      <c r="K2705">
        <v>5</v>
      </c>
      <c r="AY2705">
        <f t="shared" si="84"/>
        <v>43</v>
      </c>
      <c r="AZ2705">
        <f t="shared" si="85"/>
        <v>3</v>
      </c>
    </row>
    <row r="2706" spans="1:52" ht="55.2">
      <c r="A2706" s="3" t="s">
        <v>2750</v>
      </c>
      <c r="C2706">
        <v>3</v>
      </c>
      <c r="K2706">
        <v>5</v>
      </c>
      <c r="AY2706">
        <f t="shared" si="84"/>
        <v>43</v>
      </c>
      <c r="AZ2706">
        <f t="shared" si="85"/>
        <v>3</v>
      </c>
    </row>
    <row r="2707" spans="1:52" ht="55.2">
      <c r="A2707" s="3" t="s">
        <v>2751</v>
      </c>
      <c r="C2707">
        <v>3</v>
      </c>
      <c r="K2707">
        <v>5</v>
      </c>
      <c r="AY2707">
        <f t="shared" si="84"/>
        <v>43</v>
      </c>
      <c r="AZ2707">
        <f t="shared" si="85"/>
        <v>3</v>
      </c>
    </row>
    <row r="2708" spans="1:52" ht="55.2">
      <c r="A2708" s="3" t="s">
        <v>2752</v>
      </c>
      <c r="C2708">
        <v>3</v>
      </c>
      <c r="K2708">
        <v>5</v>
      </c>
      <c r="AY2708">
        <f t="shared" si="84"/>
        <v>43</v>
      </c>
      <c r="AZ2708">
        <f t="shared" si="85"/>
        <v>3</v>
      </c>
    </row>
    <row r="2709" spans="1:52" ht="55.2">
      <c r="A2709" s="3" t="s">
        <v>2753</v>
      </c>
      <c r="C2709">
        <v>3</v>
      </c>
      <c r="K2709">
        <v>5</v>
      </c>
      <c r="AY2709">
        <f t="shared" si="84"/>
        <v>43</v>
      </c>
      <c r="AZ2709">
        <f t="shared" si="85"/>
        <v>3</v>
      </c>
    </row>
    <row r="2710" spans="1:52" ht="55.2">
      <c r="A2710" s="3" t="s">
        <v>2754</v>
      </c>
      <c r="C2710">
        <v>3</v>
      </c>
      <c r="K2710">
        <v>5</v>
      </c>
      <c r="AY2710">
        <f t="shared" si="84"/>
        <v>43</v>
      </c>
      <c r="AZ2710">
        <f t="shared" si="85"/>
        <v>3</v>
      </c>
    </row>
    <row r="2711" spans="1:52" ht="55.2">
      <c r="A2711" s="3" t="s">
        <v>2755</v>
      </c>
      <c r="C2711">
        <v>3</v>
      </c>
      <c r="K2711">
        <v>5</v>
      </c>
      <c r="AY2711">
        <f t="shared" si="84"/>
        <v>43</v>
      </c>
      <c r="AZ2711">
        <f t="shared" si="85"/>
        <v>3</v>
      </c>
    </row>
    <row r="2712" spans="1:52" ht="55.2">
      <c r="A2712" s="3" t="s">
        <v>2756</v>
      </c>
      <c r="C2712">
        <v>3</v>
      </c>
      <c r="K2712">
        <v>5</v>
      </c>
      <c r="AY2712">
        <f t="shared" si="84"/>
        <v>43</v>
      </c>
      <c r="AZ2712">
        <f t="shared" si="85"/>
        <v>3</v>
      </c>
    </row>
    <row r="2713" spans="1:52" ht="55.2">
      <c r="A2713" s="3" t="s">
        <v>2757</v>
      </c>
      <c r="C2713">
        <v>3</v>
      </c>
      <c r="K2713">
        <v>5</v>
      </c>
      <c r="AY2713">
        <f t="shared" si="84"/>
        <v>43</v>
      </c>
      <c r="AZ2713">
        <f t="shared" si="85"/>
        <v>3</v>
      </c>
    </row>
    <row r="2714" spans="1:52" ht="55.2">
      <c r="A2714" s="3" t="s">
        <v>2758</v>
      </c>
      <c r="C2714">
        <v>3</v>
      </c>
      <c r="K2714">
        <v>5</v>
      </c>
      <c r="AY2714">
        <f t="shared" si="84"/>
        <v>43</v>
      </c>
      <c r="AZ2714">
        <f t="shared" si="85"/>
        <v>3</v>
      </c>
    </row>
    <row r="2715" spans="1:52" ht="55.2">
      <c r="A2715" s="3" t="s">
        <v>2759</v>
      </c>
      <c r="C2715">
        <v>3</v>
      </c>
      <c r="K2715">
        <v>5</v>
      </c>
      <c r="AY2715">
        <f t="shared" si="84"/>
        <v>43</v>
      </c>
      <c r="AZ2715">
        <f t="shared" si="85"/>
        <v>3</v>
      </c>
    </row>
    <row r="2716" spans="1:52" ht="55.2">
      <c r="A2716" s="3" t="s">
        <v>2760</v>
      </c>
      <c r="C2716">
        <v>3</v>
      </c>
      <c r="K2716">
        <v>5</v>
      </c>
      <c r="AY2716">
        <f t="shared" si="84"/>
        <v>43</v>
      </c>
      <c r="AZ2716">
        <f t="shared" si="85"/>
        <v>3</v>
      </c>
    </row>
    <row r="2717" spans="1:52" ht="55.2">
      <c r="A2717" s="3" t="s">
        <v>2761</v>
      </c>
      <c r="C2717">
        <v>3</v>
      </c>
      <c r="K2717">
        <v>5</v>
      </c>
      <c r="AY2717">
        <f t="shared" si="84"/>
        <v>43</v>
      </c>
      <c r="AZ2717">
        <f t="shared" si="85"/>
        <v>3</v>
      </c>
    </row>
    <row r="2718" spans="1:52" ht="55.2">
      <c r="A2718" s="3" t="s">
        <v>2762</v>
      </c>
      <c r="C2718">
        <v>3</v>
      </c>
      <c r="K2718">
        <v>5</v>
      </c>
      <c r="AY2718">
        <f t="shared" si="84"/>
        <v>43</v>
      </c>
      <c r="AZ2718">
        <f t="shared" si="85"/>
        <v>3</v>
      </c>
    </row>
    <row r="2719" spans="1:52" ht="55.2">
      <c r="A2719" s="3" t="s">
        <v>2763</v>
      </c>
      <c r="C2719">
        <v>3</v>
      </c>
      <c r="K2719">
        <v>5</v>
      </c>
      <c r="AY2719">
        <f t="shared" si="84"/>
        <v>43</v>
      </c>
      <c r="AZ2719">
        <f t="shared" si="85"/>
        <v>3</v>
      </c>
    </row>
    <row r="2720" spans="1:52" ht="55.2">
      <c r="A2720" s="3" t="s">
        <v>2764</v>
      </c>
      <c r="C2720">
        <v>3</v>
      </c>
      <c r="K2720">
        <v>5</v>
      </c>
      <c r="AY2720">
        <f t="shared" si="84"/>
        <v>43</v>
      </c>
      <c r="AZ2720">
        <f t="shared" si="85"/>
        <v>3</v>
      </c>
    </row>
    <row r="2721" spans="1:52" ht="55.2">
      <c r="A2721" s="3" t="s">
        <v>2765</v>
      </c>
      <c r="C2721">
        <v>3</v>
      </c>
      <c r="K2721">
        <v>5</v>
      </c>
      <c r="AY2721">
        <f t="shared" ref="AY2721:AY2784" si="86">COUNTBLANK(F2721:AW2721)</f>
        <v>43</v>
      </c>
      <c r="AZ2721">
        <f t="shared" ref="AZ2721:AZ2784" si="87">COUNTBLANK(B2721:E2721)</f>
        <v>3</v>
      </c>
    </row>
    <row r="2722" spans="1:52" ht="55.2">
      <c r="A2722" s="3" t="s">
        <v>2766</v>
      </c>
      <c r="C2722">
        <v>3</v>
      </c>
      <c r="K2722">
        <v>5</v>
      </c>
      <c r="AY2722">
        <f t="shared" si="86"/>
        <v>43</v>
      </c>
      <c r="AZ2722">
        <f t="shared" si="87"/>
        <v>3</v>
      </c>
    </row>
    <row r="2723" spans="1:52" ht="55.2">
      <c r="A2723" s="3" t="s">
        <v>2767</v>
      </c>
      <c r="C2723">
        <v>3</v>
      </c>
      <c r="K2723">
        <v>5</v>
      </c>
      <c r="AY2723">
        <f t="shared" si="86"/>
        <v>43</v>
      </c>
      <c r="AZ2723">
        <f t="shared" si="87"/>
        <v>3</v>
      </c>
    </row>
    <row r="2724" spans="1:52" ht="55.2">
      <c r="A2724" s="3" t="s">
        <v>2768</v>
      </c>
      <c r="C2724">
        <v>3</v>
      </c>
      <c r="K2724">
        <v>5</v>
      </c>
      <c r="AY2724">
        <f t="shared" si="86"/>
        <v>43</v>
      </c>
      <c r="AZ2724">
        <f t="shared" si="87"/>
        <v>3</v>
      </c>
    </row>
    <row r="2725" spans="1:52" ht="55.2">
      <c r="A2725" s="3" t="s">
        <v>2769</v>
      </c>
      <c r="C2725">
        <v>3</v>
      </c>
      <c r="K2725">
        <v>5</v>
      </c>
      <c r="AY2725">
        <f t="shared" si="86"/>
        <v>43</v>
      </c>
      <c r="AZ2725">
        <f t="shared" si="87"/>
        <v>3</v>
      </c>
    </row>
    <row r="2726" spans="1:52" ht="55.2">
      <c r="A2726" s="3" t="s">
        <v>2770</v>
      </c>
      <c r="C2726">
        <v>3</v>
      </c>
      <c r="K2726">
        <v>5</v>
      </c>
      <c r="AY2726">
        <f t="shared" si="86"/>
        <v>43</v>
      </c>
      <c r="AZ2726">
        <f t="shared" si="87"/>
        <v>3</v>
      </c>
    </row>
    <row r="2727" spans="1:52" ht="55.2">
      <c r="A2727" s="3" t="s">
        <v>2771</v>
      </c>
      <c r="C2727">
        <v>3</v>
      </c>
      <c r="K2727">
        <v>5</v>
      </c>
      <c r="AY2727">
        <f t="shared" si="86"/>
        <v>43</v>
      </c>
      <c r="AZ2727">
        <f t="shared" si="87"/>
        <v>3</v>
      </c>
    </row>
    <row r="2728" spans="1:52" ht="55.2">
      <c r="A2728" s="3" t="s">
        <v>2772</v>
      </c>
      <c r="C2728">
        <v>3</v>
      </c>
      <c r="K2728">
        <v>5</v>
      </c>
      <c r="AY2728">
        <f t="shared" si="86"/>
        <v>43</v>
      </c>
      <c r="AZ2728">
        <f t="shared" si="87"/>
        <v>3</v>
      </c>
    </row>
    <row r="2729" spans="1:52" ht="55.2">
      <c r="A2729" s="3" t="s">
        <v>2773</v>
      </c>
      <c r="C2729">
        <v>3</v>
      </c>
      <c r="K2729">
        <v>5</v>
      </c>
      <c r="AY2729">
        <f t="shared" si="86"/>
        <v>43</v>
      </c>
      <c r="AZ2729">
        <f t="shared" si="87"/>
        <v>3</v>
      </c>
    </row>
    <row r="2730" spans="1:52" ht="55.2">
      <c r="A2730" s="3" t="s">
        <v>2774</v>
      </c>
      <c r="C2730">
        <v>3</v>
      </c>
      <c r="K2730">
        <v>5</v>
      </c>
      <c r="AY2730">
        <f t="shared" si="86"/>
        <v>43</v>
      </c>
      <c r="AZ2730">
        <f t="shared" si="87"/>
        <v>3</v>
      </c>
    </row>
    <row r="2731" spans="1:52" ht="55.2">
      <c r="A2731" s="3" t="s">
        <v>2775</v>
      </c>
      <c r="C2731">
        <v>3</v>
      </c>
      <c r="K2731">
        <v>5</v>
      </c>
      <c r="AY2731">
        <f t="shared" si="86"/>
        <v>43</v>
      </c>
      <c r="AZ2731">
        <f t="shared" si="87"/>
        <v>3</v>
      </c>
    </row>
    <row r="2732" spans="1:52" ht="55.2">
      <c r="A2732" s="3" t="s">
        <v>2776</v>
      </c>
      <c r="C2732">
        <v>3</v>
      </c>
      <c r="K2732">
        <v>5</v>
      </c>
      <c r="AY2732">
        <f t="shared" si="86"/>
        <v>43</v>
      </c>
      <c r="AZ2732">
        <f t="shared" si="87"/>
        <v>3</v>
      </c>
    </row>
    <row r="2733" spans="1:52" ht="55.2">
      <c r="A2733" s="3" t="s">
        <v>2777</v>
      </c>
      <c r="C2733">
        <v>3</v>
      </c>
      <c r="K2733">
        <v>5</v>
      </c>
      <c r="AY2733">
        <f t="shared" si="86"/>
        <v>43</v>
      </c>
      <c r="AZ2733">
        <f t="shared" si="87"/>
        <v>3</v>
      </c>
    </row>
    <row r="2734" spans="1:52" ht="55.2">
      <c r="A2734" s="3" t="s">
        <v>2778</v>
      </c>
      <c r="C2734">
        <v>3</v>
      </c>
      <c r="K2734">
        <v>5</v>
      </c>
      <c r="AY2734">
        <f t="shared" si="86"/>
        <v>43</v>
      </c>
      <c r="AZ2734">
        <f t="shared" si="87"/>
        <v>3</v>
      </c>
    </row>
    <row r="2735" spans="1:52" ht="55.2">
      <c r="A2735" s="3" t="s">
        <v>2779</v>
      </c>
      <c r="C2735">
        <v>3</v>
      </c>
      <c r="K2735">
        <v>5</v>
      </c>
      <c r="AY2735">
        <f t="shared" si="86"/>
        <v>43</v>
      </c>
      <c r="AZ2735">
        <f t="shared" si="87"/>
        <v>3</v>
      </c>
    </row>
    <row r="2736" spans="1:52" ht="55.2">
      <c r="A2736" s="3" t="s">
        <v>2780</v>
      </c>
      <c r="C2736">
        <v>3</v>
      </c>
      <c r="K2736">
        <v>5</v>
      </c>
      <c r="AY2736">
        <f t="shared" si="86"/>
        <v>43</v>
      </c>
      <c r="AZ2736">
        <f t="shared" si="87"/>
        <v>3</v>
      </c>
    </row>
    <row r="2737" spans="1:52" ht="55.2">
      <c r="A2737" s="3" t="s">
        <v>2781</v>
      </c>
      <c r="C2737">
        <v>3</v>
      </c>
      <c r="K2737">
        <v>5</v>
      </c>
      <c r="AY2737">
        <f t="shared" si="86"/>
        <v>43</v>
      </c>
      <c r="AZ2737">
        <f t="shared" si="87"/>
        <v>3</v>
      </c>
    </row>
    <row r="2738" spans="1:52" ht="55.2">
      <c r="A2738" s="3" t="s">
        <v>2782</v>
      </c>
      <c r="C2738">
        <v>3</v>
      </c>
      <c r="K2738">
        <v>5</v>
      </c>
      <c r="AY2738">
        <f t="shared" si="86"/>
        <v>43</v>
      </c>
      <c r="AZ2738">
        <f t="shared" si="87"/>
        <v>3</v>
      </c>
    </row>
    <row r="2739" spans="1:52" ht="55.2">
      <c r="A2739" s="3" t="s">
        <v>2783</v>
      </c>
      <c r="C2739">
        <v>3</v>
      </c>
      <c r="K2739">
        <v>5</v>
      </c>
      <c r="AY2739">
        <f t="shared" si="86"/>
        <v>43</v>
      </c>
      <c r="AZ2739">
        <f t="shared" si="87"/>
        <v>3</v>
      </c>
    </row>
    <row r="2740" spans="1:52" ht="55.2">
      <c r="A2740" s="3" t="s">
        <v>2784</v>
      </c>
      <c r="C2740">
        <v>3</v>
      </c>
      <c r="K2740">
        <v>5</v>
      </c>
      <c r="AY2740">
        <f t="shared" si="86"/>
        <v>43</v>
      </c>
      <c r="AZ2740">
        <f t="shared" si="87"/>
        <v>3</v>
      </c>
    </row>
    <row r="2741" spans="1:52" ht="55.2">
      <c r="A2741" s="3" t="s">
        <v>2785</v>
      </c>
      <c r="C2741">
        <v>3</v>
      </c>
      <c r="J2741">
        <v>22</v>
      </c>
      <c r="AY2741">
        <f t="shared" si="86"/>
        <v>43</v>
      </c>
      <c r="AZ2741">
        <f t="shared" si="87"/>
        <v>3</v>
      </c>
    </row>
    <row r="2742" spans="1:52" ht="55.2">
      <c r="A2742" s="3" t="s">
        <v>2786</v>
      </c>
      <c r="C2742">
        <v>3</v>
      </c>
      <c r="J2742">
        <v>22</v>
      </c>
      <c r="AY2742">
        <f t="shared" si="86"/>
        <v>43</v>
      </c>
      <c r="AZ2742">
        <f t="shared" si="87"/>
        <v>3</v>
      </c>
    </row>
    <row r="2743" spans="1:52" ht="55.2">
      <c r="A2743" s="3" t="s">
        <v>2787</v>
      </c>
      <c r="C2743">
        <v>3</v>
      </c>
      <c r="J2743">
        <v>22</v>
      </c>
      <c r="AY2743">
        <f t="shared" si="86"/>
        <v>43</v>
      </c>
      <c r="AZ2743">
        <f t="shared" si="87"/>
        <v>3</v>
      </c>
    </row>
    <row r="2744" spans="1:52" ht="55.2">
      <c r="A2744" s="3" t="s">
        <v>2788</v>
      </c>
      <c r="C2744">
        <v>3</v>
      </c>
      <c r="J2744">
        <v>22</v>
      </c>
      <c r="AY2744">
        <f t="shared" si="86"/>
        <v>43</v>
      </c>
      <c r="AZ2744">
        <f t="shared" si="87"/>
        <v>3</v>
      </c>
    </row>
    <row r="2745" spans="1:52" ht="55.2">
      <c r="A2745" s="3" t="s">
        <v>2789</v>
      </c>
      <c r="C2745">
        <v>3</v>
      </c>
      <c r="J2745">
        <v>22</v>
      </c>
      <c r="AY2745">
        <f t="shared" si="86"/>
        <v>43</v>
      </c>
      <c r="AZ2745">
        <f t="shared" si="87"/>
        <v>3</v>
      </c>
    </row>
    <row r="2746" spans="1:52" ht="55.2">
      <c r="A2746" s="3" t="s">
        <v>2790</v>
      </c>
      <c r="C2746">
        <v>3</v>
      </c>
      <c r="J2746">
        <v>22</v>
      </c>
      <c r="AY2746">
        <f t="shared" si="86"/>
        <v>43</v>
      </c>
      <c r="AZ2746">
        <f t="shared" si="87"/>
        <v>3</v>
      </c>
    </row>
    <row r="2747" spans="1:52" ht="55.2">
      <c r="A2747" s="3" t="s">
        <v>2791</v>
      </c>
      <c r="C2747">
        <v>3</v>
      </c>
      <c r="J2747">
        <v>22</v>
      </c>
      <c r="AY2747">
        <f t="shared" si="86"/>
        <v>43</v>
      </c>
      <c r="AZ2747">
        <f t="shared" si="87"/>
        <v>3</v>
      </c>
    </row>
    <row r="2748" spans="1:52" ht="55.2">
      <c r="A2748" s="3" t="s">
        <v>2792</v>
      </c>
      <c r="C2748">
        <v>3</v>
      </c>
      <c r="J2748">
        <v>22</v>
      </c>
      <c r="AY2748">
        <f t="shared" si="86"/>
        <v>43</v>
      </c>
      <c r="AZ2748">
        <f t="shared" si="87"/>
        <v>3</v>
      </c>
    </row>
    <row r="2749" spans="1:52" ht="55.2">
      <c r="A2749" s="3" t="s">
        <v>2793</v>
      </c>
      <c r="C2749">
        <v>3</v>
      </c>
      <c r="J2749">
        <v>22</v>
      </c>
      <c r="AY2749">
        <f t="shared" si="86"/>
        <v>43</v>
      </c>
      <c r="AZ2749">
        <f t="shared" si="87"/>
        <v>3</v>
      </c>
    </row>
    <row r="2750" spans="1:52" ht="55.2">
      <c r="A2750" s="3" t="s">
        <v>2794</v>
      </c>
      <c r="C2750">
        <v>3</v>
      </c>
      <c r="J2750">
        <v>22</v>
      </c>
      <c r="AY2750">
        <f t="shared" si="86"/>
        <v>43</v>
      </c>
      <c r="AZ2750">
        <f t="shared" si="87"/>
        <v>3</v>
      </c>
    </row>
    <row r="2751" spans="1:52" ht="55.2">
      <c r="A2751" s="3" t="s">
        <v>2795</v>
      </c>
      <c r="C2751">
        <v>3</v>
      </c>
      <c r="J2751">
        <v>22</v>
      </c>
      <c r="AY2751">
        <f t="shared" si="86"/>
        <v>43</v>
      </c>
      <c r="AZ2751">
        <f t="shared" si="87"/>
        <v>3</v>
      </c>
    </row>
    <row r="2752" spans="1:52" ht="55.2">
      <c r="A2752" s="3" t="s">
        <v>2796</v>
      </c>
      <c r="C2752">
        <v>3</v>
      </c>
      <c r="J2752">
        <v>22</v>
      </c>
      <c r="AY2752">
        <f t="shared" si="86"/>
        <v>43</v>
      </c>
      <c r="AZ2752">
        <f t="shared" si="87"/>
        <v>3</v>
      </c>
    </row>
    <row r="2753" spans="1:52" ht="55.2">
      <c r="A2753" s="3" t="s">
        <v>2797</v>
      </c>
      <c r="C2753">
        <v>3</v>
      </c>
      <c r="J2753">
        <v>22</v>
      </c>
      <c r="AY2753">
        <f t="shared" si="86"/>
        <v>43</v>
      </c>
      <c r="AZ2753">
        <f t="shared" si="87"/>
        <v>3</v>
      </c>
    </row>
    <row r="2754" spans="1:52" ht="55.2">
      <c r="A2754" s="3" t="s">
        <v>2798</v>
      </c>
      <c r="C2754">
        <v>3</v>
      </c>
      <c r="J2754">
        <v>22</v>
      </c>
      <c r="AY2754">
        <f t="shared" si="86"/>
        <v>43</v>
      </c>
      <c r="AZ2754">
        <f t="shared" si="87"/>
        <v>3</v>
      </c>
    </row>
    <row r="2755" spans="1:52" ht="55.2">
      <c r="A2755" s="3" t="s">
        <v>2799</v>
      </c>
      <c r="C2755">
        <v>3</v>
      </c>
      <c r="J2755">
        <v>22</v>
      </c>
      <c r="AY2755">
        <f t="shared" si="86"/>
        <v>43</v>
      </c>
      <c r="AZ2755">
        <f t="shared" si="87"/>
        <v>3</v>
      </c>
    </row>
    <row r="2756" spans="1:52" ht="55.2">
      <c r="A2756" s="3" t="s">
        <v>2800</v>
      </c>
      <c r="C2756">
        <v>3</v>
      </c>
      <c r="J2756">
        <v>22</v>
      </c>
      <c r="AY2756">
        <f t="shared" si="86"/>
        <v>43</v>
      </c>
      <c r="AZ2756">
        <f t="shared" si="87"/>
        <v>3</v>
      </c>
    </row>
    <row r="2757" spans="1:52" ht="55.2">
      <c r="A2757" s="3" t="s">
        <v>2801</v>
      </c>
      <c r="C2757">
        <v>3</v>
      </c>
      <c r="J2757">
        <v>22</v>
      </c>
      <c r="AY2757">
        <f t="shared" si="86"/>
        <v>43</v>
      </c>
      <c r="AZ2757">
        <f t="shared" si="87"/>
        <v>3</v>
      </c>
    </row>
    <row r="2758" spans="1:52" ht="55.2">
      <c r="A2758" s="3" t="s">
        <v>2802</v>
      </c>
      <c r="C2758">
        <v>3</v>
      </c>
      <c r="J2758">
        <v>22</v>
      </c>
      <c r="AY2758">
        <f t="shared" si="86"/>
        <v>43</v>
      </c>
      <c r="AZ2758">
        <f t="shared" si="87"/>
        <v>3</v>
      </c>
    </row>
    <row r="2759" spans="1:52" ht="55.2">
      <c r="A2759" s="3" t="s">
        <v>2803</v>
      </c>
      <c r="C2759">
        <v>3</v>
      </c>
      <c r="J2759">
        <v>22</v>
      </c>
      <c r="AY2759">
        <f t="shared" si="86"/>
        <v>43</v>
      </c>
      <c r="AZ2759">
        <f t="shared" si="87"/>
        <v>3</v>
      </c>
    </row>
    <row r="2760" spans="1:52" ht="55.2">
      <c r="A2760" s="3" t="s">
        <v>2804</v>
      </c>
      <c r="C2760">
        <v>3</v>
      </c>
      <c r="J2760">
        <v>22</v>
      </c>
      <c r="AY2760">
        <f t="shared" si="86"/>
        <v>43</v>
      </c>
      <c r="AZ2760">
        <f t="shared" si="87"/>
        <v>3</v>
      </c>
    </row>
    <row r="2761" spans="1:52" ht="55.2">
      <c r="A2761" s="3" t="s">
        <v>2805</v>
      </c>
      <c r="C2761">
        <v>3</v>
      </c>
      <c r="J2761">
        <v>22</v>
      </c>
      <c r="AY2761">
        <f t="shared" si="86"/>
        <v>43</v>
      </c>
      <c r="AZ2761">
        <f t="shared" si="87"/>
        <v>3</v>
      </c>
    </row>
    <row r="2762" spans="1:52" ht="55.2">
      <c r="A2762" s="3" t="s">
        <v>2806</v>
      </c>
      <c r="C2762">
        <v>3</v>
      </c>
      <c r="J2762">
        <v>22</v>
      </c>
      <c r="AY2762">
        <f t="shared" si="86"/>
        <v>43</v>
      </c>
      <c r="AZ2762">
        <f t="shared" si="87"/>
        <v>3</v>
      </c>
    </row>
    <row r="2763" spans="1:52" ht="55.2">
      <c r="A2763" s="3" t="s">
        <v>2807</v>
      </c>
      <c r="C2763">
        <v>3</v>
      </c>
      <c r="J2763">
        <v>22</v>
      </c>
      <c r="AY2763">
        <f t="shared" si="86"/>
        <v>43</v>
      </c>
      <c r="AZ2763">
        <f t="shared" si="87"/>
        <v>3</v>
      </c>
    </row>
    <row r="2764" spans="1:52" ht="55.2">
      <c r="A2764" s="3" t="s">
        <v>2808</v>
      </c>
      <c r="C2764">
        <v>3</v>
      </c>
      <c r="J2764">
        <v>22</v>
      </c>
      <c r="AY2764">
        <f t="shared" si="86"/>
        <v>43</v>
      </c>
      <c r="AZ2764">
        <f t="shared" si="87"/>
        <v>3</v>
      </c>
    </row>
    <row r="2765" spans="1:52" ht="55.2">
      <c r="A2765" s="3" t="s">
        <v>2809</v>
      </c>
      <c r="C2765">
        <v>3</v>
      </c>
      <c r="J2765">
        <v>22</v>
      </c>
      <c r="AY2765">
        <f t="shared" si="86"/>
        <v>43</v>
      </c>
      <c r="AZ2765">
        <f t="shared" si="87"/>
        <v>3</v>
      </c>
    </row>
    <row r="2766" spans="1:52" ht="55.2">
      <c r="A2766" s="3" t="s">
        <v>2810</v>
      </c>
      <c r="C2766">
        <v>3</v>
      </c>
      <c r="J2766">
        <v>22</v>
      </c>
      <c r="AY2766">
        <f t="shared" si="86"/>
        <v>43</v>
      </c>
      <c r="AZ2766">
        <f t="shared" si="87"/>
        <v>3</v>
      </c>
    </row>
    <row r="2767" spans="1:52" ht="55.2">
      <c r="A2767" s="3" t="s">
        <v>2811</v>
      </c>
      <c r="C2767">
        <v>3</v>
      </c>
      <c r="J2767">
        <v>22</v>
      </c>
      <c r="AY2767">
        <f t="shared" si="86"/>
        <v>43</v>
      </c>
      <c r="AZ2767">
        <f t="shared" si="87"/>
        <v>3</v>
      </c>
    </row>
    <row r="2768" spans="1:52" ht="55.2">
      <c r="A2768" s="3" t="s">
        <v>2812</v>
      </c>
      <c r="C2768">
        <v>3</v>
      </c>
      <c r="J2768">
        <v>22</v>
      </c>
      <c r="AY2768">
        <f t="shared" si="86"/>
        <v>43</v>
      </c>
      <c r="AZ2768">
        <f t="shared" si="87"/>
        <v>3</v>
      </c>
    </row>
    <row r="2769" spans="1:52" ht="55.2">
      <c r="A2769" s="3" t="s">
        <v>2813</v>
      </c>
      <c r="C2769">
        <v>3</v>
      </c>
      <c r="J2769">
        <v>22</v>
      </c>
      <c r="AY2769">
        <f t="shared" si="86"/>
        <v>43</v>
      </c>
      <c r="AZ2769">
        <f t="shared" si="87"/>
        <v>3</v>
      </c>
    </row>
    <row r="2770" spans="1:52" ht="55.2">
      <c r="A2770" s="3" t="s">
        <v>2814</v>
      </c>
      <c r="C2770">
        <v>3</v>
      </c>
      <c r="J2770">
        <v>22</v>
      </c>
      <c r="AY2770">
        <f t="shared" si="86"/>
        <v>43</v>
      </c>
      <c r="AZ2770">
        <f t="shared" si="87"/>
        <v>3</v>
      </c>
    </row>
    <row r="2771" spans="1:52" ht="55.2">
      <c r="A2771" s="3" t="s">
        <v>2815</v>
      </c>
      <c r="C2771">
        <v>3</v>
      </c>
      <c r="J2771">
        <v>22</v>
      </c>
      <c r="AY2771">
        <f t="shared" si="86"/>
        <v>43</v>
      </c>
      <c r="AZ2771">
        <f t="shared" si="87"/>
        <v>3</v>
      </c>
    </row>
    <row r="2772" spans="1:52" ht="55.2">
      <c r="A2772" s="3" t="s">
        <v>2816</v>
      </c>
      <c r="C2772">
        <v>3</v>
      </c>
      <c r="J2772">
        <v>22</v>
      </c>
      <c r="AY2772">
        <f t="shared" si="86"/>
        <v>43</v>
      </c>
      <c r="AZ2772">
        <f t="shared" si="87"/>
        <v>3</v>
      </c>
    </row>
    <row r="2773" spans="1:52" ht="55.2">
      <c r="A2773" s="3" t="s">
        <v>2817</v>
      </c>
      <c r="C2773">
        <v>3</v>
      </c>
      <c r="J2773">
        <v>22</v>
      </c>
      <c r="AY2773">
        <f t="shared" si="86"/>
        <v>43</v>
      </c>
      <c r="AZ2773">
        <f t="shared" si="87"/>
        <v>3</v>
      </c>
    </row>
    <row r="2774" spans="1:52" ht="55.2">
      <c r="A2774" s="3" t="s">
        <v>2818</v>
      </c>
      <c r="C2774">
        <v>3</v>
      </c>
      <c r="J2774">
        <v>22</v>
      </c>
      <c r="AY2774">
        <f t="shared" si="86"/>
        <v>43</v>
      </c>
      <c r="AZ2774">
        <f t="shared" si="87"/>
        <v>3</v>
      </c>
    </row>
    <row r="2775" spans="1:52" ht="55.2">
      <c r="A2775" s="3" t="s">
        <v>2819</v>
      </c>
      <c r="C2775">
        <v>3</v>
      </c>
      <c r="J2775">
        <v>22</v>
      </c>
      <c r="AY2775">
        <f t="shared" si="86"/>
        <v>43</v>
      </c>
      <c r="AZ2775">
        <f t="shared" si="87"/>
        <v>3</v>
      </c>
    </row>
    <row r="2776" spans="1:52" ht="55.2">
      <c r="A2776" s="3" t="s">
        <v>2820</v>
      </c>
      <c r="C2776">
        <v>3</v>
      </c>
      <c r="J2776">
        <v>22</v>
      </c>
      <c r="AY2776">
        <f t="shared" si="86"/>
        <v>43</v>
      </c>
      <c r="AZ2776">
        <f t="shared" si="87"/>
        <v>3</v>
      </c>
    </row>
    <row r="2777" spans="1:52" ht="55.2">
      <c r="A2777" s="3" t="s">
        <v>2821</v>
      </c>
      <c r="C2777">
        <v>3</v>
      </c>
      <c r="J2777">
        <v>22</v>
      </c>
      <c r="AY2777">
        <f t="shared" si="86"/>
        <v>43</v>
      </c>
      <c r="AZ2777">
        <f t="shared" si="87"/>
        <v>3</v>
      </c>
    </row>
    <row r="2778" spans="1:52" ht="55.2">
      <c r="A2778" s="3" t="s">
        <v>2822</v>
      </c>
      <c r="C2778">
        <v>3</v>
      </c>
      <c r="J2778">
        <v>22</v>
      </c>
      <c r="AY2778">
        <f t="shared" si="86"/>
        <v>43</v>
      </c>
      <c r="AZ2778">
        <f t="shared" si="87"/>
        <v>3</v>
      </c>
    </row>
    <row r="2779" spans="1:52" ht="55.2">
      <c r="A2779" s="3" t="s">
        <v>2823</v>
      </c>
      <c r="C2779">
        <v>3</v>
      </c>
      <c r="J2779">
        <v>22</v>
      </c>
      <c r="AY2779">
        <f t="shared" si="86"/>
        <v>43</v>
      </c>
      <c r="AZ2779">
        <f t="shared" si="87"/>
        <v>3</v>
      </c>
    </row>
    <row r="2780" spans="1:52" ht="55.2">
      <c r="A2780" s="3" t="s">
        <v>2824</v>
      </c>
      <c r="C2780">
        <v>3</v>
      </c>
      <c r="J2780">
        <v>22</v>
      </c>
      <c r="AY2780">
        <f t="shared" si="86"/>
        <v>43</v>
      </c>
      <c r="AZ2780">
        <f t="shared" si="87"/>
        <v>3</v>
      </c>
    </row>
    <row r="2781" spans="1:52" ht="55.2">
      <c r="A2781" s="3" t="s">
        <v>2825</v>
      </c>
      <c r="C2781">
        <v>3</v>
      </c>
      <c r="J2781">
        <v>22</v>
      </c>
      <c r="AY2781">
        <f t="shared" si="86"/>
        <v>43</v>
      </c>
      <c r="AZ2781">
        <f t="shared" si="87"/>
        <v>3</v>
      </c>
    </row>
    <row r="2782" spans="1:52" ht="55.2">
      <c r="A2782" s="3" t="s">
        <v>2826</v>
      </c>
      <c r="C2782">
        <v>3</v>
      </c>
      <c r="J2782">
        <v>22</v>
      </c>
      <c r="AY2782">
        <f t="shared" si="86"/>
        <v>43</v>
      </c>
      <c r="AZ2782">
        <f t="shared" si="87"/>
        <v>3</v>
      </c>
    </row>
    <row r="2783" spans="1:52" ht="55.2">
      <c r="A2783" s="3" t="s">
        <v>2827</v>
      </c>
      <c r="C2783">
        <v>3</v>
      </c>
      <c r="J2783">
        <v>22</v>
      </c>
      <c r="AY2783">
        <f t="shared" si="86"/>
        <v>43</v>
      </c>
      <c r="AZ2783">
        <f t="shared" si="87"/>
        <v>3</v>
      </c>
    </row>
    <row r="2784" spans="1:52" ht="55.2">
      <c r="A2784" s="3" t="s">
        <v>2828</v>
      </c>
      <c r="C2784">
        <v>3</v>
      </c>
      <c r="AT2784">
        <v>7</v>
      </c>
      <c r="AY2784">
        <f t="shared" si="86"/>
        <v>43</v>
      </c>
      <c r="AZ2784">
        <f t="shared" si="87"/>
        <v>3</v>
      </c>
    </row>
    <row r="2785" spans="1:52" ht="55.2">
      <c r="A2785" s="3" t="s">
        <v>2829</v>
      </c>
      <c r="C2785">
        <v>3</v>
      </c>
      <c r="AT2785">
        <v>7</v>
      </c>
      <c r="AY2785">
        <f t="shared" ref="AY2785:AY2848" si="88">COUNTBLANK(F2785:AW2785)</f>
        <v>43</v>
      </c>
      <c r="AZ2785">
        <f t="shared" ref="AZ2785:AZ2848" si="89">COUNTBLANK(B2785:E2785)</f>
        <v>3</v>
      </c>
    </row>
    <row r="2786" spans="1:52" ht="55.2">
      <c r="A2786" s="3" t="s">
        <v>2830</v>
      </c>
      <c r="C2786">
        <v>3</v>
      </c>
      <c r="AT2786">
        <v>7</v>
      </c>
      <c r="AY2786">
        <f t="shared" si="88"/>
        <v>43</v>
      </c>
      <c r="AZ2786">
        <f t="shared" si="89"/>
        <v>3</v>
      </c>
    </row>
    <row r="2787" spans="1:52" ht="55.2">
      <c r="A2787" s="3" t="s">
        <v>2831</v>
      </c>
      <c r="C2787">
        <v>3</v>
      </c>
      <c r="AT2787">
        <v>7</v>
      </c>
      <c r="AY2787">
        <f t="shared" si="88"/>
        <v>43</v>
      </c>
      <c r="AZ2787">
        <f t="shared" si="89"/>
        <v>3</v>
      </c>
    </row>
    <row r="2788" spans="1:52" ht="55.2">
      <c r="A2788" s="3" t="s">
        <v>2832</v>
      </c>
      <c r="C2788">
        <v>3</v>
      </c>
      <c r="AT2788">
        <v>7</v>
      </c>
      <c r="AY2788">
        <f t="shared" si="88"/>
        <v>43</v>
      </c>
      <c r="AZ2788">
        <f t="shared" si="89"/>
        <v>3</v>
      </c>
    </row>
    <row r="2789" spans="1:52" ht="55.2">
      <c r="A2789" s="3" t="s">
        <v>2833</v>
      </c>
      <c r="C2789">
        <v>3</v>
      </c>
      <c r="AT2789">
        <v>7</v>
      </c>
      <c r="AY2789">
        <f t="shared" si="88"/>
        <v>43</v>
      </c>
      <c r="AZ2789">
        <f t="shared" si="89"/>
        <v>3</v>
      </c>
    </row>
    <row r="2790" spans="1:52" ht="55.2">
      <c r="A2790" s="3" t="s">
        <v>2834</v>
      </c>
      <c r="C2790">
        <v>3</v>
      </c>
      <c r="AT2790">
        <v>7</v>
      </c>
      <c r="AY2790">
        <f t="shared" si="88"/>
        <v>43</v>
      </c>
      <c r="AZ2790">
        <f t="shared" si="89"/>
        <v>3</v>
      </c>
    </row>
    <row r="2791" spans="1:52" ht="55.2">
      <c r="A2791" s="3" t="s">
        <v>2835</v>
      </c>
      <c r="C2791">
        <v>3</v>
      </c>
      <c r="AT2791">
        <v>7</v>
      </c>
      <c r="AY2791">
        <f t="shared" si="88"/>
        <v>43</v>
      </c>
      <c r="AZ2791">
        <f t="shared" si="89"/>
        <v>3</v>
      </c>
    </row>
    <row r="2792" spans="1:52" ht="55.2">
      <c r="A2792" s="3" t="s">
        <v>2836</v>
      </c>
      <c r="C2792">
        <v>3</v>
      </c>
      <c r="AT2792">
        <v>7</v>
      </c>
      <c r="AY2792">
        <f t="shared" si="88"/>
        <v>43</v>
      </c>
      <c r="AZ2792">
        <f t="shared" si="89"/>
        <v>3</v>
      </c>
    </row>
    <row r="2793" spans="1:52" ht="55.2">
      <c r="A2793" s="3" t="s">
        <v>2837</v>
      </c>
      <c r="C2793">
        <v>3</v>
      </c>
      <c r="AT2793">
        <v>7</v>
      </c>
      <c r="AY2793">
        <f t="shared" si="88"/>
        <v>43</v>
      </c>
      <c r="AZ2793">
        <f t="shared" si="89"/>
        <v>3</v>
      </c>
    </row>
    <row r="2794" spans="1:52" ht="55.2">
      <c r="A2794" s="3" t="s">
        <v>2838</v>
      </c>
      <c r="C2794">
        <v>3</v>
      </c>
      <c r="AT2794">
        <v>7</v>
      </c>
      <c r="AY2794">
        <f t="shared" si="88"/>
        <v>43</v>
      </c>
      <c r="AZ2794">
        <f t="shared" si="89"/>
        <v>3</v>
      </c>
    </row>
    <row r="2795" spans="1:52" ht="55.2">
      <c r="A2795" s="3" t="s">
        <v>2839</v>
      </c>
      <c r="C2795">
        <v>3</v>
      </c>
      <c r="AT2795">
        <v>7</v>
      </c>
      <c r="AY2795">
        <f t="shared" si="88"/>
        <v>43</v>
      </c>
      <c r="AZ2795">
        <f t="shared" si="89"/>
        <v>3</v>
      </c>
    </row>
    <row r="2796" spans="1:52" ht="55.2">
      <c r="A2796" s="3" t="s">
        <v>2840</v>
      </c>
      <c r="C2796">
        <v>3</v>
      </c>
      <c r="AT2796">
        <v>7</v>
      </c>
      <c r="AY2796">
        <f t="shared" si="88"/>
        <v>43</v>
      </c>
      <c r="AZ2796">
        <f t="shared" si="89"/>
        <v>3</v>
      </c>
    </row>
    <row r="2797" spans="1:52" ht="55.2">
      <c r="A2797" s="3" t="s">
        <v>2841</v>
      </c>
      <c r="C2797">
        <v>3</v>
      </c>
      <c r="AT2797">
        <v>7</v>
      </c>
      <c r="AY2797">
        <f t="shared" si="88"/>
        <v>43</v>
      </c>
      <c r="AZ2797">
        <f t="shared" si="89"/>
        <v>3</v>
      </c>
    </row>
    <row r="2798" spans="1:52" ht="55.2">
      <c r="A2798" s="3" t="s">
        <v>2842</v>
      </c>
      <c r="C2798">
        <v>3</v>
      </c>
      <c r="AT2798">
        <v>7</v>
      </c>
      <c r="AY2798">
        <f t="shared" si="88"/>
        <v>43</v>
      </c>
      <c r="AZ2798">
        <f t="shared" si="89"/>
        <v>3</v>
      </c>
    </row>
    <row r="2799" spans="1:52" ht="55.2">
      <c r="A2799" s="3" t="s">
        <v>2843</v>
      </c>
      <c r="C2799">
        <v>3</v>
      </c>
      <c r="AT2799">
        <v>7</v>
      </c>
      <c r="AY2799">
        <f t="shared" si="88"/>
        <v>43</v>
      </c>
      <c r="AZ2799">
        <f t="shared" si="89"/>
        <v>3</v>
      </c>
    </row>
    <row r="2800" spans="1:52" ht="55.2">
      <c r="A2800" s="3" t="s">
        <v>2844</v>
      </c>
      <c r="C2800">
        <v>3</v>
      </c>
      <c r="AT2800">
        <v>7</v>
      </c>
      <c r="AY2800">
        <f t="shared" si="88"/>
        <v>43</v>
      </c>
      <c r="AZ2800">
        <f t="shared" si="89"/>
        <v>3</v>
      </c>
    </row>
    <row r="2801" spans="1:52" ht="55.2">
      <c r="A2801" s="3" t="s">
        <v>2845</v>
      </c>
      <c r="C2801">
        <v>3</v>
      </c>
      <c r="AT2801">
        <v>7</v>
      </c>
      <c r="AY2801">
        <f t="shared" si="88"/>
        <v>43</v>
      </c>
      <c r="AZ2801">
        <f t="shared" si="89"/>
        <v>3</v>
      </c>
    </row>
    <row r="2802" spans="1:52" ht="55.2">
      <c r="A2802" s="3" t="s">
        <v>2846</v>
      </c>
      <c r="C2802">
        <v>3</v>
      </c>
      <c r="AT2802">
        <v>7</v>
      </c>
      <c r="AY2802">
        <f t="shared" si="88"/>
        <v>43</v>
      </c>
      <c r="AZ2802">
        <f t="shared" si="89"/>
        <v>3</v>
      </c>
    </row>
    <row r="2803" spans="1:52" ht="55.2">
      <c r="A2803" s="3" t="s">
        <v>2847</v>
      </c>
      <c r="C2803">
        <v>3</v>
      </c>
      <c r="AT2803">
        <v>7</v>
      </c>
      <c r="AY2803">
        <f t="shared" si="88"/>
        <v>43</v>
      </c>
      <c r="AZ2803">
        <f t="shared" si="89"/>
        <v>3</v>
      </c>
    </row>
    <row r="2804" spans="1:52" ht="55.2">
      <c r="A2804" s="3" t="s">
        <v>2848</v>
      </c>
      <c r="C2804">
        <v>3</v>
      </c>
      <c r="AT2804">
        <v>7</v>
      </c>
      <c r="AY2804">
        <f t="shared" si="88"/>
        <v>43</v>
      </c>
      <c r="AZ2804">
        <f t="shared" si="89"/>
        <v>3</v>
      </c>
    </row>
    <row r="2805" spans="1:52" ht="55.2">
      <c r="A2805" s="3" t="s">
        <v>2849</v>
      </c>
      <c r="C2805">
        <v>3</v>
      </c>
      <c r="AT2805">
        <v>7</v>
      </c>
      <c r="AY2805">
        <f t="shared" si="88"/>
        <v>43</v>
      </c>
      <c r="AZ2805">
        <f t="shared" si="89"/>
        <v>3</v>
      </c>
    </row>
    <row r="2806" spans="1:52" ht="55.2">
      <c r="A2806" s="3" t="s">
        <v>2850</v>
      </c>
      <c r="C2806">
        <v>3</v>
      </c>
      <c r="AT2806">
        <v>7</v>
      </c>
      <c r="AY2806">
        <f t="shared" si="88"/>
        <v>43</v>
      </c>
      <c r="AZ2806">
        <f t="shared" si="89"/>
        <v>3</v>
      </c>
    </row>
    <row r="2807" spans="1:52" ht="55.2">
      <c r="A2807" s="3" t="s">
        <v>2851</v>
      </c>
      <c r="C2807">
        <v>3</v>
      </c>
      <c r="AT2807">
        <v>7</v>
      </c>
      <c r="AY2807">
        <f t="shared" si="88"/>
        <v>43</v>
      </c>
      <c r="AZ2807">
        <f t="shared" si="89"/>
        <v>3</v>
      </c>
    </row>
    <row r="2808" spans="1:52" ht="55.2">
      <c r="A2808" s="3" t="s">
        <v>2852</v>
      </c>
      <c r="C2808">
        <v>3</v>
      </c>
      <c r="AT2808">
        <v>7</v>
      </c>
      <c r="AY2808">
        <f t="shared" si="88"/>
        <v>43</v>
      </c>
      <c r="AZ2808">
        <f t="shared" si="89"/>
        <v>3</v>
      </c>
    </row>
    <row r="2809" spans="1:52" ht="55.2">
      <c r="A2809" s="3" t="s">
        <v>2853</v>
      </c>
      <c r="C2809">
        <v>3</v>
      </c>
      <c r="AT2809">
        <v>7</v>
      </c>
      <c r="AY2809">
        <f t="shared" si="88"/>
        <v>43</v>
      </c>
      <c r="AZ2809">
        <f t="shared" si="89"/>
        <v>3</v>
      </c>
    </row>
    <row r="2810" spans="1:52" ht="55.2">
      <c r="A2810" s="3" t="s">
        <v>2854</v>
      </c>
      <c r="C2810">
        <v>3</v>
      </c>
      <c r="AT2810">
        <v>7</v>
      </c>
      <c r="AY2810">
        <f t="shared" si="88"/>
        <v>43</v>
      </c>
      <c r="AZ2810">
        <f t="shared" si="89"/>
        <v>3</v>
      </c>
    </row>
    <row r="2811" spans="1:52" ht="55.2">
      <c r="A2811" s="3" t="s">
        <v>2855</v>
      </c>
      <c r="C2811">
        <v>3</v>
      </c>
      <c r="AT2811">
        <v>7</v>
      </c>
      <c r="AY2811">
        <f t="shared" si="88"/>
        <v>43</v>
      </c>
      <c r="AZ2811">
        <f t="shared" si="89"/>
        <v>3</v>
      </c>
    </row>
    <row r="2812" spans="1:52" ht="55.2">
      <c r="A2812" s="3" t="s">
        <v>2856</v>
      </c>
      <c r="C2812">
        <v>3</v>
      </c>
      <c r="AT2812">
        <v>7</v>
      </c>
      <c r="AY2812">
        <f t="shared" si="88"/>
        <v>43</v>
      </c>
      <c r="AZ2812">
        <f t="shared" si="89"/>
        <v>3</v>
      </c>
    </row>
    <row r="2813" spans="1:52" ht="55.2">
      <c r="A2813" s="3" t="s">
        <v>2857</v>
      </c>
      <c r="C2813">
        <v>3</v>
      </c>
      <c r="AT2813">
        <v>7</v>
      </c>
      <c r="AY2813">
        <f t="shared" si="88"/>
        <v>43</v>
      </c>
      <c r="AZ2813">
        <f t="shared" si="89"/>
        <v>3</v>
      </c>
    </row>
    <row r="2814" spans="1:52" ht="55.2">
      <c r="A2814" s="3" t="s">
        <v>2858</v>
      </c>
      <c r="C2814">
        <v>3</v>
      </c>
      <c r="AT2814">
        <v>7</v>
      </c>
      <c r="AY2814">
        <f t="shared" si="88"/>
        <v>43</v>
      </c>
      <c r="AZ2814">
        <f t="shared" si="89"/>
        <v>3</v>
      </c>
    </row>
    <row r="2815" spans="1:52" ht="55.2">
      <c r="A2815" s="3" t="s">
        <v>2859</v>
      </c>
      <c r="C2815">
        <v>3</v>
      </c>
      <c r="AT2815">
        <v>7</v>
      </c>
      <c r="AY2815">
        <f t="shared" si="88"/>
        <v>43</v>
      </c>
      <c r="AZ2815">
        <f t="shared" si="89"/>
        <v>3</v>
      </c>
    </row>
    <row r="2816" spans="1:52" ht="55.2">
      <c r="A2816" s="3" t="s">
        <v>2860</v>
      </c>
      <c r="C2816">
        <v>3</v>
      </c>
      <c r="AT2816">
        <v>7</v>
      </c>
      <c r="AY2816">
        <f t="shared" si="88"/>
        <v>43</v>
      </c>
      <c r="AZ2816">
        <f t="shared" si="89"/>
        <v>3</v>
      </c>
    </row>
    <row r="2817" spans="1:52" ht="55.2">
      <c r="A2817" s="3" t="s">
        <v>2861</v>
      </c>
      <c r="C2817">
        <v>3</v>
      </c>
      <c r="AT2817">
        <v>7</v>
      </c>
      <c r="AY2817">
        <f t="shared" si="88"/>
        <v>43</v>
      </c>
      <c r="AZ2817">
        <f t="shared" si="89"/>
        <v>3</v>
      </c>
    </row>
    <row r="2818" spans="1:52" ht="55.2">
      <c r="A2818" s="3" t="s">
        <v>2862</v>
      </c>
      <c r="C2818">
        <v>3</v>
      </c>
      <c r="AT2818">
        <v>7</v>
      </c>
      <c r="AY2818">
        <f t="shared" si="88"/>
        <v>43</v>
      </c>
      <c r="AZ2818">
        <f t="shared" si="89"/>
        <v>3</v>
      </c>
    </row>
    <row r="2819" spans="1:52" ht="55.2">
      <c r="A2819" s="3" t="s">
        <v>2863</v>
      </c>
      <c r="C2819">
        <v>3</v>
      </c>
      <c r="AT2819">
        <v>7</v>
      </c>
      <c r="AY2819">
        <f t="shared" si="88"/>
        <v>43</v>
      </c>
      <c r="AZ2819">
        <f t="shared" si="89"/>
        <v>3</v>
      </c>
    </row>
    <row r="2820" spans="1:52" ht="55.2">
      <c r="A2820" s="3" t="s">
        <v>2864</v>
      </c>
      <c r="C2820">
        <v>3</v>
      </c>
      <c r="AT2820">
        <v>7</v>
      </c>
      <c r="AY2820">
        <f t="shared" si="88"/>
        <v>43</v>
      </c>
      <c r="AZ2820">
        <f t="shared" si="89"/>
        <v>3</v>
      </c>
    </row>
    <row r="2821" spans="1:52" ht="55.2">
      <c r="A2821" s="3" t="s">
        <v>2865</v>
      </c>
      <c r="C2821">
        <v>3</v>
      </c>
      <c r="AT2821">
        <v>7</v>
      </c>
      <c r="AY2821">
        <f t="shared" si="88"/>
        <v>43</v>
      </c>
      <c r="AZ2821">
        <f t="shared" si="89"/>
        <v>3</v>
      </c>
    </row>
    <row r="2822" spans="1:52" ht="55.2">
      <c r="A2822" s="3" t="s">
        <v>2866</v>
      </c>
      <c r="C2822">
        <v>3</v>
      </c>
      <c r="AT2822">
        <v>7</v>
      </c>
      <c r="AY2822">
        <f t="shared" si="88"/>
        <v>43</v>
      </c>
      <c r="AZ2822">
        <f t="shared" si="89"/>
        <v>3</v>
      </c>
    </row>
    <row r="2823" spans="1:52" ht="55.2">
      <c r="A2823" s="3" t="s">
        <v>2867</v>
      </c>
      <c r="C2823">
        <v>3</v>
      </c>
      <c r="AT2823">
        <v>7</v>
      </c>
      <c r="AY2823">
        <f t="shared" si="88"/>
        <v>43</v>
      </c>
      <c r="AZ2823">
        <f t="shared" si="89"/>
        <v>3</v>
      </c>
    </row>
    <row r="2824" spans="1:52" ht="55.2">
      <c r="A2824" s="3" t="s">
        <v>2868</v>
      </c>
      <c r="C2824">
        <v>3</v>
      </c>
      <c r="AT2824">
        <v>7</v>
      </c>
      <c r="AY2824">
        <f t="shared" si="88"/>
        <v>43</v>
      </c>
      <c r="AZ2824">
        <f t="shared" si="89"/>
        <v>3</v>
      </c>
    </row>
    <row r="2825" spans="1:52" ht="55.2">
      <c r="A2825" s="3" t="s">
        <v>2869</v>
      </c>
      <c r="C2825">
        <v>3</v>
      </c>
      <c r="AT2825">
        <v>7</v>
      </c>
      <c r="AY2825">
        <f t="shared" si="88"/>
        <v>43</v>
      </c>
      <c r="AZ2825">
        <f t="shared" si="89"/>
        <v>3</v>
      </c>
    </row>
    <row r="2826" spans="1:52" ht="55.2">
      <c r="A2826" s="3" t="s">
        <v>2870</v>
      </c>
      <c r="C2826">
        <v>3</v>
      </c>
      <c r="AT2826">
        <v>7</v>
      </c>
      <c r="AY2826">
        <f t="shared" si="88"/>
        <v>43</v>
      </c>
      <c r="AZ2826">
        <f t="shared" si="89"/>
        <v>3</v>
      </c>
    </row>
    <row r="2827" spans="1:52" ht="55.2">
      <c r="A2827" s="3" t="s">
        <v>2871</v>
      </c>
      <c r="C2827">
        <v>3</v>
      </c>
      <c r="AT2827">
        <v>7</v>
      </c>
      <c r="AY2827">
        <f t="shared" si="88"/>
        <v>43</v>
      </c>
      <c r="AZ2827">
        <f t="shared" si="89"/>
        <v>3</v>
      </c>
    </row>
    <row r="2828" spans="1:52" ht="55.2">
      <c r="A2828" s="3" t="s">
        <v>2872</v>
      </c>
      <c r="C2828">
        <v>3</v>
      </c>
      <c r="AT2828">
        <v>7</v>
      </c>
      <c r="AY2828">
        <f t="shared" si="88"/>
        <v>43</v>
      </c>
      <c r="AZ2828">
        <f t="shared" si="89"/>
        <v>3</v>
      </c>
    </row>
    <row r="2829" spans="1:52" ht="55.2">
      <c r="A2829" s="3" t="s">
        <v>2873</v>
      </c>
      <c r="C2829">
        <v>3</v>
      </c>
      <c r="AT2829">
        <v>7</v>
      </c>
      <c r="AY2829">
        <f t="shared" si="88"/>
        <v>43</v>
      </c>
      <c r="AZ2829">
        <f t="shared" si="89"/>
        <v>3</v>
      </c>
    </row>
    <row r="2830" spans="1:52" ht="55.2">
      <c r="A2830" s="3" t="s">
        <v>2874</v>
      </c>
      <c r="C2830">
        <v>3</v>
      </c>
      <c r="AT2830">
        <v>7</v>
      </c>
      <c r="AY2830">
        <f t="shared" si="88"/>
        <v>43</v>
      </c>
      <c r="AZ2830">
        <f t="shared" si="89"/>
        <v>3</v>
      </c>
    </row>
    <row r="2831" spans="1:52" ht="55.2">
      <c r="A2831" s="3" t="s">
        <v>2875</v>
      </c>
      <c r="C2831">
        <v>3</v>
      </c>
      <c r="AT2831">
        <v>7</v>
      </c>
      <c r="AY2831">
        <f t="shared" si="88"/>
        <v>43</v>
      </c>
      <c r="AZ2831">
        <f t="shared" si="89"/>
        <v>3</v>
      </c>
    </row>
    <row r="2832" spans="1:52" ht="55.2">
      <c r="A2832" s="3" t="s">
        <v>2876</v>
      </c>
      <c r="C2832">
        <v>3</v>
      </c>
      <c r="AT2832">
        <v>7</v>
      </c>
      <c r="AY2832">
        <f t="shared" si="88"/>
        <v>43</v>
      </c>
      <c r="AZ2832">
        <f t="shared" si="89"/>
        <v>3</v>
      </c>
    </row>
    <row r="2833" spans="1:52" ht="55.2">
      <c r="A2833" s="3" t="s">
        <v>2877</v>
      </c>
      <c r="C2833">
        <v>3</v>
      </c>
      <c r="AT2833">
        <v>7</v>
      </c>
      <c r="AY2833">
        <f t="shared" si="88"/>
        <v>43</v>
      </c>
      <c r="AZ2833">
        <f t="shared" si="89"/>
        <v>3</v>
      </c>
    </row>
    <row r="2834" spans="1:52" ht="55.2">
      <c r="A2834" s="3" t="s">
        <v>2878</v>
      </c>
      <c r="C2834">
        <v>3</v>
      </c>
      <c r="AT2834">
        <v>7</v>
      </c>
      <c r="AY2834">
        <f t="shared" si="88"/>
        <v>43</v>
      </c>
      <c r="AZ2834">
        <f t="shared" si="89"/>
        <v>3</v>
      </c>
    </row>
    <row r="2835" spans="1:52" ht="55.2">
      <c r="A2835" s="3" t="s">
        <v>2879</v>
      </c>
      <c r="C2835">
        <v>3</v>
      </c>
      <c r="AT2835">
        <v>7</v>
      </c>
      <c r="AY2835">
        <f t="shared" si="88"/>
        <v>43</v>
      </c>
      <c r="AZ2835">
        <f t="shared" si="89"/>
        <v>3</v>
      </c>
    </row>
    <row r="2836" spans="1:52" ht="55.2">
      <c r="A2836" s="3" t="s">
        <v>2880</v>
      </c>
      <c r="C2836">
        <v>3</v>
      </c>
      <c r="AT2836">
        <v>7</v>
      </c>
      <c r="AY2836">
        <f t="shared" si="88"/>
        <v>43</v>
      </c>
      <c r="AZ2836">
        <f t="shared" si="89"/>
        <v>3</v>
      </c>
    </row>
    <row r="2837" spans="1:52" ht="55.2">
      <c r="A2837" s="3" t="s">
        <v>2881</v>
      </c>
      <c r="C2837">
        <v>3</v>
      </c>
      <c r="AT2837">
        <v>7</v>
      </c>
      <c r="AY2837">
        <f t="shared" si="88"/>
        <v>43</v>
      </c>
      <c r="AZ2837">
        <f t="shared" si="89"/>
        <v>3</v>
      </c>
    </row>
    <row r="2838" spans="1:52" ht="55.2">
      <c r="A2838" s="3" t="s">
        <v>2882</v>
      </c>
      <c r="C2838">
        <v>3</v>
      </c>
      <c r="AT2838">
        <v>7</v>
      </c>
      <c r="AY2838">
        <f t="shared" si="88"/>
        <v>43</v>
      </c>
      <c r="AZ2838">
        <f t="shared" si="89"/>
        <v>3</v>
      </c>
    </row>
    <row r="2839" spans="1:52" ht="55.2">
      <c r="A2839" s="3" t="s">
        <v>2883</v>
      </c>
      <c r="C2839">
        <v>3</v>
      </c>
      <c r="AT2839">
        <v>7</v>
      </c>
      <c r="AY2839">
        <f t="shared" si="88"/>
        <v>43</v>
      </c>
      <c r="AZ2839">
        <f t="shared" si="89"/>
        <v>3</v>
      </c>
    </row>
    <row r="2840" spans="1:52" ht="55.2">
      <c r="A2840" s="3" t="s">
        <v>2884</v>
      </c>
      <c r="C2840">
        <v>3</v>
      </c>
      <c r="AT2840">
        <v>7</v>
      </c>
      <c r="AY2840">
        <f t="shared" si="88"/>
        <v>43</v>
      </c>
      <c r="AZ2840">
        <f t="shared" si="89"/>
        <v>3</v>
      </c>
    </row>
    <row r="2841" spans="1:52" ht="55.2">
      <c r="A2841" s="3" t="s">
        <v>2885</v>
      </c>
      <c r="C2841">
        <v>3</v>
      </c>
      <c r="AT2841">
        <v>7</v>
      </c>
      <c r="AY2841">
        <f t="shared" si="88"/>
        <v>43</v>
      </c>
      <c r="AZ2841">
        <f t="shared" si="89"/>
        <v>3</v>
      </c>
    </row>
    <row r="2842" spans="1:52" ht="55.2">
      <c r="A2842" s="3" t="s">
        <v>2886</v>
      </c>
      <c r="C2842">
        <v>3</v>
      </c>
      <c r="AT2842">
        <v>7</v>
      </c>
      <c r="AY2842">
        <f t="shared" si="88"/>
        <v>43</v>
      </c>
      <c r="AZ2842">
        <f t="shared" si="89"/>
        <v>3</v>
      </c>
    </row>
    <row r="2843" spans="1:52" ht="55.2">
      <c r="A2843" s="3" t="s">
        <v>2887</v>
      </c>
      <c r="C2843">
        <v>3</v>
      </c>
      <c r="AT2843">
        <v>7</v>
      </c>
      <c r="AY2843">
        <f t="shared" si="88"/>
        <v>43</v>
      </c>
      <c r="AZ2843">
        <f t="shared" si="89"/>
        <v>3</v>
      </c>
    </row>
    <row r="2844" spans="1:52" ht="55.2">
      <c r="A2844" s="3" t="s">
        <v>2888</v>
      </c>
      <c r="C2844">
        <v>3</v>
      </c>
      <c r="AT2844">
        <v>7</v>
      </c>
      <c r="AY2844">
        <f t="shared" si="88"/>
        <v>43</v>
      </c>
      <c r="AZ2844">
        <f t="shared" si="89"/>
        <v>3</v>
      </c>
    </row>
    <row r="2845" spans="1:52" ht="55.2">
      <c r="A2845" s="3" t="s">
        <v>2889</v>
      </c>
      <c r="C2845">
        <v>3</v>
      </c>
      <c r="AT2845">
        <v>7</v>
      </c>
      <c r="AY2845">
        <f t="shared" si="88"/>
        <v>43</v>
      </c>
      <c r="AZ2845">
        <f t="shared" si="89"/>
        <v>3</v>
      </c>
    </row>
    <row r="2846" spans="1:52" ht="55.2">
      <c r="A2846" s="3" t="s">
        <v>2890</v>
      </c>
      <c r="C2846">
        <v>3</v>
      </c>
      <c r="AT2846">
        <v>7</v>
      </c>
      <c r="AY2846">
        <f t="shared" si="88"/>
        <v>43</v>
      </c>
      <c r="AZ2846">
        <f t="shared" si="89"/>
        <v>3</v>
      </c>
    </row>
    <row r="2847" spans="1:52" ht="55.2">
      <c r="A2847" s="3" t="s">
        <v>2891</v>
      </c>
      <c r="C2847">
        <v>3</v>
      </c>
      <c r="AT2847">
        <v>7</v>
      </c>
      <c r="AY2847">
        <f t="shared" si="88"/>
        <v>43</v>
      </c>
      <c r="AZ2847">
        <f t="shared" si="89"/>
        <v>3</v>
      </c>
    </row>
    <row r="2848" spans="1:52" ht="55.2">
      <c r="A2848" s="3" t="s">
        <v>2892</v>
      </c>
      <c r="C2848">
        <v>3</v>
      </c>
      <c r="AT2848">
        <v>7</v>
      </c>
      <c r="AY2848">
        <f t="shared" si="88"/>
        <v>43</v>
      </c>
      <c r="AZ2848">
        <f t="shared" si="89"/>
        <v>3</v>
      </c>
    </row>
    <row r="2849" spans="1:52" ht="55.2">
      <c r="A2849" s="3" t="s">
        <v>2893</v>
      </c>
      <c r="C2849">
        <v>3</v>
      </c>
      <c r="AT2849">
        <v>7</v>
      </c>
      <c r="AY2849">
        <f t="shared" ref="AY2849:AY2912" si="90">COUNTBLANK(F2849:AW2849)</f>
        <v>43</v>
      </c>
      <c r="AZ2849">
        <f t="shared" ref="AZ2849:AZ2912" si="91">COUNTBLANK(B2849:E2849)</f>
        <v>3</v>
      </c>
    </row>
    <row r="2850" spans="1:52" ht="55.2">
      <c r="A2850" s="3" t="s">
        <v>2894</v>
      </c>
      <c r="C2850">
        <v>3</v>
      </c>
      <c r="AT2850">
        <v>7</v>
      </c>
      <c r="AY2850">
        <f t="shared" si="90"/>
        <v>43</v>
      </c>
      <c r="AZ2850">
        <f t="shared" si="91"/>
        <v>3</v>
      </c>
    </row>
    <row r="2851" spans="1:52" ht="55.2">
      <c r="A2851" s="3" t="s">
        <v>2895</v>
      </c>
      <c r="C2851">
        <v>3</v>
      </c>
      <c r="AT2851">
        <v>7</v>
      </c>
      <c r="AY2851">
        <f t="shared" si="90"/>
        <v>43</v>
      </c>
      <c r="AZ2851">
        <f t="shared" si="91"/>
        <v>3</v>
      </c>
    </row>
    <row r="2852" spans="1:52" ht="55.2">
      <c r="A2852" s="3" t="s">
        <v>2896</v>
      </c>
      <c r="C2852">
        <v>3</v>
      </c>
      <c r="AT2852">
        <v>7</v>
      </c>
      <c r="AY2852">
        <f t="shared" si="90"/>
        <v>43</v>
      </c>
      <c r="AZ2852">
        <f t="shared" si="91"/>
        <v>3</v>
      </c>
    </row>
    <row r="2853" spans="1:52" ht="55.2">
      <c r="A2853" s="3" t="s">
        <v>2897</v>
      </c>
      <c r="C2853">
        <v>3</v>
      </c>
      <c r="AT2853">
        <v>7</v>
      </c>
      <c r="AY2853">
        <f t="shared" si="90"/>
        <v>43</v>
      </c>
      <c r="AZ2853">
        <f t="shared" si="91"/>
        <v>3</v>
      </c>
    </row>
    <row r="2854" spans="1:52" ht="55.2">
      <c r="A2854" s="3" t="s">
        <v>2898</v>
      </c>
      <c r="C2854">
        <v>3</v>
      </c>
      <c r="AT2854">
        <v>7</v>
      </c>
      <c r="AY2854">
        <f t="shared" si="90"/>
        <v>43</v>
      </c>
      <c r="AZ2854">
        <f t="shared" si="91"/>
        <v>3</v>
      </c>
    </row>
    <row r="2855" spans="1:52" ht="55.2">
      <c r="A2855" s="3" t="s">
        <v>2899</v>
      </c>
      <c r="C2855">
        <v>3</v>
      </c>
      <c r="AT2855">
        <v>7</v>
      </c>
      <c r="AY2855">
        <f t="shared" si="90"/>
        <v>43</v>
      </c>
      <c r="AZ2855">
        <f t="shared" si="91"/>
        <v>3</v>
      </c>
    </row>
    <row r="2856" spans="1:52" ht="55.2">
      <c r="A2856" s="3" t="s">
        <v>2900</v>
      </c>
      <c r="C2856">
        <v>3</v>
      </c>
      <c r="AT2856">
        <v>7</v>
      </c>
      <c r="AY2856">
        <f t="shared" si="90"/>
        <v>43</v>
      </c>
      <c r="AZ2856">
        <f t="shared" si="91"/>
        <v>3</v>
      </c>
    </row>
    <row r="2857" spans="1:52" ht="55.2">
      <c r="A2857" s="3" t="s">
        <v>2901</v>
      </c>
      <c r="C2857">
        <v>3</v>
      </c>
      <c r="AT2857">
        <v>7</v>
      </c>
      <c r="AY2857">
        <f t="shared" si="90"/>
        <v>43</v>
      </c>
      <c r="AZ2857">
        <f t="shared" si="91"/>
        <v>3</v>
      </c>
    </row>
    <row r="2858" spans="1:52" ht="55.2">
      <c r="A2858" s="3" t="s">
        <v>2902</v>
      </c>
      <c r="C2858">
        <v>3</v>
      </c>
      <c r="AT2858">
        <v>7</v>
      </c>
      <c r="AY2858">
        <f t="shared" si="90"/>
        <v>43</v>
      </c>
      <c r="AZ2858">
        <f t="shared" si="91"/>
        <v>3</v>
      </c>
    </row>
    <row r="2859" spans="1:52" ht="55.2">
      <c r="A2859" s="3" t="s">
        <v>2903</v>
      </c>
      <c r="C2859">
        <v>3</v>
      </c>
      <c r="AT2859">
        <v>7</v>
      </c>
      <c r="AY2859">
        <f t="shared" si="90"/>
        <v>43</v>
      </c>
      <c r="AZ2859">
        <f t="shared" si="91"/>
        <v>3</v>
      </c>
    </row>
    <row r="2860" spans="1:52" ht="55.2">
      <c r="A2860" s="3" t="s">
        <v>2904</v>
      </c>
      <c r="C2860">
        <v>3</v>
      </c>
      <c r="AT2860">
        <v>7</v>
      </c>
      <c r="AY2860">
        <f t="shared" si="90"/>
        <v>43</v>
      </c>
      <c r="AZ2860">
        <f t="shared" si="91"/>
        <v>3</v>
      </c>
    </row>
    <row r="2861" spans="1:52" ht="55.2">
      <c r="A2861" s="3" t="s">
        <v>2905</v>
      </c>
      <c r="C2861">
        <v>3</v>
      </c>
      <c r="AT2861">
        <v>7</v>
      </c>
      <c r="AY2861">
        <f t="shared" si="90"/>
        <v>43</v>
      </c>
      <c r="AZ2861">
        <f t="shared" si="91"/>
        <v>3</v>
      </c>
    </row>
    <row r="2862" spans="1:52" ht="55.2">
      <c r="A2862" s="3" t="s">
        <v>2906</v>
      </c>
      <c r="C2862">
        <v>3</v>
      </c>
      <c r="AT2862">
        <v>7</v>
      </c>
      <c r="AY2862">
        <f t="shared" si="90"/>
        <v>43</v>
      </c>
      <c r="AZ2862">
        <f t="shared" si="91"/>
        <v>3</v>
      </c>
    </row>
    <row r="2863" spans="1:52" ht="55.2">
      <c r="A2863" s="3" t="s">
        <v>2907</v>
      </c>
      <c r="C2863">
        <v>3</v>
      </c>
      <c r="AT2863">
        <v>7</v>
      </c>
      <c r="AY2863">
        <f t="shared" si="90"/>
        <v>43</v>
      </c>
      <c r="AZ2863">
        <f t="shared" si="91"/>
        <v>3</v>
      </c>
    </row>
    <row r="2864" spans="1:52" ht="55.2">
      <c r="A2864" s="3" t="s">
        <v>2908</v>
      </c>
      <c r="C2864">
        <v>3</v>
      </c>
      <c r="J2864">
        <v>23</v>
      </c>
      <c r="AY2864">
        <f t="shared" si="90"/>
        <v>43</v>
      </c>
      <c r="AZ2864">
        <f t="shared" si="91"/>
        <v>3</v>
      </c>
    </row>
    <row r="2865" spans="1:52" ht="55.2">
      <c r="A2865" s="3" t="s">
        <v>2909</v>
      </c>
      <c r="C2865">
        <v>3</v>
      </c>
      <c r="J2865">
        <v>23</v>
      </c>
      <c r="AY2865">
        <f t="shared" si="90"/>
        <v>43</v>
      </c>
      <c r="AZ2865">
        <f t="shared" si="91"/>
        <v>3</v>
      </c>
    </row>
    <row r="2866" spans="1:52" ht="55.2">
      <c r="A2866" s="3" t="s">
        <v>2910</v>
      </c>
      <c r="C2866">
        <v>3</v>
      </c>
      <c r="J2866">
        <v>23</v>
      </c>
      <c r="AY2866">
        <f t="shared" si="90"/>
        <v>43</v>
      </c>
      <c r="AZ2866">
        <f t="shared" si="91"/>
        <v>3</v>
      </c>
    </row>
    <row r="2867" spans="1:52" ht="55.2">
      <c r="A2867" s="3" t="s">
        <v>2911</v>
      </c>
      <c r="C2867">
        <v>3</v>
      </c>
      <c r="J2867">
        <v>23</v>
      </c>
      <c r="AY2867">
        <f t="shared" si="90"/>
        <v>43</v>
      </c>
      <c r="AZ2867">
        <f t="shared" si="91"/>
        <v>3</v>
      </c>
    </row>
    <row r="2868" spans="1:52" ht="55.2">
      <c r="A2868" s="3" t="s">
        <v>2912</v>
      </c>
      <c r="C2868">
        <v>3</v>
      </c>
      <c r="J2868">
        <v>23</v>
      </c>
      <c r="AY2868">
        <f t="shared" si="90"/>
        <v>43</v>
      </c>
      <c r="AZ2868">
        <f t="shared" si="91"/>
        <v>3</v>
      </c>
    </row>
    <row r="2869" spans="1:52" ht="55.2">
      <c r="A2869" s="3" t="s">
        <v>2913</v>
      </c>
      <c r="C2869">
        <v>3</v>
      </c>
      <c r="J2869">
        <v>23</v>
      </c>
      <c r="AY2869">
        <f t="shared" si="90"/>
        <v>43</v>
      </c>
      <c r="AZ2869">
        <f t="shared" si="91"/>
        <v>3</v>
      </c>
    </row>
    <row r="2870" spans="1:52" ht="55.2">
      <c r="A2870" s="3" t="s">
        <v>2914</v>
      </c>
      <c r="C2870">
        <v>3</v>
      </c>
      <c r="J2870">
        <v>23</v>
      </c>
      <c r="AY2870">
        <f t="shared" si="90"/>
        <v>43</v>
      </c>
      <c r="AZ2870">
        <f t="shared" si="91"/>
        <v>3</v>
      </c>
    </row>
    <row r="2871" spans="1:52" ht="55.2">
      <c r="A2871" s="3" t="s">
        <v>2915</v>
      </c>
      <c r="C2871">
        <v>3</v>
      </c>
      <c r="AT2871">
        <v>8</v>
      </c>
      <c r="AY2871">
        <f t="shared" si="90"/>
        <v>43</v>
      </c>
      <c r="AZ2871">
        <f t="shared" si="91"/>
        <v>3</v>
      </c>
    </row>
    <row r="2872" spans="1:52" ht="55.2">
      <c r="A2872" s="3" t="s">
        <v>2916</v>
      </c>
      <c r="C2872">
        <v>3</v>
      </c>
      <c r="AT2872">
        <v>8</v>
      </c>
      <c r="AY2872">
        <f t="shared" si="90"/>
        <v>43</v>
      </c>
      <c r="AZ2872">
        <f t="shared" si="91"/>
        <v>3</v>
      </c>
    </row>
    <row r="2873" spans="1:52" ht="55.2">
      <c r="A2873" s="3" t="s">
        <v>2917</v>
      </c>
      <c r="C2873">
        <v>3</v>
      </c>
      <c r="AT2873">
        <v>8</v>
      </c>
      <c r="AY2873">
        <f t="shared" si="90"/>
        <v>43</v>
      </c>
      <c r="AZ2873">
        <f t="shared" si="91"/>
        <v>3</v>
      </c>
    </row>
    <row r="2874" spans="1:52" ht="55.2">
      <c r="A2874" s="3" t="s">
        <v>2918</v>
      </c>
      <c r="C2874">
        <v>3</v>
      </c>
      <c r="AT2874">
        <v>8</v>
      </c>
      <c r="AY2874">
        <f t="shared" si="90"/>
        <v>43</v>
      </c>
      <c r="AZ2874">
        <f t="shared" si="91"/>
        <v>3</v>
      </c>
    </row>
    <row r="2875" spans="1:52" ht="55.2">
      <c r="A2875" s="3" t="s">
        <v>2919</v>
      </c>
      <c r="C2875">
        <v>3</v>
      </c>
      <c r="AT2875">
        <v>8</v>
      </c>
      <c r="AY2875">
        <f t="shared" si="90"/>
        <v>43</v>
      </c>
      <c r="AZ2875">
        <f t="shared" si="91"/>
        <v>3</v>
      </c>
    </row>
    <row r="2876" spans="1:52" ht="55.2">
      <c r="A2876" s="3" t="s">
        <v>2920</v>
      </c>
      <c r="C2876">
        <v>3</v>
      </c>
      <c r="AT2876">
        <v>8</v>
      </c>
      <c r="AY2876">
        <f t="shared" si="90"/>
        <v>43</v>
      </c>
      <c r="AZ2876">
        <f t="shared" si="91"/>
        <v>3</v>
      </c>
    </row>
    <row r="2877" spans="1:52" ht="55.2">
      <c r="A2877" s="3" t="s">
        <v>2921</v>
      </c>
      <c r="C2877">
        <v>3</v>
      </c>
      <c r="AT2877">
        <v>8</v>
      </c>
      <c r="AY2877">
        <f t="shared" si="90"/>
        <v>43</v>
      </c>
      <c r="AZ2877">
        <f t="shared" si="91"/>
        <v>3</v>
      </c>
    </row>
    <row r="2878" spans="1:52" ht="55.2">
      <c r="A2878" s="3" t="s">
        <v>2922</v>
      </c>
      <c r="C2878">
        <v>3</v>
      </c>
      <c r="AT2878">
        <v>8</v>
      </c>
      <c r="AY2878">
        <f t="shared" si="90"/>
        <v>43</v>
      </c>
      <c r="AZ2878">
        <f t="shared" si="91"/>
        <v>3</v>
      </c>
    </row>
    <row r="2879" spans="1:52" ht="55.2">
      <c r="A2879" s="3" t="s">
        <v>2923</v>
      </c>
      <c r="C2879">
        <v>3</v>
      </c>
      <c r="AT2879">
        <v>8</v>
      </c>
      <c r="AY2879">
        <f t="shared" si="90"/>
        <v>43</v>
      </c>
      <c r="AZ2879">
        <f t="shared" si="91"/>
        <v>3</v>
      </c>
    </row>
    <row r="2880" spans="1:52" ht="55.2">
      <c r="A2880" s="3" t="s">
        <v>2924</v>
      </c>
      <c r="C2880">
        <v>3</v>
      </c>
      <c r="AT2880">
        <v>8</v>
      </c>
      <c r="AY2880">
        <f t="shared" si="90"/>
        <v>43</v>
      </c>
      <c r="AZ2880">
        <f t="shared" si="91"/>
        <v>3</v>
      </c>
    </row>
    <row r="2881" spans="1:52" ht="55.2">
      <c r="A2881" s="3" t="s">
        <v>2925</v>
      </c>
      <c r="C2881">
        <v>3</v>
      </c>
      <c r="AT2881">
        <v>8</v>
      </c>
      <c r="AY2881">
        <f t="shared" si="90"/>
        <v>43</v>
      </c>
      <c r="AZ2881">
        <f t="shared" si="91"/>
        <v>3</v>
      </c>
    </row>
    <row r="2882" spans="1:52" ht="55.2">
      <c r="A2882" s="3" t="s">
        <v>2926</v>
      </c>
      <c r="C2882">
        <v>3</v>
      </c>
      <c r="AT2882">
        <v>8</v>
      </c>
      <c r="AY2882">
        <f t="shared" si="90"/>
        <v>43</v>
      </c>
      <c r="AZ2882">
        <f t="shared" si="91"/>
        <v>3</v>
      </c>
    </row>
    <row r="2883" spans="1:52" ht="55.2">
      <c r="A2883" s="3" t="s">
        <v>2927</v>
      </c>
      <c r="C2883">
        <v>3</v>
      </c>
      <c r="AT2883">
        <v>8</v>
      </c>
      <c r="AY2883">
        <f t="shared" si="90"/>
        <v>43</v>
      </c>
      <c r="AZ2883">
        <f t="shared" si="91"/>
        <v>3</v>
      </c>
    </row>
    <row r="2884" spans="1:52" ht="55.2">
      <c r="A2884" s="3" t="s">
        <v>2928</v>
      </c>
      <c r="C2884">
        <v>3</v>
      </c>
      <c r="AT2884">
        <v>8</v>
      </c>
      <c r="AY2884">
        <f t="shared" si="90"/>
        <v>43</v>
      </c>
      <c r="AZ2884">
        <f t="shared" si="91"/>
        <v>3</v>
      </c>
    </row>
    <row r="2885" spans="1:52" ht="55.2">
      <c r="A2885" s="3" t="s">
        <v>2929</v>
      </c>
      <c r="C2885">
        <v>3</v>
      </c>
      <c r="AT2885">
        <v>8</v>
      </c>
      <c r="AY2885">
        <f t="shared" si="90"/>
        <v>43</v>
      </c>
      <c r="AZ2885">
        <f t="shared" si="91"/>
        <v>3</v>
      </c>
    </row>
    <row r="2886" spans="1:52" ht="55.2">
      <c r="A2886" s="3" t="s">
        <v>2930</v>
      </c>
      <c r="C2886">
        <v>3</v>
      </c>
      <c r="AT2886">
        <v>8</v>
      </c>
      <c r="AY2886">
        <f t="shared" si="90"/>
        <v>43</v>
      </c>
      <c r="AZ2886">
        <f t="shared" si="91"/>
        <v>3</v>
      </c>
    </row>
    <row r="2887" spans="1:52" ht="55.2">
      <c r="A2887" s="3" t="s">
        <v>2931</v>
      </c>
      <c r="C2887">
        <v>3</v>
      </c>
      <c r="AT2887">
        <v>8</v>
      </c>
      <c r="AY2887">
        <f t="shared" si="90"/>
        <v>43</v>
      </c>
      <c r="AZ2887">
        <f t="shared" si="91"/>
        <v>3</v>
      </c>
    </row>
    <row r="2888" spans="1:52" ht="55.2">
      <c r="A2888" s="3" t="s">
        <v>2932</v>
      </c>
      <c r="C2888">
        <v>3</v>
      </c>
      <c r="AT2888">
        <v>8</v>
      </c>
      <c r="AY2888">
        <f t="shared" si="90"/>
        <v>43</v>
      </c>
      <c r="AZ2888">
        <f t="shared" si="91"/>
        <v>3</v>
      </c>
    </row>
    <row r="2889" spans="1:52" ht="55.2">
      <c r="A2889" s="3" t="s">
        <v>2933</v>
      </c>
      <c r="C2889">
        <v>3</v>
      </c>
      <c r="J2889">
        <v>24</v>
      </c>
      <c r="AY2889">
        <f t="shared" si="90"/>
        <v>43</v>
      </c>
      <c r="AZ2889">
        <f t="shared" si="91"/>
        <v>3</v>
      </c>
    </row>
    <row r="2890" spans="1:52" ht="55.2">
      <c r="A2890" s="3" t="s">
        <v>2934</v>
      </c>
      <c r="C2890">
        <v>3</v>
      </c>
      <c r="J2890">
        <v>24</v>
      </c>
      <c r="AY2890">
        <f t="shared" si="90"/>
        <v>43</v>
      </c>
      <c r="AZ2890">
        <f t="shared" si="91"/>
        <v>3</v>
      </c>
    </row>
    <row r="2891" spans="1:52" ht="55.2">
      <c r="A2891" s="3" t="s">
        <v>2935</v>
      </c>
      <c r="C2891">
        <v>3</v>
      </c>
      <c r="J2891">
        <v>24</v>
      </c>
      <c r="AY2891">
        <f t="shared" si="90"/>
        <v>43</v>
      </c>
      <c r="AZ2891">
        <f t="shared" si="91"/>
        <v>3</v>
      </c>
    </row>
    <row r="2892" spans="1:52" ht="55.2">
      <c r="A2892" s="3" t="s">
        <v>2936</v>
      </c>
      <c r="C2892">
        <v>3</v>
      </c>
      <c r="J2892">
        <v>24</v>
      </c>
      <c r="AY2892">
        <f t="shared" si="90"/>
        <v>43</v>
      </c>
      <c r="AZ2892">
        <f t="shared" si="91"/>
        <v>3</v>
      </c>
    </row>
    <row r="2893" spans="1:52" ht="55.2">
      <c r="A2893" s="3" t="s">
        <v>2937</v>
      </c>
      <c r="C2893">
        <v>3</v>
      </c>
      <c r="J2893">
        <v>24</v>
      </c>
      <c r="AY2893">
        <f t="shared" si="90"/>
        <v>43</v>
      </c>
      <c r="AZ2893">
        <f t="shared" si="91"/>
        <v>3</v>
      </c>
    </row>
    <row r="2894" spans="1:52" ht="55.2">
      <c r="A2894" s="3" t="s">
        <v>2938</v>
      </c>
      <c r="C2894">
        <v>3</v>
      </c>
      <c r="J2894">
        <v>24</v>
      </c>
      <c r="AY2894">
        <f t="shared" si="90"/>
        <v>43</v>
      </c>
      <c r="AZ2894">
        <f t="shared" si="91"/>
        <v>3</v>
      </c>
    </row>
    <row r="2895" spans="1:52" ht="55.2">
      <c r="A2895" s="3" t="s">
        <v>2939</v>
      </c>
      <c r="C2895">
        <v>3</v>
      </c>
      <c r="J2895">
        <v>24</v>
      </c>
      <c r="AY2895">
        <f t="shared" si="90"/>
        <v>43</v>
      </c>
      <c r="AZ2895">
        <f t="shared" si="91"/>
        <v>3</v>
      </c>
    </row>
    <row r="2896" spans="1:52" ht="55.2">
      <c r="A2896" s="3" t="s">
        <v>2940</v>
      </c>
      <c r="C2896">
        <v>3</v>
      </c>
      <c r="J2896">
        <v>24</v>
      </c>
      <c r="AY2896">
        <f t="shared" si="90"/>
        <v>43</v>
      </c>
      <c r="AZ2896">
        <f t="shared" si="91"/>
        <v>3</v>
      </c>
    </row>
    <row r="2897" spans="1:52" ht="55.2">
      <c r="A2897" s="3" t="s">
        <v>2941</v>
      </c>
      <c r="C2897">
        <v>3</v>
      </c>
      <c r="K2897">
        <v>6</v>
      </c>
      <c r="AY2897">
        <f t="shared" si="90"/>
        <v>43</v>
      </c>
      <c r="AZ2897">
        <f t="shared" si="91"/>
        <v>3</v>
      </c>
    </row>
    <row r="2898" spans="1:52" ht="55.2">
      <c r="A2898" s="3" t="s">
        <v>2942</v>
      </c>
      <c r="C2898">
        <v>3</v>
      </c>
      <c r="K2898">
        <v>6</v>
      </c>
      <c r="AY2898">
        <f t="shared" si="90"/>
        <v>43</v>
      </c>
      <c r="AZ2898">
        <f t="shared" si="91"/>
        <v>3</v>
      </c>
    </row>
    <row r="2899" spans="1:52" ht="55.2">
      <c r="A2899" s="3" t="s">
        <v>2943</v>
      </c>
      <c r="C2899">
        <v>3</v>
      </c>
      <c r="K2899">
        <v>6</v>
      </c>
      <c r="AY2899">
        <f t="shared" si="90"/>
        <v>43</v>
      </c>
      <c r="AZ2899">
        <f t="shared" si="91"/>
        <v>3</v>
      </c>
    </row>
    <row r="2900" spans="1:52" ht="55.2">
      <c r="A2900" s="3" t="s">
        <v>2944</v>
      </c>
      <c r="C2900">
        <v>3</v>
      </c>
      <c r="K2900">
        <v>6</v>
      </c>
      <c r="AY2900">
        <f t="shared" si="90"/>
        <v>43</v>
      </c>
      <c r="AZ2900">
        <f t="shared" si="91"/>
        <v>3</v>
      </c>
    </row>
    <row r="2901" spans="1:52" ht="55.2">
      <c r="A2901" s="3" t="s">
        <v>2945</v>
      </c>
      <c r="C2901">
        <v>3</v>
      </c>
      <c r="K2901">
        <v>6</v>
      </c>
      <c r="AY2901">
        <f t="shared" si="90"/>
        <v>43</v>
      </c>
      <c r="AZ2901">
        <f t="shared" si="91"/>
        <v>3</v>
      </c>
    </row>
    <row r="2902" spans="1:52" ht="55.2">
      <c r="A2902" s="3" t="s">
        <v>2946</v>
      </c>
      <c r="C2902">
        <v>3</v>
      </c>
      <c r="K2902">
        <v>6</v>
      </c>
      <c r="AY2902">
        <f t="shared" si="90"/>
        <v>43</v>
      </c>
      <c r="AZ2902">
        <f t="shared" si="91"/>
        <v>3</v>
      </c>
    </row>
    <row r="2903" spans="1:52" ht="55.2">
      <c r="A2903" s="3" t="s">
        <v>2947</v>
      </c>
      <c r="C2903">
        <v>3</v>
      </c>
      <c r="K2903">
        <v>6</v>
      </c>
      <c r="AY2903">
        <f t="shared" si="90"/>
        <v>43</v>
      </c>
      <c r="AZ2903">
        <f t="shared" si="91"/>
        <v>3</v>
      </c>
    </row>
    <row r="2904" spans="1:52" ht="55.2">
      <c r="A2904" s="3" t="s">
        <v>2948</v>
      </c>
      <c r="C2904">
        <v>3</v>
      </c>
      <c r="K2904">
        <v>6</v>
      </c>
      <c r="AY2904">
        <f t="shared" si="90"/>
        <v>43</v>
      </c>
      <c r="AZ2904">
        <f t="shared" si="91"/>
        <v>3</v>
      </c>
    </row>
    <row r="2905" spans="1:52" ht="55.2">
      <c r="A2905" s="3" t="s">
        <v>2949</v>
      </c>
      <c r="C2905">
        <v>3</v>
      </c>
      <c r="K2905">
        <v>6</v>
      </c>
      <c r="AY2905">
        <f t="shared" si="90"/>
        <v>43</v>
      </c>
      <c r="AZ2905">
        <f t="shared" si="91"/>
        <v>3</v>
      </c>
    </row>
    <row r="2906" spans="1:52" ht="55.2">
      <c r="A2906" s="3" t="s">
        <v>2950</v>
      </c>
      <c r="C2906">
        <v>3</v>
      </c>
      <c r="K2906">
        <v>6</v>
      </c>
      <c r="AY2906">
        <f t="shared" si="90"/>
        <v>43</v>
      </c>
      <c r="AZ2906">
        <f t="shared" si="91"/>
        <v>3</v>
      </c>
    </row>
    <row r="2907" spans="1:52" ht="55.2">
      <c r="A2907" s="3" t="s">
        <v>2951</v>
      </c>
      <c r="C2907">
        <v>3</v>
      </c>
      <c r="K2907">
        <v>6</v>
      </c>
      <c r="AY2907">
        <f t="shared" si="90"/>
        <v>43</v>
      </c>
      <c r="AZ2907">
        <f t="shared" si="91"/>
        <v>3</v>
      </c>
    </row>
    <row r="2908" spans="1:52" ht="55.2">
      <c r="A2908" s="3" t="s">
        <v>2952</v>
      </c>
      <c r="C2908">
        <v>3</v>
      </c>
      <c r="K2908">
        <v>6</v>
      </c>
      <c r="AY2908">
        <f t="shared" si="90"/>
        <v>43</v>
      </c>
      <c r="AZ2908">
        <f t="shared" si="91"/>
        <v>3</v>
      </c>
    </row>
    <row r="2909" spans="1:52" ht="55.2">
      <c r="A2909" s="3" t="s">
        <v>2953</v>
      </c>
      <c r="C2909">
        <v>3</v>
      </c>
      <c r="K2909">
        <v>6</v>
      </c>
      <c r="AY2909">
        <f t="shared" si="90"/>
        <v>43</v>
      </c>
      <c r="AZ2909">
        <f t="shared" si="91"/>
        <v>3</v>
      </c>
    </row>
    <row r="2910" spans="1:52" ht="55.2">
      <c r="A2910" s="3" t="s">
        <v>2954</v>
      </c>
      <c r="C2910">
        <v>3</v>
      </c>
      <c r="K2910">
        <v>6</v>
      </c>
      <c r="AY2910">
        <f t="shared" si="90"/>
        <v>43</v>
      </c>
      <c r="AZ2910">
        <f t="shared" si="91"/>
        <v>3</v>
      </c>
    </row>
    <row r="2911" spans="1:52" ht="55.2">
      <c r="A2911" s="3" t="s">
        <v>2955</v>
      </c>
      <c r="C2911">
        <v>3</v>
      </c>
      <c r="K2911">
        <v>6</v>
      </c>
      <c r="AY2911">
        <f t="shared" si="90"/>
        <v>43</v>
      </c>
      <c r="AZ2911">
        <f t="shared" si="91"/>
        <v>3</v>
      </c>
    </row>
    <row r="2912" spans="1:52" ht="55.2">
      <c r="A2912" s="3" t="s">
        <v>2956</v>
      </c>
      <c r="C2912">
        <v>3</v>
      </c>
      <c r="K2912">
        <v>6</v>
      </c>
      <c r="AY2912">
        <f t="shared" si="90"/>
        <v>43</v>
      </c>
      <c r="AZ2912">
        <f t="shared" si="91"/>
        <v>3</v>
      </c>
    </row>
    <row r="2913" spans="1:52" ht="55.2">
      <c r="A2913" s="3" t="s">
        <v>2957</v>
      </c>
      <c r="C2913">
        <v>3</v>
      </c>
      <c r="K2913">
        <v>6</v>
      </c>
      <c r="AY2913">
        <f t="shared" ref="AY2913:AY2976" si="92">COUNTBLANK(F2913:AW2913)</f>
        <v>43</v>
      </c>
      <c r="AZ2913">
        <f t="shared" ref="AZ2913:AZ2976" si="93">COUNTBLANK(B2913:E2913)</f>
        <v>3</v>
      </c>
    </row>
    <row r="2914" spans="1:52" ht="55.2">
      <c r="A2914" s="3" t="s">
        <v>2958</v>
      </c>
      <c r="C2914">
        <v>3</v>
      </c>
      <c r="K2914">
        <v>6</v>
      </c>
      <c r="AY2914">
        <f t="shared" si="92"/>
        <v>43</v>
      </c>
      <c r="AZ2914">
        <f t="shared" si="93"/>
        <v>3</v>
      </c>
    </row>
    <row r="2915" spans="1:52" ht="55.2">
      <c r="A2915" s="3" t="s">
        <v>2959</v>
      </c>
      <c r="C2915">
        <v>3</v>
      </c>
      <c r="K2915">
        <v>6</v>
      </c>
      <c r="AY2915">
        <f t="shared" si="92"/>
        <v>43</v>
      </c>
      <c r="AZ2915">
        <f t="shared" si="93"/>
        <v>3</v>
      </c>
    </row>
    <row r="2916" spans="1:52" ht="55.2">
      <c r="A2916" s="3" t="s">
        <v>2960</v>
      </c>
      <c r="C2916">
        <v>3</v>
      </c>
      <c r="K2916">
        <v>6</v>
      </c>
      <c r="AY2916">
        <f t="shared" si="92"/>
        <v>43</v>
      </c>
      <c r="AZ2916">
        <f t="shared" si="93"/>
        <v>3</v>
      </c>
    </row>
    <row r="2917" spans="1:52" ht="55.2">
      <c r="A2917" s="3" t="s">
        <v>2961</v>
      </c>
      <c r="C2917">
        <v>3</v>
      </c>
      <c r="K2917">
        <v>6</v>
      </c>
      <c r="AY2917">
        <f t="shared" si="92"/>
        <v>43</v>
      </c>
      <c r="AZ2917">
        <f t="shared" si="93"/>
        <v>3</v>
      </c>
    </row>
    <row r="2918" spans="1:52" ht="55.2">
      <c r="A2918" s="3" t="s">
        <v>2962</v>
      </c>
      <c r="C2918">
        <v>3</v>
      </c>
      <c r="K2918">
        <v>6</v>
      </c>
      <c r="AY2918">
        <f t="shared" si="92"/>
        <v>43</v>
      </c>
      <c r="AZ2918">
        <f t="shared" si="93"/>
        <v>3</v>
      </c>
    </row>
    <row r="2919" spans="1:52" ht="55.2">
      <c r="A2919" s="3" t="s">
        <v>2963</v>
      </c>
      <c r="C2919">
        <v>3</v>
      </c>
      <c r="K2919">
        <v>6</v>
      </c>
      <c r="AY2919">
        <f t="shared" si="92"/>
        <v>43</v>
      </c>
      <c r="AZ2919">
        <f t="shared" si="93"/>
        <v>3</v>
      </c>
    </row>
    <row r="2920" spans="1:52" ht="55.2">
      <c r="A2920" s="3" t="s">
        <v>2964</v>
      </c>
      <c r="C2920">
        <v>3</v>
      </c>
      <c r="K2920">
        <v>6</v>
      </c>
      <c r="AY2920">
        <f t="shared" si="92"/>
        <v>43</v>
      </c>
      <c r="AZ2920">
        <f t="shared" si="93"/>
        <v>3</v>
      </c>
    </row>
    <row r="2921" spans="1:52" ht="55.2">
      <c r="A2921" s="3" t="s">
        <v>2965</v>
      </c>
      <c r="C2921">
        <v>3</v>
      </c>
      <c r="K2921">
        <v>6</v>
      </c>
      <c r="AY2921">
        <f t="shared" si="92"/>
        <v>43</v>
      </c>
      <c r="AZ2921">
        <f t="shared" si="93"/>
        <v>3</v>
      </c>
    </row>
    <row r="2922" spans="1:52" ht="55.2">
      <c r="A2922" s="3" t="s">
        <v>2966</v>
      </c>
      <c r="C2922">
        <v>3</v>
      </c>
      <c r="K2922">
        <v>6</v>
      </c>
      <c r="AY2922">
        <f t="shared" si="92"/>
        <v>43</v>
      </c>
      <c r="AZ2922">
        <f t="shared" si="93"/>
        <v>3</v>
      </c>
    </row>
    <row r="2923" spans="1:52" ht="55.2">
      <c r="A2923" s="3" t="s">
        <v>2967</v>
      </c>
      <c r="C2923">
        <v>3</v>
      </c>
      <c r="K2923">
        <v>6</v>
      </c>
      <c r="AY2923">
        <f t="shared" si="92"/>
        <v>43</v>
      </c>
      <c r="AZ2923">
        <f t="shared" si="93"/>
        <v>3</v>
      </c>
    </row>
    <row r="2924" spans="1:52" ht="55.2">
      <c r="A2924" s="3" t="s">
        <v>2968</v>
      </c>
      <c r="C2924">
        <v>3</v>
      </c>
      <c r="K2924">
        <v>6</v>
      </c>
      <c r="AY2924">
        <f t="shared" si="92"/>
        <v>43</v>
      </c>
      <c r="AZ2924">
        <f t="shared" si="93"/>
        <v>3</v>
      </c>
    </row>
    <row r="2925" spans="1:52" ht="55.2">
      <c r="A2925" s="3" t="s">
        <v>2969</v>
      </c>
      <c r="C2925">
        <v>3</v>
      </c>
      <c r="K2925">
        <v>6</v>
      </c>
      <c r="AY2925">
        <f t="shared" si="92"/>
        <v>43</v>
      </c>
      <c r="AZ2925">
        <f t="shared" si="93"/>
        <v>3</v>
      </c>
    </row>
    <row r="2926" spans="1:52" ht="55.2">
      <c r="A2926" s="3" t="s">
        <v>2970</v>
      </c>
      <c r="C2926">
        <v>3</v>
      </c>
      <c r="K2926">
        <v>6</v>
      </c>
      <c r="AY2926">
        <f t="shared" si="92"/>
        <v>43</v>
      </c>
      <c r="AZ2926">
        <f t="shared" si="93"/>
        <v>3</v>
      </c>
    </row>
    <row r="2927" spans="1:52" ht="55.2">
      <c r="A2927" s="3" t="s">
        <v>2971</v>
      </c>
      <c r="C2927">
        <v>3</v>
      </c>
      <c r="K2927">
        <v>6</v>
      </c>
      <c r="AY2927">
        <f t="shared" si="92"/>
        <v>43</v>
      </c>
      <c r="AZ2927">
        <f t="shared" si="93"/>
        <v>3</v>
      </c>
    </row>
    <row r="2928" spans="1:52" ht="55.2">
      <c r="A2928" s="3" t="s">
        <v>2972</v>
      </c>
      <c r="C2928">
        <v>3</v>
      </c>
      <c r="K2928">
        <v>6</v>
      </c>
      <c r="AY2928">
        <f t="shared" si="92"/>
        <v>43</v>
      </c>
      <c r="AZ2928">
        <f t="shared" si="93"/>
        <v>3</v>
      </c>
    </row>
    <row r="2929" spans="1:52" ht="55.2">
      <c r="A2929" s="3" t="s">
        <v>2973</v>
      </c>
      <c r="C2929">
        <v>3</v>
      </c>
      <c r="K2929">
        <v>6</v>
      </c>
      <c r="AY2929">
        <f t="shared" si="92"/>
        <v>43</v>
      </c>
      <c r="AZ2929">
        <f t="shared" si="93"/>
        <v>3</v>
      </c>
    </row>
    <row r="2930" spans="1:52" ht="55.2">
      <c r="A2930" s="3" t="s">
        <v>2974</v>
      </c>
      <c r="C2930">
        <v>3</v>
      </c>
      <c r="K2930">
        <v>6</v>
      </c>
      <c r="AY2930">
        <f t="shared" si="92"/>
        <v>43</v>
      </c>
      <c r="AZ2930">
        <f t="shared" si="93"/>
        <v>3</v>
      </c>
    </row>
    <row r="2931" spans="1:52" ht="55.2">
      <c r="A2931" s="3" t="s">
        <v>2975</v>
      </c>
      <c r="C2931">
        <v>3</v>
      </c>
      <c r="K2931">
        <v>6</v>
      </c>
      <c r="AY2931">
        <f t="shared" si="92"/>
        <v>43</v>
      </c>
      <c r="AZ2931">
        <f t="shared" si="93"/>
        <v>3</v>
      </c>
    </row>
    <row r="2932" spans="1:52" ht="55.2">
      <c r="A2932" s="3" t="s">
        <v>2976</v>
      </c>
      <c r="C2932">
        <v>3</v>
      </c>
      <c r="K2932">
        <v>6</v>
      </c>
      <c r="AY2932">
        <f t="shared" si="92"/>
        <v>43</v>
      </c>
      <c r="AZ2932">
        <f t="shared" si="93"/>
        <v>3</v>
      </c>
    </row>
    <row r="2933" spans="1:52" ht="55.2">
      <c r="A2933" s="3" t="s">
        <v>2977</v>
      </c>
      <c r="C2933">
        <v>3</v>
      </c>
      <c r="K2933">
        <v>6</v>
      </c>
      <c r="AY2933">
        <f t="shared" si="92"/>
        <v>43</v>
      </c>
      <c r="AZ2933">
        <f t="shared" si="93"/>
        <v>3</v>
      </c>
    </row>
    <row r="2934" spans="1:52" ht="55.2">
      <c r="A2934" s="3" t="s">
        <v>2978</v>
      </c>
      <c r="C2934">
        <v>3</v>
      </c>
      <c r="K2934">
        <v>6</v>
      </c>
      <c r="AY2934">
        <f t="shared" si="92"/>
        <v>43</v>
      </c>
      <c r="AZ2934">
        <f t="shared" si="93"/>
        <v>3</v>
      </c>
    </row>
    <row r="2935" spans="1:52" ht="55.2">
      <c r="A2935" s="3" t="s">
        <v>2979</v>
      </c>
      <c r="C2935">
        <v>3</v>
      </c>
      <c r="K2935">
        <v>6</v>
      </c>
      <c r="AY2935">
        <f t="shared" si="92"/>
        <v>43</v>
      </c>
      <c r="AZ2935">
        <f t="shared" si="93"/>
        <v>3</v>
      </c>
    </row>
    <row r="2936" spans="1:52" ht="55.2">
      <c r="A2936" s="3" t="s">
        <v>2980</v>
      </c>
      <c r="C2936">
        <v>3</v>
      </c>
      <c r="K2936">
        <v>6</v>
      </c>
      <c r="AY2936">
        <f t="shared" si="92"/>
        <v>43</v>
      </c>
      <c r="AZ2936">
        <f t="shared" si="93"/>
        <v>3</v>
      </c>
    </row>
    <row r="2937" spans="1:52" ht="55.2">
      <c r="A2937" s="3" t="s">
        <v>2981</v>
      </c>
      <c r="C2937">
        <v>3</v>
      </c>
      <c r="K2937">
        <v>6</v>
      </c>
      <c r="AY2937">
        <f t="shared" si="92"/>
        <v>43</v>
      </c>
      <c r="AZ2937">
        <f t="shared" si="93"/>
        <v>3</v>
      </c>
    </row>
    <row r="2938" spans="1:52" ht="55.2">
      <c r="A2938" s="3" t="s">
        <v>2982</v>
      </c>
      <c r="C2938">
        <v>3</v>
      </c>
      <c r="K2938">
        <v>6</v>
      </c>
      <c r="AY2938">
        <f t="shared" si="92"/>
        <v>43</v>
      </c>
      <c r="AZ2938">
        <f t="shared" si="93"/>
        <v>3</v>
      </c>
    </row>
    <row r="2939" spans="1:52" ht="55.2">
      <c r="A2939" s="3" t="s">
        <v>2983</v>
      </c>
      <c r="C2939">
        <v>3</v>
      </c>
      <c r="K2939">
        <v>6</v>
      </c>
      <c r="AY2939">
        <f t="shared" si="92"/>
        <v>43</v>
      </c>
      <c r="AZ2939">
        <f t="shared" si="93"/>
        <v>3</v>
      </c>
    </row>
    <row r="2940" spans="1:52" ht="55.2">
      <c r="A2940" s="3" t="s">
        <v>2984</v>
      </c>
      <c r="C2940">
        <v>3</v>
      </c>
      <c r="K2940">
        <v>6</v>
      </c>
      <c r="AY2940">
        <f t="shared" si="92"/>
        <v>43</v>
      </c>
      <c r="AZ2940">
        <f t="shared" si="93"/>
        <v>3</v>
      </c>
    </row>
    <row r="2941" spans="1:52" ht="55.2">
      <c r="A2941" s="3" t="s">
        <v>2985</v>
      </c>
      <c r="C2941">
        <v>3</v>
      </c>
      <c r="K2941">
        <v>6</v>
      </c>
      <c r="AY2941">
        <f t="shared" si="92"/>
        <v>43</v>
      </c>
      <c r="AZ2941">
        <f t="shared" si="93"/>
        <v>3</v>
      </c>
    </row>
    <row r="2942" spans="1:52" ht="55.2">
      <c r="A2942" s="3" t="s">
        <v>2986</v>
      </c>
      <c r="C2942">
        <v>3</v>
      </c>
      <c r="K2942">
        <v>6</v>
      </c>
      <c r="AY2942">
        <f t="shared" si="92"/>
        <v>43</v>
      </c>
      <c r="AZ2942">
        <f t="shared" si="93"/>
        <v>3</v>
      </c>
    </row>
    <row r="2943" spans="1:52" ht="55.2">
      <c r="A2943" s="3" t="s">
        <v>2987</v>
      </c>
      <c r="C2943">
        <v>3</v>
      </c>
      <c r="K2943">
        <v>6</v>
      </c>
      <c r="AY2943">
        <f t="shared" si="92"/>
        <v>43</v>
      </c>
      <c r="AZ2943">
        <f t="shared" si="93"/>
        <v>3</v>
      </c>
    </row>
    <row r="2944" spans="1:52" ht="55.2">
      <c r="A2944" s="3" t="s">
        <v>2988</v>
      </c>
      <c r="C2944">
        <v>3</v>
      </c>
      <c r="K2944">
        <v>6</v>
      </c>
      <c r="AY2944">
        <f t="shared" si="92"/>
        <v>43</v>
      </c>
      <c r="AZ2944">
        <f t="shared" si="93"/>
        <v>3</v>
      </c>
    </row>
    <row r="2945" spans="1:52" ht="55.2">
      <c r="A2945" s="3" t="s">
        <v>2989</v>
      </c>
      <c r="C2945">
        <v>3</v>
      </c>
      <c r="K2945">
        <v>6</v>
      </c>
      <c r="AY2945">
        <f t="shared" si="92"/>
        <v>43</v>
      </c>
      <c r="AZ2945">
        <f t="shared" si="93"/>
        <v>3</v>
      </c>
    </row>
    <row r="2946" spans="1:52" ht="55.2">
      <c r="A2946" s="3" t="s">
        <v>2990</v>
      </c>
      <c r="C2946">
        <v>3</v>
      </c>
      <c r="K2946">
        <v>6</v>
      </c>
      <c r="AY2946">
        <f t="shared" si="92"/>
        <v>43</v>
      </c>
      <c r="AZ2946">
        <f t="shared" si="93"/>
        <v>3</v>
      </c>
    </row>
    <row r="2947" spans="1:52" ht="55.2">
      <c r="A2947" s="3" t="s">
        <v>2991</v>
      </c>
      <c r="C2947">
        <v>3</v>
      </c>
      <c r="K2947">
        <v>6</v>
      </c>
      <c r="AY2947">
        <f t="shared" si="92"/>
        <v>43</v>
      </c>
      <c r="AZ2947">
        <f t="shared" si="93"/>
        <v>3</v>
      </c>
    </row>
    <row r="2948" spans="1:52" ht="55.2">
      <c r="A2948" s="3" t="s">
        <v>2992</v>
      </c>
      <c r="C2948">
        <v>3</v>
      </c>
      <c r="K2948">
        <v>6</v>
      </c>
      <c r="AY2948">
        <f t="shared" si="92"/>
        <v>43</v>
      </c>
      <c r="AZ2948">
        <f t="shared" si="93"/>
        <v>3</v>
      </c>
    </row>
    <row r="2949" spans="1:52" ht="55.2">
      <c r="A2949" s="3" t="s">
        <v>2993</v>
      </c>
      <c r="C2949">
        <v>3</v>
      </c>
      <c r="K2949">
        <v>6</v>
      </c>
      <c r="AY2949">
        <f t="shared" si="92"/>
        <v>43</v>
      </c>
      <c r="AZ2949">
        <f t="shared" si="93"/>
        <v>3</v>
      </c>
    </row>
    <row r="2950" spans="1:52" ht="55.2">
      <c r="A2950" s="3" t="s">
        <v>2994</v>
      </c>
      <c r="C2950">
        <v>3</v>
      </c>
      <c r="K2950">
        <v>6</v>
      </c>
      <c r="AY2950">
        <f t="shared" si="92"/>
        <v>43</v>
      </c>
      <c r="AZ2950">
        <f t="shared" si="93"/>
        <v>3</v>
      </c>
    </row>
    <row r="2951" spans="1:52" ht="55.2">
      <c r="A2951" s="3" t="s">
        <v>2995</v>
      </c>
      <c r="C2951">
        <v>3</v>
      </c>
      <c r="K2951">
        <v>6</v>
      </c>
      <c r="AY2951">
        <f t="shared" si="92"/>
        <v>43</v>
      </c>
      <c r="AZ2951">
        <f t="shared" si="93"/>
        <v>3</v>
      </c>
    </row>
    <row r="2952" spans="1:52" ht="55.2">
      <c r="A2952" s="3" t="s">
        <v>2996</v>
      </c>
      <c r="C2952">
        <v>3</v>
      </c>
      <c r="K2952">
        <v>6</v>
      </c>
      <c r="AY2952">
        <f t="shared" si="92"/>
        <v>43</v>
      </c>
      <c r="AZ2952">
        <f t="shared" si="93"/>
        <v>3</v>
      </c>
    </row>
    <row r="2953" spans="1:52" ht="55.2">
      <c r="A2953" s="3" t="s">
        <v>2997</v>
      </c>
      <c r="C2953">
        <v>3</v>
      </c>
      <c r="K2953">
        <v>6</v>
      </c>
      <c r="AY2953">
        <f t="shared" si="92"/>
        <v>43</v>
      </c>
      <c r="AZ2953">
        <f t="shared" si="93"/>
        <v>3</v>
      </c>
    </row>
    <row r="2954" spans="1:52" ht="55.2">
      <c r="A2954" s="3" t="s">
        <v>2998</v>
      </c>
      <c r="C2954">
        <v>3</v>
      </c>
      <c r="K2954">
        <v>6</v>
      </c>
      <c r="AY2954">
        <f t="shared" si="92"/>
        <v>43</v>
      </c>
      <c r="AZ2954">
        <f t="shared" si="93"/>
        <v>3</v>
      </c>
    </row>
    <row r="2955" spans="1:52" ht="55.2">
      <c r="A2955" s="3" t="s">
        <v>2999</v>
      </c>
      <c r="C2955">
        <v>3</v>
      </c>
      <c r="K2955">
        <v>6</v>
      </c>
      <c r="AY2955">
        <f t="shared" si="92"/>
        <v>43</v>
      </c>
      <c r="AZ2955">
        <f t="shared" si="93"/>
        <v>3</v>
      </c>
    </row>
    <row r="2956" spans="1:52" ht="55.2">
      <c r="A2956" s="3" t="s">
        <v>3000</v>
      </c>
      <c r="C2956">
        <v>3</v>
      </c>
      <c r="K2956">
        <v>6</v>
      </c>
      <c r="AY2956">
        <f t="shared" si="92"/>
        <v>43</v>
      </c>
      <c r="AZ2956">
        <f t="shared" si="93"/>
        <v>3</v>
      </c>
    </row>
    <row r="2957" spans="1:52" ht="55.2">
      <c r="A2957" s="3" t="s">
        <v>3001</v>
      </c>
      <c r="C2957">
        <v>3</v>
      </c>
      <c r="K2957">
        <v>6</v>
      </c>
      <c r="AY2957">
        <f t="shared" si="92"/>
        <v>43</v>
      </c>
      <c r="AZ2957">
        <f t="shared" si="93"/>
        <v>3</v>
      </c>
    </row>
    <row r="2958" spans="1:52" ht="55.2">
      <c r="A2958" s="3" t="s">
        <v>3002</v>
      </c>
      <c r="C2958">
        <v>3</v>
      </c>
      <c r="K2958">
        <v>6</v>
      </c>
      <c r="AY2958">
        <f t="shared" si="92"/>
        <v>43</v>
      </c>
      <c r="AZ2958">
        <f t="shared" si="93"/>
        <v>3</v>
      </c>
    </row>
    <row r="2959" spans="1:52" ht="55.2">
      <c r="A2959" s="3" t="s">
        <v>3003</v>
      </c>
      <c r="C2959">
        <v>3</v>
      </c>
      <c r="K2959">
        <v>6</v>
      </c>
      <c r="AY2959">
        <f t="shared" si="92"/>
        <v>43</v>
      </c>
      <c r="AZ2959">
        <f t="shared" si="93"/>
        <v>3</v>
      </c>
    </row>
    <row r="2960" spans="1:52" ht="55.2">
      <c r="A2960" s="3" t="s">
        <v>3004</v>
      </c>
      <c r="C2960">
        <v>3</v>
      </c>
      <c r="K2960">
        <v>6</v>
      </c>
      <c r="AY2960">
        <f t="shared" si="92"/>
        <v>43</v>
      </c>
      <c r="AZ2960">
        <f t="shared" si="93"/>
        <v>3</v>
      </c>
    </row>
    <row r="2961" spans="1:52" ht="55.2">
      <c r="A2961" s="3" t="s">
        <v>3005</v>
      </c>
      <c r="C2961">
        <v>3</v>
      </c>
      <c r="K2961">
        <v>6</v>
      </c>
      <c r="AY2961">
        <f t="shared" si="92"/>
        <v>43</v>
      </c>
      <c r="AZ2961">
        <f t="shared" si="93"/>
        <v>3</v>
      </c>
    </row>
    <row r="2962" spans="1:52" ht="55.2">
      <c r="A2962" s="3" t="s">
        <v>3006</v>
      </c>
      <c r="C2962">
        <v>3</v>
      </c>
      <c r="K2962">
        <v>6</v>
      </c>
      <c r="AY2962">
        <f t="shared" si="92"/>
        <v>43</v>
      </c>
      <c r="AZ2962">
        <f t="shared" si="93"/>
        <v>3</v>
      </c>
    </row>
    <row r="2963" spans="1:52" ht="55.2">
      <c r="A2963" s="3" t="s">
        <v>3007</v>
      </c>
      <c r="C2963">
        <v>3</v>
      </c>
      <c r="K2963">
        <v>6</v>
      </c>
      <c r="AY2963">
        <f t="shared" si="92"/>
        <v>43</v>
      </c>
      <c r="AZ2963">
        <f t="shared" si="93"/>
        <v>3</v>
      </c>
    </row>
    <row r="2964" spans="1:52" ht="55.2">
      <c r="A2964" s="3" t="s">
        <v>3008</v>
      </c>
      <c r="C2964">
        <v>3</v>
      </c>
      <c r="K2964">
        <v>6</v>
      </c>
      <c r="AY2964">
        <f t="shared" si="92"/>
        <v>43</v>
      </c>
      <c r="AZ2964">
        <f t="shared" si="93"/>
        <v>3</v>
      </c>
    </row>
    <row r="2965" spans="1:52" ht="55.2">
      <c r="A2965" s="3" t="s">
        <v>3009</v>
      </c>
      <c r="C2965">
        <v>3</v>
      </c>
      <c r="K2965">
        <v>6</v>
      </c>
      <c r="AY2965">
        <f t="shared" si="92"/>
        <v>43</v>
      </c>
      <c r="AZ2965">
        <f t="shared" si="93"/>
        <v>3</v>
      </c>
    </row>
    <row r="2966" spans="1:52" ht="55.2">
      <c r="A2966" s="3" t="s">
        <v>3010</v>
      </c>
      <c r="C2966">
        <v>3</v>
      </c>
      <c r="K2966">
        <v>6</v>
      </c>
      <c r="AY2966">
        <f t="shared" si="92"/>
        <v>43</v>
      </c>
      <c r="AZ2966">
        <f t="shared" si="93"/>
        <v>3</v>
      </c>
    </row>
    <row r="2967" spans="1:52" ht="55.2">
      <c r="A2967" s="3" t="s">
        <v>3011</v>
      </c>
      <c r="C2967">
        <v>3</v>
      </c>
      <c r="K2967">
        <v>6</v>
      </c>
      <c r="AY2967">
        <f t="shared" si="92"/>
        <v>43</v>
      </c>
      <c r="AZ2967">
        <f t="shared" si="93"/>
        <v>3</v>
      </c>
    </row>
    <row r="2968" spans="1:52" ht="55.2">
      <c r="A2968" s="3" t="s">
        <v>3012</v>
      </c>
      <c r="C2968">
        <v>3</v>
      </c>
      <c r="K2968">
        <v>6</v>
      </c>
      <c r="AY2968">
        <f t="shared" si="92"/>
        <v>43</v>
      </c>
      <c r="AZ2968">
        <f t="shared" si="93"/>
        <v>3</v>
      </c>
    </row>
    <row r="2969" spans="1:52" ht="55.2">
      <c r="A2969" s="3" t="s">
        <v>3013</v>
      </c>
      <c r="C2969">
        <v>3</v>
      </c>
      <c r="K2969">
        <v>6</v>
      </c>
      <c r="AY2969">
        <f t="shared" si="92"/>
        <v>43</v>
      </c>
      <c r="AZ2969">
        <f t="shared" si="93"/>
        <v>3</v>
      </c>
    </row>
    <row r="2970" spans="1:52" ht="55.2">
      <c r="A2970" s="3" t="s">
        <v>3014</v>
      </c>
      <c r="C2970">
        <v>3</v>
      </c>
      <c r="G2970">
        <v>2</v>
      </c>
      <c r="K2970">
        <v>6</v>
      </c>
      <c r="AY2970">
        <f t="shared" si="92"/>
        <v>42</v>
      </c>
      <c r="AZ2970">
        <f t="shared" si="93"/>
        <v>3</v>
      </c>
    </row>
    <row r="2971" spans="1:52" ht="55.2">
      <c r="A2971" s="3" t="s">
        <v>3015</v>
      </c>
      <c r="C2971">
        <v>3</v>
      </c>
      <c r="G2971">
        <v>2</v>
      </c>
      <c r="K2971">
        <v>6</v>
      </c>
      <c r="AY2971">
        <f t="shared" si="92"/>
        <v>42</v>
      </c>
      <c r="AZ2971">
        <f t="shared" si="93"/>
        <v>3</v>
      </c>
    </row>
    <row r="2972" spans="1:52" ht="55.2">
      <c r="A2972" s="3" t="s">
        <v>3016</v>
      </c>
      <c r="C2972">
        <v>3</v>
      </c>
      <c r="G2972">
        <v>2</v>
      </c>
      <c r="K2972">
        <v>6</v>
      </c>
      <c r="AY2972">
        <f t="shared" si="92"/>
        <v>42</v>
      </c>
      <c r="AZ2972">
        <f t="shared" si="93"/>
        <v>3</v>
      </c>
    </row>
    <row r="2973" spans="1:52" ht="55.2">
      <c r="A2973" s="3" t="s">
        <v>3017</v>
      </c>
      <c r="C2973">
        <v>3</v>
      </c>
      <c r="G2973">
        <v>2</v>
      </c>
      <c r="K2973">
        <v>6</v>
      </c>
      <c r="AY2973">
        <f t="shared" si="92"/>
        <v>42</v>
      </c>
      <c r="AZ2973">
        <f t="shared" si="93"/>
        <v>3</v>
      </c>
    </row>
    <row r="2974" spans="1:52" ht="55.2">
      <c r="A2974" s="3" t="s">
        <v>3018</v>
      </c>
      <c r="C2974">
        <v>3</v>
      </c>
      <c r="G2974">
        <v>2</v>
      </c>
      <c r="K2974">
        <v>6</v>
      </c>
      <c r="AY2974">
        <f t="shared" si="92"/>
        <v>42</v>
      </c>
      <c r="AZ2974">
        <f t="shared" si="93"/>
        <v>3</v>
      </c>
    </row>
    <row r="2975" spans="1:52" ht="55.2">
      <c r="A2975" s="3" t="s">
        <v>3019</v>
      </c>
      <c r="C2975">
        <v>3</v>
      </c>
      <c r="G2975">
        <v>2</v>
      </c>
      <c r="K2975">
        <v>6</v>
      </c>
      <c r="AY2975">
        <f t="shared" si="92"/>
        <v>42</v>
      </c>
      <c r="AZ2975">
        <f t="shared" si="93"/>
        <v>3</v>
      </c>
    </row>
    <row r="2976" spans="1:52" ht="55.2">
      <c r="A2976" s="3" t="s">
        <v>3020</v>
      </c>
      <c r="C2976">
        <v>3</v>
      </c>
      <c r="G2976">
        <v>2</v>
      </c>
      <c r="K2976">
        <v>6</v>
      </c>
      <c r="AY2976">
        <f t="shared" si="92"/>
        <v>42</v>
      </c>
      <c r="AZ2976">
        <f t="shared" si="93"/>
        <v>3</v>
      </c>
    </row>
    <row r="2977" spans="1:52" ht="55.2">
      <c r="A2977" s="3" t="s">
        <v>3021</v>
      </c>
      <c r="C2977">
        <v>3</v>
      </c>
      <c r="G2977">
        <v>2</v>
      </c>
      <c r="K2977">
        <v>6</v>
      </c>
      <c r="AY2977">
        <f t="shared" ref="AY2977:AY3040" si="94">COUNTBLANK(F2977:AW2977)</f>
        <v>42</v>
      </c>
      <c r="AZ2977">
        <f t="shared" ref="AZ2977:AZ3040" si="95">COUNTBLANK(B2977:E2977)</f>
        <v>3</v>
      </c>
    </row>
    <row r="2978" spans="1:52" ht="55.2">
      <c r="A2978" s="3" t="s">
        <v>3022</v>
      </c>
      <c r="C2978">
        <v>3</v>
      </c>
      <c r="J2978">
        <v>25</v>
      </c>
      <c r="AY2978">
        <f t="shared" si="94"/>
        <v>43</v>
      </c>
      <c r="AZ2978">
        <f t="shared" si="95"/>
        <v>3</v>
      </c>
    </row>
    <row r="2979" spans="1:52" ht="55.2">
      <c r="A2979" s="3" t="s">
        <v>3023</v>
      </c>
      <c r="C2979">
        <v>3</v>
      </c>
      <c r="J2979">
        <v>25</v>
      </c>
      <c r="AY2979">
        <f t="shared" si="94"/>
        <v>43</v>
      </c>
      <c r="AZ2979">
        <f t="shared" si="95"/>
        <v>3</v>
      </c>
    </row>
    <row r="2980" spans="1:52" ht="55.2">
      <c r="A2980" s="3" t="s">
        <v>3024</v>
      </c>
      <c r="C2980">
        <v>3</v>
      </c>
      <c r="J2980">
        <v>25</v>
      </c>
      <c r="AY2980">
        <f t="shared" si="94"/>
        <v>43</v>
      </c>
      <c r="AZ2980">
        <f t="shared" si="95"/>
        <v>3</v>
      </c>
    </row>
    <row r="2981" spans="1:52" ht="55.2">
      <c r="A2981" s="3" t="s">
        <v>3025</v>
      </c>
      <c r="C2981">
        <v>3</v>
      </c>
      <c r="J2981">
        <v>25</v>
      </c>
      <c r="AY2981">
        <f t="shared" si="94"/>
        <v>43</v>
      </c>
      <c r="AZ2981">
        <f t="shared" si="95"/>
        <v>3</v>
      </c>
    </row>
    <row r="2982" spans="1:52" ht="55.2">
      <c r="A2982" s="3" t="s">
        <v>3026</v>
      </c>
      <c r="C2982">
        <v>3</v>
      </c>
      <c r="J2982">
        <v>25</v>
      </c>
      <c r="AY2982">
        <f t="shared" si="94"/>
        <v>43</v>
      </c>
      <c r="AZ2982">
        <f t="shared" si="95"/>
        <v>3</v>
      </c>
    </row>
    <row r="2983" spans="1:52" ht="55.2">
      <c r="A2983" s="3" t="s">
        <v>3027</v>
      </c>
      <c r="C2983">
        <v>3</v>
      </c>
      <c r="J2983">
        <v>25</v>
      </c>
      <c r="AY2983">
        <f t="shared" si="94"/>
        <v>43</v>
      </c>
      <c r="AZ2983">
        <f t="shared" si="95"/>
        <v>3</v>
      </c>
    </row>
    <row r="2984" spans="1:52" ht="55.2">
      <c r="A2984" s="3" t="s">
        <v>3028</v>
      </c>
      <c r="C2984">
        <v>3</v>
      </c>
      <c r="J2984">
        <v>25</v>
      </c>
      <c r="AY2984">
        <f t="shared" si="94"/>
        <v>43</v>
      </c>
      <c r="AZ2984">
        <f t="shared" si="95"/>
        <v>3</v>
      </c>
    </row>
    <row r="2985" spans="1:52" ht="55.2">
      <c r="A2985" s="3" t="s">
        <v>3029</v>
      </c>
      <c r="C2985">
        <v>3</v>
      </c>
      <c r="J2985">
        <v>25</v>
      </c>
      <c r="AY2985">
        <f t="shared" si="94"/>
        <v>43</v>
      </c>
      <c r="AZ2985">
        <f t="shared" si="95"/>
        <v>3</v>
      </c>
    </row>
    <row r="2986" spans="1:52" ht="55.2">
      <c r="A2986" s="3" t="s">
        <v>3030</v>
      </c>
      <c r="C2986">
        <v>3</v>
      </c>
      <c r="J2986">
        <v>25</v>
      </c>
      <c r="AY2986">
        <f t="shared" si="94"/>
        <v>43</v>
      </c>
      <c r="AZ2986">
        <f t="shared" si="95"/>
        <v>3</v>
      </c>
    </row>
    <row r="2987" spans="1:52" ht="55.2">
      <c r="A2987" s="3" t="s">
        <v>3031</v>
      </c>
      <c r="C2987">
        <v>3</v>
      </c>
      <c r="J2987">
        <v>25</v>
      </c>
      <c r="AY2987">
        <f t="shared" si="94"/>
        <v>43</v>
      </c>
      <c r="AZ2987">
        <f t="shared" si="95"/>
        <v>3</v>
      </c>
    </row>
    <row r="2988" spans="1:52" ht="55.2">
      <c r="A2988" s="3" t="s">
        <v>3032</v>
      </c>
      <c r="C2988">
        <v>3</v>
      </c>
      <c r="J2988">
        <v>25</v>
      </c>
      <c r="AY2988">
        <f t="shared" si="94"/>
        <v>43</v>
      </c>
      <c r="AZ2988">
        <f t="shared" si="95"/>
        <v>3</v>
      </c>
    </row>
    <row r="2989" spans="1:52" ht="55.2">
      <c r="A2989" s="3" t="s">
        <v>3033</v>
      </c>
      <c r="C2989">
        <v>3</v>
      </c>
      <c r="J2989">
        <v>25</v>
      </c>
      <c r="AY2989">
        <f t="shared" si="94"/>
        <v>43</v>
      </c>
      <c r="AZ2989">
        <f t="shared" si="95"/>
        <v>3</v>
      </c>
    </row>
    <row r="2990" spans="1:52" ht="55.2">
      <c r="A2990" s="3" t="s">
        <v>3034</v>
      </c>
      <c r="C2990">
        <v>3</v>
      </c>
      <c r="J2990">
        <v>25</v>
      </c>
      <c r="AY2990">
        <f t="shared" si="94"/>
        <v>43</v>
      </c>
      <c r="AZ2990">
        <f t="shared" si="95"/>
        <v>3</v>
      </c>
    </row>
    <row r="2991" spans="1:52" ht="55.2">
      <c r="A2991" s="3" t="s">
        <v>3035</v>
      </c>
      <c r="C2991">
        <v>3</v>
      </c>
      <c r="J2991">
        <v>25</v>
      </c>
      <c r="AY2991">
        <f t="shared" si="94"/>
        <v>43</v>
      </c>
      <c r="AZ2991">
        <f t="shared" si="95"/>
        <v>3</v>
      </c>
    </row>
    <row r="2992" spans="1:52" ht="55.2">
      <c r="A2992" s="3" t="s">
        <v>3036</v>
      </c>
      <c r="C2992">
        <v>3</v>
      </c>
      <c r="J2992">
        <v>25</v>
      </c>
      <c r="AY2992">
        <f t="shared" si="94"/>
        <v>43</v>
      </c>
      <c r="AZ2992">
        <f t="shared" si="95"/>
        <v>3</v>
      </c>
    </row>
    <row r="2993" spans="1:52" ht="55.2">
      <c r="A2993" s="3" t="s">
        <v>3037</v>
      </c>
      <c r="C2993">
        <v>3</v>
      </c>
      <c r="J2993">
        <v>25</v>
      </c>
      <c r="AY2993">
        <f t="shared" si="94"/>
        <v>43</v>
      </c>
      <c r="AZ2993">
        <f t="shared" si="95"/>
        <v>3</v>
      </c>
    </row>
    <row r="2994" spans="1:52" ht="55.2">
      <c r="A2994" s="3" t="s">
        <v>3038</v>
      </c>
      <c r="C2994">
        <v>3</v>
      </c>
      <c r="J2994">
        <v>25</v>
      </c>
      <c r="AY2994">
        <f t="shared" si="94"/>
        <v>43</v>
      </c>
      <c r="AZ2994">
        <f t="shared" si="95"/>
        <v>3</v>
      </c>
    </row>
    <row r="2995" spans="1:52" ht="55.2">
      <c r="A2995" s="3" t="s">
        <v>3039</v>
      </c>
      <c r="C2995">
        <v>3</v>
      </c>
      <c r="J2995">
        <v>25</v>
      </c>
      <c r="AY2995">
        <f t="shared" si="94"/>
        <v>43</v>
      </c>
      <c r="AZ2995">
        <f t="shared" si="95"/>
        <v>3</v>
      </c>
    </row>
    <row r="2996" spans="1:52" ht="55.2">
      <c r="A2996" s="3" t="s">
        <v>3040</v>
      </c>
      <c r="C2996">
        <v>3</v>
      </c>
      <c r="J2996">
        <v>25</v>
      </c>
      <c r="AY2996">
        <f t="shared" si="94"/>
        <v>43</v>
      </c>
      <c r="AZ2996">
        <f t="shared" si="95"/>
        <v>3</v>
      </c>
    </row>
    <row r="2997" spans="1:52" ht="55.2">
      <c r="A2997" s="3" t="s">
        <v>3041</v>
      </c>
      <c r="C2997">
        <v>3</v>
      </c>
      <c r="J2997">
        <v>25</v>
      </c>
      <c r="AY2997">
        <f t="shared" si="94"/>
        <v>43</v>
      </c>
      <c r="AZ2997">
        <f t="shared" si="95"/>
        <v>3</v>
      </c>
    </row>
    <row r="2998" spans="1:52" ht="55.2">
      <c r="A2998" s="3" t="s">
        <v>3042</v>
      </c>
      <c r="C2998">
        <v>3</v>
      </c>
      <c r="J2998">
        <v>25</v>
      </c>
      <c r="AY2998">
        <f t="shared" si="94"/>
        <v>43</v>
      </c>
      <c r="AZ2998">
        <f t="shared" si="95"/>
        <v>3</v>
      </c>
    </row>
    <row r="2999" spans="1:52" ht="55.2">
      <c r="A2999" s="3" t="s">
        <v>3043</v>
      </c>
      <c r="C2999">
        <v>3</v>
      </c>
      <c r="V2999">
        <v>1</v>
      </c>
      <c r="AY2999">
        <f t="shared" si="94"/>
        <v>43</v>
      </c>
      <c r="AZ2999">
        <f t="shared" si="95"/>
        <v>3</v>
      </c>
    </row>
    <row r="3000" spans="1:52" ht="55.2">
      <c r="A3000" s="3" t="s">
        <v>3044</v>
      </c>
      <c r="C3000">
        <v>3</v>
      </c>
      <c r="V3000">
        <v>1</v>
      </c>
      <c r="AY3000">
        <f t="shared" si="94"/>
        <v>43</v>
      </c>
      <c r="AZ3000">
        <f t="shared" si="95"/>
        <v>3</v>
      </c>
    </row>
    <row r="3001" spans="1:52" ht="55.2">
      <c r="A3001" s="3" t="s">
        <v>3045</v>
      </c>
      <c r="C3001">
        <v>3</v>
      </c>
      <c r="V3001">
        <v>1</v>
      </c>
      <c r="AY3001">
        <f t="shared" si="94"/>
        <v>43</v>
      </c>
      <c r="AZ3001">
        <f t="shared" si="95"/>
        <v>3</v>
      </c>
    </row>
    <row r="3002" spans="1:52" ht="55.2">
      <c r="A3002" s="3" t="s">
        <v>3046</v>
      </c>
      <c r="C3002">
        <v>3</v>
      </c>
      <c r="V3002">
        <v>1</v>
      </c>
      <c r="AY3002">
        <f t="shared" si="94"/>
        <v>43</v>
      </c>
      <c r="AZ3002">
        <f t="shared" si="95"/>
        <v>3</v>
      </c>
    </row>
    <row r="3003" spans="1:52" ht="55.2">
      <c r="A3003" s="3" t="s">
        <v>3047</v>
      </c>
      <c r="C3003">
        <v>3</v>
      </c>
      <c r="V3003">
        <v>1</v>
      </c>
      <c r="AY3003">
        <f t="shared" si="94"/>
        <v>43</v>
      </c>
      <c r="AZ3003">
        <f t="shared" si="95"/>
        <v>3</v>
      </c>
    </row>
    <row r="3004" spans="1:52" ht="55.2">
      <c r="A3004" s="3" t="s">
        <v>3048</v>
      </c>
      <c r="C3004">
        <v>3</v>
      </c>
      <c r="V3004">
        <v>1</v>
      </c>
      <c r="AY3004">
        <f t="shared" si="94"/>
        <v>43</v>
      </c>
      <c r="AZ3004">
        <f t="shared" si="95"/>
        <v>3</v>
      </c>
    </row>
    <row r="3005" spans="1:52" ht="55.2">
      <c r="A3005" s="3" t="s">
        <v>3049</v>
      </c>
      <c r="C3005">
        <v>3</v>
      </c>
      <c r="V3005">
        <v>1</v>
      </c>
      <c r="AY3005">
        <f t="shared" si="94"/>
        <v>43</v>
      </c>
      <c r="AZ3005">
        <f t="shared" si="95"/>
        <v>3</v>
      </c>
    </row>
    <row r="3006" spans="1:52" ht="55.2">
      <c r="A3006" s="3" t="s">
        <v>3050</v>
      </c>
      <c r="C3006">
        <v>3</v>
      </c>
      <c r="V3006">
        <v>1</v>
      </c>
      <c r="AY3006">
        <f t="shared" si="94"/>
        <v>43</v>
      </c>
      <c r="AZ3006">
        <f t="shared" si="95"/>
        <v>3</v>
      </c>
    </row>
    <row r="3007" spans="1:52" ht="55.2">
      <c r="A3007" s="3" t="s">
        <v>3051</v>
      </c>
      <c r="C3007">
        <v>3</v>
      </c>
      <c r="V3007">
        <v>1</v>
      </c>
      <c r="AY3007">
        <f t="shared" si="94"/>
        <v>43</v>
      </c>
      <c r="AZ3007">
        <f t="shared" si="95"/>
        <v>3</v>
      </c>
    </row>
    <row r="3008" spans="1:52" ht="55.2">
      <c r="A3008" s="3" t="s">
        <v>3052</v>
      </c>
      <c r="C3008">
        <v>3</v>
      </c>
      <c r="V3008">
        <v>1</v>
      </c>
      <c r="AY3008">
        <f t="shared" si="94"/>
        <v>43</v>
      </c>
      <c r="AZ3008">
        <f t="shared" si="95"/>
        <v>3</v>
      </c>
    </row>
    <row r="3009" spans="1:52" ht="55.2">
      <c r="A3009" s="3" t="s">
        <v>3053</v>
      </c>
      <c r="C3009">
        <v>3</v>
      </c>
      <c r="V3009">
        <v>1</v>
      </c>
      <c r="AY3009">
        <f t="shared" si="94"/>
        <v>43</v>
      </c>
      <c r="AZ3009">
        <f t="shared" si="95"/>
        <v>3</v>
      </c>
    </row>
    <row r="3010" spans="1:52" ht="55.2">
      <c r="A3010" s="3" t="s">
        <v>3054</v>
      </c>
      <c r="C3010">
        <v>3</v>
      </c>
      <c r="V3010">
        <v>1</v>
      </c>
      <c r="AY3010">
        <f t="shared" si="94"/>
        <v>43</v>
      </c>
      <c r="AZ3010">
        <f t="shared" si="95"/>
        <v>3</v>
      </c>
    </row>
    <row r="3011" spans="1:52" ht="55.2">
      <c r="A3011" s="3" t="s">
        <v>3055</v>
      </c>
      <c r="C3011">
        <v>3</v>
      </c>
      <c r="V3011">
        <v>1</v>
      </c>
      <c r="AY3011">
        <f t="shared" si="94"/>
        <v>43</v>
      </c>
      <c r="AZ3011">
        <f t="shared" si="95"/>
        <v>3</v>
      </c>
    </row>
    <row r="3012" spans="1:52" ht="55.2">
      <c r="A3012" s="3" t="s">
        <v>3056</v>
      </c>
      <c r="C3012">
        <v>3</v>
      </c>
      <c r="V3012">
        <v>1</v>
      </c>
      <c r="AY3012">
        <f t="shared" si="94"/>
        <v>43</v>
      </c>
      <c r="AZ3012">
        <f t="shared" si="95"/>
        <v>3</v>
      </c>
    </row>
    <row r="3013" spans="1:52" ht="55.2">
      <c r="A3013" s="3" t="s">
        <v>3057</v>
      </c>
      <c r="C3013">
        <v>3</v>
      </c>
      <c r="V3013">
        <v>1</v>
      </c>
      <c r="AY3013">
        <f t="shared" si="94"/>
        <v>43</v>
      </c>
      <c r="AZ3013">
        <f t="shared" si="95"/>
        <v>3</v>
      </c>
    </row>
    <row r="3014" spans="1:52" ht="55.2">
      <c r="A3014" s="3" t="s">
        <v>3058</v>
      </c>
      <c r="C3014">
        <v>3</v>
      </c>
      <c r="V3014">
        <v>1</v>
      </c>
      <c r="AY3014">
        <f t="shared" si="94"/>
        <v>43</v>
      </c>
      <c r="AZ3014">
        <f t="shared" si="95"/>
        <v>3</v>
      </c>
    </row>
    <row r="3015" spans="1:52" ht="55.2">
      <c r="A3015" s="3" t="s">
        <v>3059</v>
      </c>
      <c r="C3015">
        <v>3</v>
      </c>
      <c r="V3015">
        <v>1</v>
      </c>
      <c r="AY3015">
        <f t="shared" si="94"/>
        <v>43</v>
      </c>
      <c r="AZ3015">
        <f t="shared" si="95"/>
        <v>3</v>
      </c>
    </row>
    <row r="3016" spans="1:52" ht="55.2">
      <c r="A3016" s="3" t="s">
        <v>3060</v>
      </c>
      <c r="C3016">
        <v>3</v>
      </c>
      <c r="V3016">
        <v>1</v>
      </c>
      <c r="AY3016">
        <f t="shared" si="94"/>
        <v>43</v>
      </c>
      <c r="AZ3016">
        <f t="shared" si="95"/>
        <v>3</v>
      </c>
    </row>
    <row r="3017" spans="1:52" ht="55.2">
      <c r="A3017" s="3" t="s">
        <v>3061</v>
      </c>
      <c r="C3017">
        <v>3</v>
      </c>
      <c r="V3017">
        <v>1</v>
      </c>
      <c r="AY3017">
        <f t="shared" si="94"/>
        <v>43</v>
      </c>
      <c r="AZ3017">
        <f t="shared" si="95"/>
        <v>3</v>
      </c>
    </row>
    <row r="3018" spans="1:52" ht="55.2">
      <c r="A3018" s="3" t="s">
        <v>3062</v>
      </c>
      <c r="C3018">
        <v>3</v>
      </c>
      <c r="V3018">
        <v>1</v>
      </c>
      <c r="AY3018">
        <f t="shared" si="94"/>
        <v>43</v>
      </c>
      <c r="AZ3018">
        <f t="shared" si="95"/>
        <v>3</v>
      </c>
    </row>
    <row r="3019" spans="1:52" ht="55.2">
      <c r="A3019" s="3" t="s">
        <v>3063</v>
      </c>
      <c r="C3019">
        <v>3</v>
      </c>
      <c r="V3019">
        <v>1</v>
      </c>
      <c r="AY3019">
        <f t="shared" si="94"/>
        <v>43</v>
      </c>
      <c r="AZ3019">
        <f t="shared" si="95"/>
        <v>3</v>
      </c>
    </row>
    <row r="3020" spans="1:52" ht="55.2">
      <c r="A3020" s="3" t="s">
        <v>3064</v>
      </c>
      <c r="C3020">
        <v>3</v>
      </c>
      <c r="V3020">
        <v>1</v>
      </c>
      <c r="AY3020">
        <f t="shared" si="94"/>
        <v>43</v>
      </c>
      <c r="AZ3020">
        <f t="shared" si="95"/>
        <v>3</v>
      </c>
    </row>
    <row r="3021" spans="1:52" ht="55.2">
      <c r="A3021" s="3" t="s">
        <v>3065</v>
      </c>
      <c r="C3021">
        <v>3</v>
      </c>
      <c r="V3021">
        <v>1</v>
      </c>
      <c r="AY3021">
        <f t="shared" si="94"/>
        <v>43</v>
      </c>
      <c r="AZ3021">
        <f t="shared" si="95"/>
        <v>3</v>
      </c>
    </row>
    <row r="3022" spans="1:52" ht="55.2">
      <c r="A3022" s="3" t="s">
        <v>3066</v>
      </c>
      <c r="C3022">
        <v>3</v>
      </c>
      <c r="V3022">
        <v>1</v>
      </c>
      <c r="AY3022">
        <f t="shared" si="94"/>
        <v>43</v>
      </c>
      <c r="AZ3022">
        <f t="shared" si="95"/>
        <v>3</v>
      </c>
    </row>
    <row r="3023" spans="1:52" ht="55.2">
      <c r="A3023" s="3" t="s">
        <v>3067</v>
      </c>
      <c r="C3023">
        <v>3</v>
      </c>
      <c r="V3023">
        <v>1</v>
      </c>
      <c r="AY3023">
        <f t="shared" si="94"/>
        <v>43</v>
      </c>
      <c r="AZ3023">
        <f t="shared" si="95"/>
        <v>3</v>
      </c>
    </row>
    <row r="3024" spans="1:52" ht="55.2">
      <c r="A3024" s="3" t="s">
        <v>3068</v>
      </c>
      <c r="C3024">
        <v>3</v>
      </c>
      <c r="V3024">
        <v>1</v>
      </c>
      <c r="AY3024">
        <f t="shared" si="94"/>
        <v>43</v>
      </c>
      <c r="AZ3024">
        <f t="shared" si="95"/>
        <v>3</v>
      </c>
    </row>
    <row r="3025" spans="1:52" ht="55.2">
      <c r="A3025" s="3" t="s">
        <v>3069</v>
      </c>
      <c r="C3025">
        <v>3</v>
      </c>
      <c r="V3025">
        <v>1</v>
      </c>
      <c r="AY3025">
        <f t="shared" si="94"/>
        <v>43</v>
      </c>
      <c r="AZ3025">
        <f t="shared" si="95"/>
        <v>3</v>
      </c>
    </row>
    <row r="3026" spans="1:52" ht="55.2">
      <c r="A3026" s="3" t="s">
        <v>3070</v>
      </c>
      <c r="C3026">
        <v>3</v>
      </c>
      <c r="V3026">
        <v>1</v>
      </c>
      <c r="AY3026">
        <f t="shared" si="94"/>
        <v>43</v>
      </c>
      <c r="AZ3026">
        <f t="shared" si="95"/>
        <v>3</v>
      </c>
    </row>
    <row r="3027" spans="1:52" ht="55.2">
      <c r="A3027" s="3" t="s">
        <v>3071</v>
      </c>
      <c r="C3027">
        <v>3</v>
      </c>
      <c r="V3027">
        <v>1</v>
      </c>
      <c r="AY3027">
        <f t="shared" si="94"/>
        <v>43</v>
      </c>
      <c r="AZ3027">
        <f t="shared" si="95"/>
        <v>3</v>
      </c>
    </row>
    <row r="3028" spans="1:52" ht="55.2">
      <c r="A3028" s="3" t="s">
        <v>3072</v>
      </c>
      <c r="C3028">
        <v>3</v>
      </c>
      <c r="V3028">
        <v>1</v>
      </c>
      <c r="AY3028">
        <f t="shared" si="94"/>
        <v>43</v>
      </c>
      <c r="AZ3028">
        <f t="shared" si="95"/>
        <v>3</v>
      </c>
    </row>
    <row r="3029" spans="1:52" ht="55.2">
      <c r="A3029" s="3" t="s">
        <v>3073</v>
      </c>
      <c r="C3029">
        <v>3</v>
      </c>
      <c r="W3029">
        <v>1</v>
      </c>
      <c r="AY3029">
        <f t="shared" si="94"/>
        <v>43</v>
      </c>
      <c r="AZ3029">
        <f t="shared" si="95"/>
        <v>3</v>
      </c>
    </row>
    <row r="3030" spans="1:52" ht="55.2">
      <c r="A3030" s="3" t="s">
        <v>3074</v>
      </c>
      <c r="C3030">
        <v>3</v>
      </c>
      <c r="W3030">
        <v>1</v>
      </c>
      <c r="AY3030">
        <f t="shared" si="94"/>
        <v>43</v>
      </c>
      <c r="AZ3030">
        <f t="shared" si="95"/>
        <v>3</v>
      </c>
    </row>
    <row r="3031" spans="1:52" ht="55.2">
      <c r="A3031" s="3" t="s">
        <v>3075</v>
      </c>
      <c r="C3031">
        <v>3</v>
      </c>
      <c r="W3031">
        <v>1</v>
      </c>
      <c r="AY3031">
        <f t="shared" si="94"/>
        <v>43</v>
      </c>
      <c r="AZ3031">
        <f t="shared" si="95"/>
        <v>3</v>
      </c>
    </row>
    <row r="3032" spans="1:52" ht="55.2">
      <c r="A3032" s="3" t="s">
        <v>3076</v>
      </c>
      <c r="C3032">
        <v>3</v>
      </c>
      <c r="W3032">
        <v>1</v>
      </c>
      <c r="AY3032">
        <f t="shared" si="94"/>
        <v>43</v>
      </c>
      <c r="AZ3032">
        <f t="shared" si="95"/>
        <v>3</v>
      </c>
    </row>
    <row r="3033" spans="1:52" ht="55.2">
      <c r="A3033" s="3" t="s">
        <v>3077</v>
      </c>
      <c r="C3033">
        <v>3</v>
      </c>
      <c r="W3033">
        <v>1</v>
      </c>
      <c r="AY3033">
        <f t="shared" si="94"/>
        <v>43</v>
      </c>
      <c r="AZ3033">
        <f t="shared" si="95"/>
        <v>3</v>
      </c>
    </row>
    <row r="3034" spans="1:52" ht="55.2">
      <c r="A3034" s="3" t="s">
        <v>3078</v>
      </c>
      <c r="C3034">
        <v>3</v>
      </c>
      <c r="W3034">
        <v>1</v>
      </c>
      <c r="AY3034">
        <f t="shared" si="94"/>
        <v>43</v>
      </c>
      <c r="AZ3034">
        <f t="shared" si="95"/>
        <v>3</v>
      </c>
    </row>
    <row r="3035" spans="1:52" ht="55.2">
      <c r="A3035" s="3" t="s">
        <v>3079</v>
      </c>
      <c r="C3035">
        <v>3</v>
      </c>
      <c r="W3035">
        <v>1</v>
      </c>
      <c r="AY3035">
        <f t="shared" si="94"/>
        <v>43</v>
      </c>
      <c r="AZ3035">
        <f t="shared" si="95"/>
        <v>3</v>
      </c>
    </row>
    <row r="3036" spans="1:52" ht="55.2">
      <c r="A3036" s="3" t="s">
        <v>3080</v>
      </c>
      <c r="C3036">
        <v>3</v>
      </c>
      <c r="W3036">
        <v>1</v>
      </c>
      <c r="AY3036">
        <f t="shared" si="94"/>
        <v>43</v>
      </c>
      <c r="AZ3036">
        <f t="shared" si="95"/>
        <v>3</v>
      </c>
    </row>
    <row r="3037" spans="1:52" ht="55.2">
      <c r="A3037" s="3" t="s">
        <v>3081</v>
      </c>
      <c r="C3037">
        <v>3</v>
      </c>
      <c r="W3037">
        <v>1</v>
      </c>
      <c r="AY3037">
        <f t="shared" si="94"/>
        <v>43</v>
      </c>
      <c r="AZ3037">
        <f t="shared" si="95"/>
        <v>3</v>
      </c>
    </row>
    <row r="3038" spans="1:52" ht="55.2">
      <c r="A3038" s="3" t="s">
        <v>3082</v>
      </c>
      <c r="C3038">
        <v>3</v>
      </c>
      <c r="W3038">
        <v>1</v>
      </c>
      <c r="AY3038">
        <f t="shared" si="94"/>
        <v>43</v>
      </c>
      <c r="AZ3038">
        <f t="shared" si="95"/>
        <v>3</v>
      </c>
    </row>
    <row r="3039" spans="1:52" ht="55.2">
      <c r="A3039" s="3" t="s">
        <v>3083</v>
      </c>
      <c r="C3039">
        <v>3</v>
      </c>
      <c r="W3039">
        <v>1</v>
      </c>
      <c r="AY3039">
        <f t="shared" si="94"/>
        <v>43</v>
      </c>
      <c r="AZ3039">
        <f t="shared" si="95"/>
        <v>3</v>
      </c>
    </row>
    <row r="3040" spans="1:52" ht="55.2">
      <c r="A3040" s="3" t="s">
        <v>3084</v>
      </c>
      <c r="C3040">
        <v>3</v>
      </c>
      <c r="W3040">
        <v>1</v>
      </c>
      <c r="AY3040">
        <f t="shared" si="94"/>
        <v>43</v>
      </c>
      <c r="AZ3040">
        <f t="shared" si="95"/>
        <v>3</v>
      </c>
    </row>
    <row r="3041" spans="1:52" ht="55.2">
      <c r="A3041" s="3" t="s">
        <v>3085</v>
      </c>
      <c r="C3041">
        <v>3</v>
      </c>
      <c r="W3041">
        <v>1</v>
      </c>
      <c r="AY3041">
        <f t="shared" ref="AY3041:AY3104" si="96">COUNTBLANK(F3041:AW3041)</f>
        <v>43</v>
      </c>
      <c r="AZ3041">
        <f t="shared" ref="AZ3041:AZ3104" si="97">COUNTBLANK(B3041:E3041)</f>
        <v>3</v>
      </c>
    </row>
    <row r="3042" spans="1:52" ht="55.2">
      <c r="A3042" s="3" t="s">
        <v>3086</v>
      </c>
      <c r="C3042">
        <v>3</v>
      </c>
      <c r="W3042">
        <v>1</v>
      </c>
      <c r="AY3042">
        <f t="shared" si="96"/>
        <v>43</v>
      </c>
      <c r="AZ3042">
        <f t="shared" si="97"/>
        <v>3</v>
      </c>
    </row>
    <row r="3043" spans="1:52" ht="55.2">
      <c r="A3043" s="3" t="s">
        <v>3087</v>
      </c>
      <c r="C3043">
        <v>3</v>
      </c>
      <c r="W3043">
        <v>1</v>
      </c>
      <c r="AY3043">
        <f t="shared" si="96"/>
        <v>43</v>
      </c>
      <c r="AZ3043">
        <f t="shared" si="97"/>
        <v>3</v>
      </c>
    </row>
    <row r="3044" spans="1:52" ht="55.2">
      <c r="A3044" s="3" t="s">
        <v>3088</v>
      </c>
      <c r="C3044">
        <v>3</v>
      </c>
      <c r="W3044">
        <v>1</v>
      </c>
      <c r="AY3044">
        <f t="shared" si="96"/>
        <v>43</v>
      </c>
      <c r="AZ3044">
        <f t="shared" si="97"/>
        <v>3</v>
      </c>
    </row>
    <row r="3045" spans="1:52" ht="55.2">
      <c r="A3045" s="3" t="s">
        <v>3089</v>
      </c>
      <c r="C3045">
        <v>3</v>
      </c>
      <c r="W3045">
        <v>1</v>
      </c>
      <c r="AY3045">
        <f t="shared" si="96"/>
        <v>43</v>
      </c>
      <c r="AZ3045">
        <f t="shared" si="97"/>
        <v>3</v>
      </c>
    </row>
    <row r="3046" spans="1:52" ht="55.2">
      <c r="A3046" s="3" t="s">
        <v>3090</v>
      </c>
      <c r="C3046">
        <v>3</v>
      </c>
      <c r="W3046">
        <v>1</v>
      </c>
      <c r="AY3046">
        <f t="shared" si="96"/>
        <v>43</v>
      </c>
      <c r="AZ3046">
        <f t="shared" si="97"/>
        <v>3</v>
      </c>
    </row>
    <row r="3047" spans="1:52" ht="55.2">
      <c r="A3047" s="3" t="s">
        <v>3091</v>
      </c>
      <c r="C3047">
        <v>3</v>
      </c>
      <c r="W3047">
        <v>1</v>
      </c>
      <c r="AY3047">
        <f t="shared" si="96"/>
        <v>43</v>
      </c>
      <c r="AZ3047">
        <f t="shared" si="97"/>
        <v>3</v>
      </c>
    </row>
    <row r="3048" spans="1:52" ht="55.2">
      <c r="A3048" s="3" t="s">
        <v>3092</v>
      </c>
      <c r="C3048">
        <v>3</v>
      </c>
      <c r="W3048">
        <v>1</v>
      </c>
      <c r="AY3048">
        <f t="shared" si="96"/>
        <v>43</v>
      </c>
      <c r="AZ3048">
        <f t="shared" si="97"/>
        <v>3</v>
      </c>
    </row>
    <row r="3049" spans="1:52" ht="55.2">
      <c r="A3049" s="3" t="s">
        <v>3093</v>
      </c>
      <c r="C3049">
        <v>3</v>
      </c>
      <c r="W3049">
        <v>1</v>
      </c>
      <c r="AY3049">
        <f t="shared" si="96"/>
        <v>43</v>
      </c>
      <c r="AZ3049">
        <f t="shared" si="97"/>
        <v>3</v>
      </c>
    </row>
    <row r="3050" spans="1:52" ht="55.2">
      <c r="A3050" s="3" t="s">
        <v>3094</v>
      </c>
      <c r="C3050">
        <v>3</v>
      </c>
      <c r="W3050">
        <v>1</v>
      </c>
      <c r="AY3050">
        <f t="shared" si="96"/>
        <v>43</v>
      </c>
      <c r="AZ3050">
        <f t="shared" si="97"/>
        <v>3</v>
      </c>
    </row>
    <row r="3051" spans="1:52" ht="55.2">
      <c r="A3051" s="3" t="s">
        <v>3095</v>
      </c>
      <c r="C3051">
        <v>3</v>
      </c>
      <c r="W3051">
        <v>1</v>
      </c>
      <c r="AY3051">
        <f t="shared" si="96"/>
        <v>43</v>
      </c>
      <c r="AZ3051">
        <f t="shared" si="97"/>
        <v>3</v>
      </c>
    </row>
    <row r="3052" spans="1:52" ht="55.2">
      <c r="A3052" s="3" t="s">
        <v>3096</v>
      </c>
      <c r="C3052">
        <v>3</v>
      </c>
      <c r="W3052">
        <v>1</v>
      </c>
      <c r="AY3052">
        <f t="shared" si="96"/>
        <v>43</v>
      </c>
      <c r="AZ3052">
        <f t="shared" si="97"/>
        <v>3</v>
      </c>
    </row>
    <row r="3053" spans="1:52" ht="55.2">
      <c r="A3053" s="3" t="s">
        <v>3097</v>
      </c>
      <c r="C3053">
        <v>3</v>
      </c>
      <c r="W3053">
        <v>1</v>
      </c>
      <c r="AY3053">
        <f t="shared" si="96"/>
        <v>43</v>
      </c>
      <c r="AZ3053">
        <f t="shared" si="97"/>
        <v>3</v>
      </c>
    </row>
    <row r="3054" spans="1:52" ht="55.2">
      <c r="A3054" s="3" t="s">
        <v>3098</v>
      </c>
      <c r="C3054">
        <v>3</v>
      </c>
      <c r="W3054">
        <v>1</v>
      </c>
      <c r="AY3054">
        <f t="shared" si="96"/>
        <v>43</v>
      </c>
      <c r="AZ3054">
        <f t="shared" si="97"/>
        <v>3</v>
      </c>
    </row>
    <row r="3055" spans="1:52" ht="55.2">
      <c r="A3055" s="3" t="s">
        <v>3099</v>
      </c>
      <c r="C3055">
        <v>3</v>
      </c>
      <c r="W3055">
        <v>1</v>
      </c>
      <c r="AY3055">
        <f t="shared" si="96"/>
        <v>43</v>
      </c>
      <c r="AZ3055">
        <f t="shared" si="97"/>
        <v>3</v>
      </c>
    </row>
    <row r="3056" spans="1:52" ht="55.2">
      <c r="A3056" s="3" t="s">
        <v>3100</v>
      </c>
      <c r="C3056">
        <v>3</v>
      </c>
      <c r="W3056">
        <v>1</v>
      </c>
      <c r="AY3056">
        <f t="shared" si="96"/>
        <v>43</v>
      </c>
      <c r="AZ3056">
        <f t="shared" si="97"/>
        <v>3</v>
      </c>
    </row>
    <row r="3057" spans="1:52" ht="55.2">
      <c r="A3057" s="3" t="s">
        <v>3101</v>
      </c>
      <c r="C3057">
        <v>3</v>
      </c>
      <c r="W3057">
        <v>1</v>
      </c>
      <c r="AY3057">
        <f t="shared" si="96"/>
        <v>43</v>
      </c>
      <c r="AZ3057">
        <f t="shared" si="97"/>
        <v>3</v>
      </c>
    </row>
    <row r="3058" spans="1:52" ht="55.2">
      <c r="A3058" s="3" t="s">
        <v>3102</v>
      </c>
      <c r="C3058">
        <v>3</v>
      </c>
      <c r="W3058">
        <v>1</v>
      </c>
      <c r="AY3058">
        <f t="shared" si="96"/>
        <v>43</v>
      </c>
      <c r="AZ3058">
        <f t="shared" si="97"/>
        <v>3</v>
      </c>
    </row>
    <row r="3059" spans="1:52" ht="55.2">
      <c r="A3059" s="3" t="s">
        <v>3103</v>
      </c>
      <c r="C3059">
        <v>3</v>
      </c>
      <c r="W3059">
        <v>1</v>
      </c>
      <c r="AY3059">
        <f t="shared" si="96"/>
        <v>43</v>
      </c>
      <c r="AZ3059">
        <f t="shared" si="97"/>
        <v>3</v>
      </c>
    </row>
    <row r="3060" spans="1:52" ht="55.2">
      <c r="A3060" s="3" t="s">
        <v>3104</v>
      </c>
      <c r="C3060">
        <v>3</v>
      </c>
      <c r="W3060">
        <v>1</v>
      </c>
      <c r="AY3060">
        <f t="shared" si="96"/>
        <v>43</v>
      </c>
      <c r="AZ3060">
        <f t="shared" si="97"/>
        <v>3</v>
      </c>
    </row>
    <row r="3061" spans="1:52" ht="55.2">
      <c r="A3061" s="3" t="s">
        <v>3105</v>
      </c>
      <c r="C3061">
        <v>3</v>
      </c>
      <c r="W3061">
        <v>1</v>
      </c>
      <c r="AY3061">
        <f t="shared" si="96"/>
        <v>43</v>
      </c>
      <c r="AZ3061">
        <f t="shared" si="97"/>
        <v>3</v>
      </c>
    </row>
    <row r="3062" spans="1:52" ht="55.2">
      <c r="A3062" s="3" t="s">
        <v>3106</v>
      </c>
      <c r="C3062">
        <v>3</v>
      </c>
      <c r="W3062">
        <v>1</v>
      </c>
      <c r="AY3062">
        <f t="shared" si="96"/>
        <v>43</v>
      </c>
      <c r="AZ3062">
        <f t="shared" si="97"/>
        <v>3</v>
      </c>
    </row>
    <row r="3063" spans="1:52" ht="55.2">
      <c r="A3063" s="3" t="s">
        <v>3107</v>
      </c>
      <c r="C3063">
        <v>3</v>
      </c>
      <c r="W3063">
        <v>1</v>
      </c>
      <c r="AY3063">
        <f t="shared" si="96"/>
        <v>43</v>
      </c>
      <c r="AZ3063">
        <f t="shared" si="97"/>
        <v>3</v>
      </c>
    </row>
    <row r="3064" spans="1:52" ht="55.2">
      <c r="A3064" s="3" t="s">
        <v>3108</v>
      </c>
      <c r="C3064">
        <v>3</v>
      </c>
      <c r="W3064">
        <v>1</v>
      </c>
      <c r="AY3064">
        <f t="shared" si="96"/>
        <v>43</v>
      </c>
      <c r="AZ3064">
        <f t="shared" si="97"/>
        <v>3</v>
      </c>
    </row>
    <row r="3065" spans="1:52" ht="55.2">
      <c r="A3065" s="3" t="s">
        <v>3109</v>
      </c>
      <c r="C3065">
        <v>3</v>
      </c>
      <c r="W3065">
        <v>1</v>
      </c>
      <c r="AY3065">
        <f t="shared" si="96"/>
        <v>43</v>
      </c>
      <c r="AZ3065">
        <f t="shared" si="97"/>
        <v>3</v>
      </c>
    </row>
    <row r="3066" spans="1:52" ht="55.2">
      <c r="A3066" s="3" t="s">
        <v>3110</v>
      </c>
      <c r="C3066">
        <v>3</v>
      </c>
      <c r="W3066">
        <v>1</v>
      </c>
      <c r="AY3066">
        <f t="shared" si="96"/>
        <v>43</v>
      </c>
      <c r="AZ3066">
        <f t="shared" si="97"/>
        <v>3</v>
      </c>
    </row>
    <row r="3067" spans="1:52" ht="55.2">
      <c r="A3067" s="3" t="s">
        <v>3111</v>
      </c>
      <c r="C3067">
        <v>3</v>
      </c>
      <c r="W3067">
        <v>1</v>
      </c>
      <c r="AY3067">
        <f t="shared" si="96"/>
        <v>43</v>
      </c>
      <c r="AZ3067">
        <f t="shared" si="97"/>
        <v>3</v>
      </c>
    </row>
    <row r="3068" spans="1:52" ht="55.2">
      <c r="A3068" s="3" t="s">
        <v>3112</v>
      </c>
      <c r="C3068">
        <v>3</v>
      </c>
      <c r="W3068">
        <v>1</v>
      </c>
      <c r="AY3068">
        <f t="shared" si="96"/>
        <v>43</v>
      </c>
      <c r="AZ3068">
        <f t="shared" si="97"/>
        <v>3</v>
      </c>
    </row>
    <row r="3069" spans="1:52" ht="55.2">
      <c r="A3069" s="3" t="s">
        <v>3113</v>
      </c>
      <c r="C3069">
        <v>3</v>
      </c>
      <c r="W3069">
        <v>1</v>
      </c>
      <c r="AY3069">
        <f t="shared" si="96"/>
        <v>43</v>
      </c>
      <c r="AZ3069">
        <f t="shared" si="97"/>
        <v>3</v>
      </c>
    </row>
    <row r="3070" spans="1:52" ht="55.2">
      <c r="A3070" s="3" t="s">
        <v>3114</v>
      </c>
      <c r="C3070">
        <v>3</v>
      </c>
      <c r="W3070">
        <v>1</v>
      </c>
      <c r="AY3070">
        <f t="shared" si="96"/>
        <v>43</v>
      </c>
      <c r="AZ3070">
        <f t="shared" si="97"/>
        <v>3</v>
      </c>
    </row>
    <row r="3071" spans="1:52" ht="55.2">
      <c r="A3071" s="3" t="s">
        <v>3115</v>
      </c>
      <c r="C3071">
        <v>3</v>
      </c>
      <c r="W3071">
        <v>1</v>
      </c>
      <c r="AY3071">
        <f t="shared" si="96"/>
        <v>43</v>
      </c>
      <c r="AZ3071">
        <f t="shared" si="97"/>
        <v>3</v>
      </c>
    </row>
    <row r="3072" spans="1:52" ht="55.2">
      <c r="A3072" s="3" t="s">
        <v>3116</v>
      </c>
      <c r="C3072">
        <v>3</v>
      </c>
      <c r="W3072">
        <v>1</v>
      </c>
      <c r="AY3072">
        <f t="shared" si="96"/>
        <v>43</v>
      </c>
      <c r="AZ3072">
        <f t="shared" si="97"/>
        <v>3</v>
      </c>
    </row>
    <row r="3073" spans="1:52" ht="55.2">
      <c r="A3073" s="3" t="s">
        <v>3117</v>
      </c>
      <c r="C3073">
        <v>3</v>
      </c>
      <c r="W3073">
        <v>1</v>
      </c>
      <c r="AY3073">
        <f t="shared" si="96"/>
        <v>43</v>
      </c>
      <c r="AZ3073">
        <f t="shared" si="97"/>
        <v>3</v>
      </c>
    </row>
    <row r="3074" spans="1:52" ht="55.2">
      <c r="A3074" s="3" t="s">
        <v>3118</v>
      </c>
      <c r="C3074">
        <v>3</v>
      </c>
      <c r="W3074">
        <v>1</v>
      </c>
      <c r="AY3074">
        <f t="shared" si="96"/>
        <v>43</v>
      </c>
      <c r="AZ3074">
        <f t="shared" si="97"/>
        <v>3</v>
      </c>
    </row>
    <row r="3075" spans="1:52" ht="55.2">
      <c r="A3075" s="3" t="s">
        <v>3119</v>
      </c>
      <c r="C3075">
        <v>3</v>
      </c>
      <c r="W3075">
        <v>1</v>
      </c>
      <c r="AY3075">
        <f t="shared" si="96"/>
        <v>43</v>
      </c>
      <c r="AZ3075">
        <f t="shared" si="97"/>
        <v>3</v>
      </c>
    </row>
    <row r="3076" spans="1:52" ht="55.2">
      <c r="A3076" s="3" t="s">
        <v>3120</v>
      </c>
      <c r="C3076">
        <v>3</v>
      </c>
      <c r="W3076">
        <v>1</v>
      </c>
      <c r="AY3076">
        <f t="shared" si="96"/>
        <v>43</v>
      </c>
      <c r="AZ3076">
        <f t="shared" si="97"/>
        <v>3</v>
      </c>
    </row>
    <row r="3077" spans="1:52" ht="55.2">
      <c r="A3077" s="3" t="s">
        <v>3121</v>
      </c>
      <c r="C3077">
        <v>3</v>
      </c>
      <c r="W3077">
        <v>1</v>
      </c>
      <c r="AY3077">
        <f t="shared" si="96"/>
        <v>43</v>
      </c>
      <c r="AZ3077">
        <f t="shared" si="97"/>
        <v>3</v>
      </c>
    </row>
    <row r="3078" spans="1:52" ht="55.2">
      <c r="A3078" s="3" t="s">
        <v>3122</v>
      </c>
      <c r="C3078">
        <v>3</v>
      </c>
      <c r="W3078">
        <v>1</v>
      </c>
      <c r="AY3078">
        <f t="shared" si="96"/>
        <v>43</v>
      </c>
      <c r="AZ3078">
        <f t="shared" si="97"/>
        <v>3</v>
      </c>
    </row>
    <row r="3079" spans="1:52" ht="55.2">
      <c r="A3079" s="3" t="s">
        <v>3123</v>
      </c>
      <c r="C3079">
        <v>3</v>
      </c>
      <c r="W3079">
        <v>1</v>
      </c>
      <c r="AY3079">
        <f t="shared" si="96"/>
        <v>43</v>
      </c>
      <c r="AZ3079">
        <f t="shared" si="97"/>
        <v>3</v>
      </c>
    </row>
    <row r="3080" spans="1:52" ht="55.2">
      <c r="A3080" s="3" t="s">
        <v>3124</v>
      </c>
      <c r="C3080">
        <v>3</v>
      </c>
      <c r="W3080">
        <v>1</v>
      </c>
      <c r="AY3080">
        <f t="shared" si="96"/>
        <v>43</v>
      </c>
      <c r="AZ3080">
        <f t="shared" si="97"/>
        <v>3</v>
      </c>
    </row>
    <row r="3081" spans="1:52" ht="55.2">
      <c r="A3081" s="3" t="s">
        <v>3125</v>
      </c>
      <c r="C3081">
        <v>3</v>
      </c>
      <c r="W3081">
        <v>1</v>
      </c>
      <c r="AY3081">
        <f t="shared" si="96"/>
        <v>43</v>
      </c>
      <c r="AZ3081">
        <f t="shared" si="97"/>
        <v>3</v>
      </c>
    </row>
    <row r="3082" spans="1:52" ht="55.2">
      <c r="A3082" s="3" t="s">
        <v>3126</v>
      </c>
      <c r="C3082">
        <v>3</v>
      </c>
      <c r="K3082">
        <v>7</v>
      </c>
      <c r="AY3082">
        <f t="shared" si="96"/>
        <v>43</v>
      </c>
      <c r="AZ3082">
        <f t="shared" si="97"/>
        <v>3</v>
      </c>
    </row>
    <row r="3083" spans="1:52" ht="55.2">
      <c r="A3083" s="3" t="s">
        <v>3127</v>
      </c>
      <c r="C3083">
        <v>3</v>
      </c>
      <c r="K3083">
        <v>7</v>
      </c>
      <c r="AY3083">
        <f t="shared" si="96"/>
        <v>43</v>
      </c>
      <c r="AZ3083">
        <f t="shared" si="97"/>
        <v>3</v>
      </c>
    </row>
    <row r="3084" spans="1:52" ht="55.2">
      <c r="A3084" s="3" t="s">
        <v>3128</v>
      </c>
      <c r="C3084">
        <v>3</v>
      </c>
      <c r="K3084">
        <v>7</v>
      </c>
      <c r="AY3084">
        <f t="shared" si="96"/>
        <v>43</v>
      </c>
      <c r="AZ3084">
        <f t="shared" si="97"/>
        <v>3</v>
      </c>
    </row>
    <row r="3085" spans="1:52" ht="55.2">
      <c r="A3085" s="3" t="s">
        <v>3129</v>
      </c>
      <c r="C3085">
        <v>3</v>
      </c>
      <c r="K3085">
        <v>7</v>
      </c>
      <c r="AY3085">
        <f t="shared" si="96"/>
        <v>43</v>
      </c>
      <c r="AZ3085">
        <f t="shared" si="97"/>
        <v>3</v>
      </c>
    </row>
    <row r="3086" spans="1:52" ht="55.2">
      <c r="A3086" s="3" t="s">
        <v>3130</v>
      </c>
      <c r="C3086">
        <v>3</v>
      </c>
      <c r="K3086">
        <v>7</v>
      </c>
      <c r="AY3086">
        <f t="shared" si="96"/>
        <v>43</v>
      </c>
      <c r="AZ3086">
        <f t="shared" si="97"/>
        <v>3</v>
      </c>
    </row>
    <row r="3087" spans="1:52" ht="55.2">
      <c r="A3087" s="3" t="s">
        <v>3131</v>
      </c>
      <c r="C3087">
        <v>3</v>
      </c>
      <c r="K3087">
        <v>7</v>
      </c>
      <c r="AY3087">
        <f t="shared" si="96"/>
        <v>43</v>
      </c>
      <c r="AZ3087">
        <f t="shared" si="97"/>
        <v>3</v>
      </c>
    </row>
    <row r="3088" spans="1:52" ht="55.2">
      <c r="A3088" s="3" t="s">
        <v>3132</v>
      </c>
      <c r="C3088">
        <v>3</v>
      </c>
      <c r="K3088">
        <v>7</v>
      </c>
      <c r="AY3088">
        <f t="shared" si="96"/>
        <v>43</v>
      </c>
      <c r="AZ3088">
        <f t="shared" si="97"/>
        <v>3</v>
      </c>
    </row>
    <row r="3089" spans="1:52" ht="55.2">
      <c r="A3089" s="3" t="s">
        <v>3133</v>
      </c>
      <c r="C3089">
        <v>3</v>
      </c>
      <c r="K3089">
        <v>7</v>
      </c>
      <c r="AY3089">
        <f t="shared" si="96"/>
        <v>43</v>
      </c>
      <c r="AZ3089">
        <f t="shared" si="97"/>
        <v>3</v>
      </c>
    </row>
    <row r="3090" spans="1:52" ht="55.2">
      <c r="A3090" s="3" t="s">
        <v>3134</v>
      </c>
      <c r="C3090">
        <v>3</v>
      </c>
      <c r="K3090">
        <v>7</v>
      </c>
      <c r="AY3090">
        <f t="shared" si="96"/>
        <v>43</v>
      </c>
      <c r="AZ3090">
        <f t="shared" si="97"/>
        <v>3</v>
      </c>
    </row>
    <row r="3091" spans="1:52" ht="55.2">
      <c r="A3091" s="3" t="s">
        <v>3135</v>
      </c>
      <c r="C3091">
        <v>3</v>
      </c>
      <c r="K3091">
        <v>7</v>
      </c>
      <c r="AY3091">
        <f t="shared" si="96"/>
        <v>43</v>
      </c>
      <c r="AZ3091">
        <f t="shared" si="97"/>
        <v>3</v>
      </c>
    </row>
    <row r="3092" spans="1:52" ht="55.2">
      <c r="A3092" s="3" t="s">
        <v>3136</v>
      </c>
      <c r="C3092">
        <v>3</v>
      </c>
      <c r="K3092">
        <v>7</v>
      </c>
      <c r="AY3092">
        <f t="shared" si="96"/>
        <v>43</v>
      </c>
      <c r="AZ3092">
        <f t="shared" si="97"/>
        <v>3</v>
      </c>
    </row>
    <row r="3093" spans="1:52" ht="55.2">
      <c r="A3093" s="3" t="s">
        <v>3137</v>
      </c>
      <c r="C3093">
        <v>3</v>
      </c>
      <c r="K3093">
        <v>7</v>
      </c>
      <c r="AY3093">
        <f t="shared" si="96"/>
        <v>43</v>
      </c>
      <c r="AZ3093">
        <f t="shared" si="97"/>
        <v>3</v>
      </c>
    </row>
    <row r="3094" spans="1:52" ht="55.2">
      <c r="A3094" s="3" t="s">
        <v>3138</v>
      </c>
      <c r="C3094">
        <v>3</v>
      </c>
      <c r="K3094">
        <v>7</v>
      </c>
      <c r="AY3094">
        <f t="shared" si="96"/>
        <v>43</v>
      </c>
      <c r="AZ3094">
        <f t="shared" si="97"/>
        <v>3</v>
      </c>
    </row>
    <row r="3095" spans="1:52" ht="55.2">
      <c r="A3095" s="3" t="s">
        <v>3139</v>
      </c>
      <c r="C3095">
        <v>3</v>
      </c>
      <c r="K3095">
        <v>7</v>
      </c>
      <c r="AY3095">
        <f t="shared" si="96"/>
        <v>43</v>
      </c>
      <c r="AZ3095">
        <f t="shared" si="97"/>
        <v>3</v>
      </c>
    </row>
    <row r="3096" spans="1:52" ht="55.2">
      <c r="A3096" s="3" t="s">
        <v>3140</v>
      </c>
      <c r="C3096">
        <v>3</v>
      </c>
      <c r="K3096">
        <v>7</v>
      </c>
      <c r="AY3096">
        <f t="shared" si="96"/>
        <v>43</v>
      </c>
      <c r="AZ3096">
        <f t="shared" si="97"/>
        <v>3</v>
      </c>
    </row>
    <row r="3097" spans="1:52" ht="55.2">
      <c r="A3097" s="3" t="s">
        <v>3141</v>
      </c>
      <c r="C3097">
        <v>3</v>
      </c>
      <c r="K3097">
        <v>7</v>
      </c>
      <c r="AY3097">
        <f t="shared" si="96"/>
        <v>43</v>
      </c>
      <c r="AZ3097">
        <f t="shared" si="97"/>
        <v>3</v>
      </c>
    </row>
    <row r="3098" spans="1:52" ht="55.2">
      <c r="A3098" s="3" t="s">
        <v>3142</v>
      </c>
      <c r="C3098">
        <v>3</v>
      </c>
      <c r="K3098">
        <v>7</v>
      </c>
      <c r="AY3098">
        <f t="shared" si="96"/>
        <v>43</v>
      </c>
      <c r="AZ3098">
        <f t="shared" si="97"/>
        <v>3</v>
      </c>
    </row>
    <row r="3099" spans="1:52" ht="55.2">
      <c r="A3099" s="3" t="s">
        <v>3143</v>
      </c>
      <c r="C3099">
        <v>3</v>
      </c>
      <c r="K3099">
        <v>7</v>
      </c>
      <c r="AY3099">
        <f t="shared" si="96"/>
        <v>43</v>
      </c>
      <c r="AZ3099">
        <f t="shared" si="97"/>
        <v>3</v>
      </c>
    </row>
    <row r="3100" spans="1:52" ht="55.2">
      <c r="A3100" s="3" t="s">
        <v>3144</v>
      </c>
      <c r="C3100">
        <v>3</v>
      </c>
      <c r="K3100">
        <v>7</v>
      </c>
      <c r="AY3100">
        <f t="shared" si="96"/>
        <v>43</v>
      </c>
      <c r="AZ3100">
        <f t="shared" si="97"/>
        <v>3</v>
      </c>
    </row>
    <row r="3101" spans="1:52" ht="55.2">
      <c r="A3101" s="3" t="s">
        <v>3145</v>
      </c>
      <c r="C3101">
        <v>3</v>
      </c>
      <c r="K3101">
        <v>7</v>
      </c>
      <c r="AY3101">
        <f t="shared" si="96"/>
        <v>43</v>
      </c>
      <c r="AZ3101">
        <f t="shared" si="97"/>
        <v>3</v>
      </c>
    </row>
    <row r="3102" spans="1:52" ht="55.2">
      <c r="A3102" s="3" t="s">
        <v>3146</v>
      </c>
      <c r="C3102">
        <v>3</v>
      </c>
      <c r="K3102">
        <v>7</v>
      </c>
      <c r="AY3102">
        <f t="shared" si="96"/>
        <v>43</v>
      </c>
      <c r="AZ3102">
        <f t="shared" si="97"/>
        <v>3</v>
      </c>
    </row>
    <row r="3103" spans="1:52" ht="55.2">
      <c r="A3103" s="3" t="s">
        <v>3147</v>
      </c>
      <c r="C3103">
        <v>3</v>
      </c>
      <c r="K3103">
        <v>7</v>
      </c>
      <c r="AY3103">
        <f t="shared" si="96"/>
        <v>43</v>
      </c>
      <c r="AZ3103">
        <f t="shared" si="97"/>
        <v>3</v>
      </c>
    </row>
    <row r="3104" spans="1:52" ht="55.2">
      <c r="A3104" s="3" t="s">
        <v>3148</v>
      </c>
      <c r="C3104">
        <v>3</v>
      </c>
      <c r="K3104">
        <v>7</v>
      </c>
      <c r="AY3104">
        <f t="shared" si="96"/>
        <v>43</v>
      </c>
      <c r="AZ3104">
        <f t="shared" si="97"/>
        <v>3</v>
      </c>
    </row>
    <row r="3105" spans="1:52" ht="55.2">
      <c r="A3105" s="3" t="s">
        <v>3149</v>
      </c>
      <c r="C3105">
        <v>3</v>
      </c>
      <c r="AV3105">
        <v>6</v>
      </c>
      <c r="AY3105">
        <f t="shared" ref="AY3105:AY3168" si="98">COUNTBLANK(F3105:AW3105)</f>
        <v>43</v>
      </c>
      <c r="AZ3105">
        <f t="shared" ref="AZ3105:AZ3168" si="99">COUNTBLANK(B3105:E3105)</f>
        <v>3</v>
      </c>
    </row>
    <row r="3106" spans="1:52" ht="55.2">
      <c r="A3106" s="3" t="s">
        <v>3150</v>
      </c>
      <c r="C3106">
        <v>3</v>
      </c>
      <c r="AV3106">
        <v>6</v>
      </c>
      <c r="AY3106">
        <f t="shared" si="98"/>
        <v>43</v>
      </c>
      <c r="AZ3106">
        <f t="shared" si="99"/>
        <v>3</v>
      </c>
    </row>
    <row r="3107" spans="1:52" ht="55.2">
      <c r="A3107" s="3" t="s">
        <v>3151</v>
      </c>
      <c r="C3107">
        <v>3</v>
      </c>
      <c r="AV3107">
        <v>6</v>
      </c>
      <c r="AY3107">
        <f t="shared" si="98"/>
        <v>43</v>
      </c>
      <c r="AZ3107">
        <f t="shared" si="99"/>
        <v>3</v>
      </c>
    </row>
    <row r="3108" spans="1:52" ht="55.2">
      <c r="A3108" s="3" t="s">
        <v>3152</v>
      </c>
      <c r="C3108">
        <v>3</v>
      </c>
      <c r="AV3108">
        <v>6</v>
      </c>
      <c r="AY3108">
        <f t="shared" si="98"/>
        <v>43</v>
      </c>
      <c r="AZ3108">
        <f t="shared" si="99"/>
        <v>3</v>
      </c>
    </row>
    <row r="3109" spans="1:52" ht="55.2">
      <c r="A3109" s="3" t="s">
        <v>3153</v>
      </c>
      <c r="C3109">
        <v>3</v>
      </c>
      <c r="AV3109">
        <v>6</v>
      </c>
      <c r="AY3109">
        <f t="shared" si="98"/>
        <v>43</v>
      </c>
      <c r="AZ3109">
        <f t="shared" si="99"/>
        <v>3</v>
      </c>
    </row>
    <row r="3110" spans="1:52" ht="55.2">
      <c r="A3110" s="3" t="s">
        <v>3154</v>
      </c>
      <c r="C3110">
        <v>3</v>
      </c>
      <c r="AV3110">
        <v>6</v>
      </c>
      <c r="AY3110">
        <f t="shared" si="98"/>
        <v>43</v>
      </c>
      <c r="AZ3110">
        <f t="shared" si="99"/>
        <v>3</v>
      </c>
    </row>
    <row r="3111" spans="1:52" ht="55.2">
      <c r="A3111" s="3" t="s">
        <v>3155</v>
      </c>
      <c r="C3111">
        <v>3</v>
      </c>
      <c r="AV3111">
        <v>6</v>
      </c>
      <c r="AY3111">
        <f t="shared" si="98"/>
        <v>43</v>
      </c>
      <c r="AZ3111">
        <f t="shared" si="99"/>
        <v>3</v>
      </c>
    </row>
    <row r="3112" spans="1:52" ht="55.2">
      <c r="A3112" s="3" t="s">
        <v>3156</v>
      </c>
      <c r="C3112">
        <v>3</v>
      </c>
      <c r="AV3112">
        <v>6</v>
      </c>
      <c r="AY3112">
        <f t="shared" si="98"/>
        <v>43</v>
      </c>
      <c r="AZ3112">
        <f t="shared" si="99"/>
        <v>3</v>
      </c>
    </row>
    <row r="3113" spans="1:52" ht="55.2">
      <c r="A3113" s="3" t="s">
        <v>3157</v>
      </c>
      <c r="C3113">
        <v>3</v>
      </c>
      <c r="AV3113">
        <v>6</v>
      </c>
      <c r="AY3113">
        <f t="shared" si="98"/>
        <v>43</v>
      </c>
      <c r="AZ3113">
        <f t="shared" si="99"/>
        <v>3</v>
      </c>
    </row>
    <row r="3114" spans="1:52" ht="55.2">
      <c r="A3114" s="3" t="s">
        <v>3158</v>
      </c>
      <c r="C3114">
        <v>3</v>
      </c>
      <c r="AV3114">
        <v>6</v>
      </c>
      <c r="AY3114">
        <f t="shared" si="98"/>
        <v>43</v>
      </c>
      <c r="AZ3114">
        <f t="shared" si="99"/>
        <v>3</v>
      </c>
    </row>
    <row r="3115" spans="1:52" ht="55.2">
      <c r="A3115" s="3" t="s">
        <v>3159</v>
      </c>
      <c r="C3115">
        <v>3</v>
      </c>
      <c r="AV3115">
        <v>6</v>
      </c>
      <c r="AY3115">
        <f t="shared" si="98"/>
        <v>43</v>
      </c>
      <c r="AZ3115">
        <f t="shared" si="99"/>
        <v>3</v>
      </c>
    </row>
    <row r="3116" spans="1:52" ht="55.2">
      <c r="A3116" s="3" t="s">
        <v>3160</v>
      </c>
      <c r="C3116">
        <v>3</v>
      </c>
      <c r="AV3116">
        <v>6</v>
      </c>
      <c r="AY3116">
        <f t="shared" si="98"/>
        <v>43</v>
      </c>
      <c r="AZ3116">
        <f t="shared" si="99"/>
        <v>3</v>
      </c>
    </row>
    <row r="3117" spans="1:52" ht="55.2">
      <c r="A3117" s="3" t="s">
        <v>3161</v>
      </c>
      <c r="C3117">
        <v>3</v>
      </c>
      <c r="AV3117">
        <v>6</v>
      </c>
      <c r="AY3117">
        <f t="shared" si="98"/>
        <v>43</v>
      </c>
      <c r="AZ3117">
        <f t="shared" si="99"/>
        <v>3</v>
      </c>
    </row>
    <row r="3118" spans="1:52" ht="55.2">
      <c r="A3118" s="3" t="s">
        <v>3162</v>
      </c>
      <c r="C3118">
        <v>3</v>
      </c>
      <c r="AV3118">
        <v>6</v>
      </c>
      <c r="AY3118">
        <f t="shared" si="98"/>
        <v>43</v>
      </c>
      <c r="AZ3118">
        <f t="shared" si="99"/>
        <v>3</v>
      </c>
    </row>
    <row r="3119" spans="1:52" ht="55.2">
      <c r="A3119" s="3" t="s">
        <v>3163</v>
      </c>
      <c r="C3119">
        <v>3</v>
      </c>
      <c r="AV3119">
        <v>6</v>
      </c>
      <c r="AY3119">
        <f t="shared" si="98"/>
        <v>43</v>
      </c>
      <c r="AZ3119">
        <f t="shared" si="99"/>
        <v>3</v>
      </c>
    </row>
    <row r="3120" spans="1:52" ht="55.2">
      <c r="A3120" s="3" t="s">
        <v>3164</v>
      </c>
      <c r="C3120">
        <v>3</v>
      </c>
      <c r="AV3120">
        <v>6</v>
      </c>
      <c r="AY3120">
        <f t="shared" si="98"/>
        <v>43</v>
      </c>
      <c r="AZ3120">
        <f t="shared" si="99"/>
        <v>3</v>
      </c>
    </row>
    <row r="3121" spans="1:52" ht="55.2">
      <c r="A3121" s="3" t="s">
        <v>3165</v>
      </c>
      <c r="C3121">
        <v>3</v>
      </c>
      <c r="AV3121">
        <v>6</v>
      </c>
      <c r="AY3121">
        <f t="shared" si="98"/>
        <v>43</v>
      </c>
      <c r="AZ3121">
        <f t="shared" si="99"/>
        <v>3</v>
      </c>
    </row>
    <row r="3122" spans="1:52" ht="55.2">
      <c r="A3122" s="3" t="s">
        <v>3166</v>
      </c>
      <c r="C3122">
        <v>3</v>
      </c>
      <c r="AV3122">
        <v>6</v>
      </c>
      <c r="AY3122">
        <f t="shared" si="98"/>
        <v>43</v>
      </c>
      <c r="AZ3122">
        <f t="shared" si="99"/>
        <v>3</v>
      </c>
    </row>
    <row r="3123" spans="1:52" ht="55.2">
      <c r="A3123" s="3" t="s">
        <v>3167</v>
      </c>
      <c r="C3123">
        <v>3</v>
      </c>
      <c r="AV3123">
        <v>6</v>
      </c>
      <c r="AY3123">
        <f t="shared" si="98"/>
        <v>43</v>
      </c>
      <c r="AZ3123">
        <f t="shared" si="99"/>
        <v>3</v>
      </c>
    </row>
    <row r="3124" spans="1:52" ht="55.2">
      <c r="A3124" s="3" t="s">
        <v>3168</v>
      </c>
      <c r="C3124">
        <v>3</v>
      </c>
      <c r="AV3124">
        <v>6</v>
      </c>
      <c r="AY3124">
        <f t="shared" si="98"/>
        <v>43</v>
      </c>
      <c r="AZ3124">
        <f t="shared" si="99"/>
        <v>3</v>
      </c>
    </row>
    <row r="3125" spans="1:52" ht="55.2">
      <c r="A3125" s="3" t="s">
        <v>3169</v>
      </c>
      <c r="C3125">
        <v>3</v>
      </c>
      <c r="AV3125">
        <v>6</v>
      </c>
      <c r="AY3125">
        <f t="shared" si="98"/>
        <v>43</v>
      </c>
      <c r="AZ3125">
        <f t="shared" si="99"/>
        <v>3</v>
      </c>
    </row>
    <row r="3126" spans="1:52" ht="55.2">
      <c r="A3126" s="3" t="s">
        <v>3170</v>
      </c>
      <c r="C3126">
        <v>3</v>
      </c>
      <c r="AV3126">
        <v>6</v>
      </c>
      <c r="AY3126">
        <f t="shared" si="98"/>
        <v>43</v>
      </c>
      <c r="AZ3126">
        <f t="shared" si="99"/>
        <v>3</v>
      </c>
    </row>
    <row r="3127" spans="1:52" ht="55.2">
      <c r="A3127" s="3" t="s">
        <v>3171</v>
      </c>
      <c r="C3127">
        <v>3</v>
      </c>
      <c r="L3127">
        <v>3</v>
      </c>
      <c r="AY3127">
        <f t="shared" si="98"/>
        <v>43</v>
      </c>
      <c r="AZ3127">
        <f t="shared" si="99"/>
        <v>3</v>
      </c>
    </row>
    <row r="3128" spans="1:52" ht="55.2">
      <c r="A3128" s="3" t="s">
        <v>3172</v>
      </c>
      <c r="C3128">
        <v>3</v>
      </c>
      <c r="L3128">
        <v>3</v>
      </c>
      <c r="AY3128">
        <f t="shared" si="98"/>
        <v>43</v>
      </c>
      <c r="AZ3128">
        <f t="shared" si="99"/>
        <v>3</v>
      </c>
    </row>
    <row r="3129" spans="1:52" ht="55.2">
      <c r="A3129" s="3" t="s">
        <v>3173</v>
      </c>
      <c r="C3129">
        <v>3</v>
      </c>
      <c r="L3129">
        <v>3</v>
      </c>
      <c r="AY3129">
        <f t="shared" si="98"/>
        <v>43</v>
      </c>
      <c r="AZ3129">
        <f t="shared" si="99"/>
        <v>3</v>
      </c>
    </row>
    <row r="3130" spans="1:52" ht="55.2">
      <c r="A3130" s="3" t="s">
        <v>3174</v>
      </c>
      <c r="C3130">
        <v>3</v>
      </c>
      <c r="L3130">
        <v>3</v>
      </c>
      <c r="AY3130">
        <f t="shared" si="98"/>
        <v>43</v>
      </c>
      <c r="AZ3130">
        <f t="shared" si="99"/>
        <v>3</v>
      </c>
    </row>
    <row r="3131" spans="1:52" ht="55.2">
      <c r="A3131" s="3" t="s">
        <v>3175</v>
      </c>
      <c r="C3131">
        <v>3</v>
      </c>
      <c r="L3131">
        <v>3</v>
      </c>
      <c r="AY3131">
        <f t="shared" si="98"/>
        <v>43</v>
      </c>
      <c r="AZ3131">
        <f t="shared" si="99"/>
        <v>3</v>
      </c>
    </row>
    <row r="3132" spans="1:52" ht="55.2">
      <c r="A3132" s="3" t="s">
        <v>3176</v>
      </c>
      <c r="C3132">
        <v>3</v>
      </c>
      <c r="L3132">
        <v>3</v>
      </c>
      <c r="AY3132">
        <f t="shared" si="98"/>
        <v>43</v>
      </c>
      <c r="AZ3132">
        <f t="shared" si="99"/>
        <v>3</v>
      </c>
    </row>
    <row r="3133" spans="1:52" ht="55.2">
      <c r="A3133" s="3" t="s">
        <v>3177</v>
      </c>
      <c r="C3133">
        <v>3</v>
      </c>
      <c r="L3133">
        <v>3</v>
      </c>
      <c r="AY3133">
        <f t="shared" si="98"/>
        <v>43</v>
      </c>
      <c r="AZ3133">
        <f t="shared" si="99"/>
        <v>3</v>
      </c>
    </row>
    <row r="3134" spans="1:52" ht="55.2">
      <c r="A3134" s="3" t="s">
        <v>3178</v>
      </c>
      <c r="C3134">
        <v>3</v>
      </c>
      <c r="L3134">
        <v>3</v>
      </c>
      <c r="AY3134">
        <f t="shared" si="98"/>
        <v>43</v>
      </c>
      <c r="AZ3134">
        <f t="shared" si="99"/>
        <v>3</v>
      </c>
    </row>
    <row r="3135" spans="1:52" ht="55.2">
      <c r="A3135" s="3" t="s">
        <v>3179</v>
      </c>
      <c r="C3135">
        <v>3</v>
      </c>
      <c r="L3135">
        <v>3</v>
      </c>
      <c r="AY3135">
        <f t="shared" si="98"/>
        <v>43</v>
      </c>
      <c r="AZ3135">
        <f t="shared" si="99"/>
        <v>3</v>
      </c>
    </row>
    <row r="3136" spans="1:52" ht="55.2">
      <c r="A3136" s="3" t="s">
        <v>3180</v>
      </c>
      <c r="C3136">
        <v>3</v>
      </c>
      <c r="G3136">
        <v>3</v>
      </c>
      <c r="L3136">
        <v>3</v>
      </c>
      <c r="AY3136">
        <f t="shared" si="98"/>
        <v>42</v>
      </c>
      <c r="AZ3136">
        <f t="shared" si="99"/>
        <v>3</v>
      </c>
    </row>
    <row r="3137" spans="1:52" ht="55.2">
      <c r="A3137" s="3" t="s">
        <v>3181</v>
      </c>
      <c r="C3137">
        <v>3</v>
      </c>
      <c r="G3137">
        <v>3</v>
      </c>
      <c r="L3137">
        <v>3</v>
      </c>
      <c r="AY3137">
        <f t="shared" si="98"/>
        <v>42</v>
      </c>
      <c r="AZ3137">
        <f t="shared" si="99"/>
        <v>3</v>
      </c>
    </row>
    <row r="3138" spans="1:52" ht="55.2">
      <c r="A3138" s="3" t="s">
        <v>3182</v>
      </c>
      <c r="C3138">
        <v>3</v>
      </c>
      <c r="G3138">
        <v>3</v>
      </c>
      <c r="L3138">
        <v>3</v>
      </c>
      <c r="AY3138">
        <f t="shared" si="98"/>
        <v>42</v>
      </c>
      <c r="AZ3138">
        <f t="shared" si="99"/>
        <v>3</v>
      </c>
    </row>
    <row r="3139" spans="1:52" ht="55.2">
      <c r="A3139" s="3" t="s">
        <v>3183</v>
      </c>
      <c r="C3139">
        <v>3</v>
      </c>
      <c r="AV3139">
        <v>7</v>
      </c>
      <c r="AY3139">
        <f t="shared" si="98"/>
        <v>43</v>
      </c>
      <c r="AZ3139">
        <f t="shared" si="99"/>
        <v>3</v>
      </c>
    </row>
    <row r="3140" spans="1:52" ht="55.2">
      <c r="A3140" s="3" t="s">
        <v>3184</v>
      </c>
      <c r="C3140">
        <v>3</v>
      </c>
      <c r="AV3140">
        <v>7</v>
      </c>
      <c r="AY3140">
        <f t="shared" si="98"/>
        <v>43</v>
      </c>
      <c r="AZ3140">
        <f t="shared" si="99"/>
        <v>3</v>
      </c>
    </row>
    <row r="3141" spans="1:52" ht="55.2">
      <c r="A3141" s="3" t="s">
        <v>3185</v>
      </c>
      <c r="C3141">
        <v>3</v>
      </c>
      <c r="AV3141">
        <v>7</v>
      </c>
      <c r="AY3141">
        <f t="shared" si="98"/>
        <v>43</v>
      </c>
      <c r="AZ3141">
        <f t="shared" si="99"/>
        <v>3</v>
      </c>
    </row>
    <row r="3142" spans="1:52" ht="55.2">
      <c r="A3142" s="3" t="s">
        <v>3186</v>
      </c>
      <c r="C3142">
        <v>3</v>
      </c>
      <c r="AV3142">
        <v>7</v>
      </c>
      <c r="AY3142">
        <f t="shared" si="98"/>
        <v>43</v>
      </c>
      <c r="AZ3142">
        <f t="shared" si="99"/>
        <v>3</v>
      </c>
    </row>
    <row r="3143" spans="1:52" ht="55.2">
      <c r="A3143" s="3" t="s">
        <v>3187</v>
      </c>
      <c r="C3143">
        <v>3</v>
      </c>
      <c r="AV3143">
        <v>7</v>
      </c>
      <c r="AY3143">
        <f t="shared" si="98"/>
        <v>43</v>
      </c>
      <c r="AZ3143">
        <f t="shared" si="99"/>
        <v>3</v>
      </c>
    </row>
    <row r="3144" spans="1:52" ht="55.2">
      <c r="A3144" s="3" t="s">
        <v>3188</v>
      </c>
      <c r="C3144">
        <v>3</v>
      </c>
      <c r="AV3144">
        <v>7</v>
      </c>
      <c r="AY3144">
        <f t="shared" si="98"/>
        <v>43</v>
      </c>
      <c r="AZ3144">
        <f t="shared" si="99"/>
        <v>3</v>
      </c>
    </row>
    <row r="3145" spans="1:52" ht="55.2">
      <c r="A3145" s="3" t="s">
        <v>3189</v>
      </c>
      <c r="C3145">
        <v>3</v>
      </c>
      <c r="AV3145">
        <v>7</v>
      </c>
      <c r="AY3145">
        <f t="shared" si="98"/>
        <v>43</v>
      </c>
      <c r="AZ3145">
        <f t="shared" si="99"/>
        <v>3</v>
      </c>
    </row>
    <row r="3146" spans="1:52" ht="55.2">
      <c r="A3146" s="3" t="s">
        <v>3190</v>
      </c>
      <c r="C3146">
        <v>3</v>
      </c>
      <c r="AV3146">
        <v>7</v>
      </c>
      <c r="AY3146">
        <f t="shared" si="98"/>
        <v>43</v>
      </c>
      <c r="AZ3146">
        <f t="shared" si="99"/>
        <v>3</v>
      </c>
    </row>
    <row r="3147" spans="1:52" ht="55.2">
      <c r="A3147" s="3" t="s">
        <v>3191</v>
      </c>
      <c r="C3147">
        <v>3</v>
      </c>
      <c r="L3147">
        <v>4</v>
      </c>
      <c r="AY3147">
        <f t="shared" si="98"/>
        <v>43</v>
      </c>
      <c r="AZ3147">
        <f t="shared" si="99"/>
        <v>3</v>
      </c>
    </row>
    <row r="3148" spans="1:52" ht="55.2">
      <c r="A3148" s="3" t="s">
        <v>3192</v>
      </c>
      <c r="C3148">
        <v>3</v>
      </c>
      <c r="L3148">
        <v>4</v>
      </c>
      <c r="AY3148">
        <f t="shared" si="98"/>
        <v>43</v>
      </c>
      <c r="AZ3148">
        <f t="shared" si="99"/>
        <v>3</v>
      </c>
    </row>
    <row r="3149" spans="1:52" ht="55.2">
      <c r="A3149" s="3" t="s">
        <v>3193</v>
      </c>
      <c r="C3149">
        <v>3</v>
      </c>
      <c r="L3149">
        <v>4</v>
      </c>
      <c r="AY3149">
        <f t="shared" si="98"/>
        <v>43</v>
      </c>
      <c r="AZ3149">
        <f t="shared" si="99"/>
        <v>3</v>
      </c>
    </row>
    <row r="3150" spans="1:52" ht="55.2">
      <c r="A3150" s="3" t="s">
        <v>3194</v>
      </c>
      <c r="C3150">
        <v>3</v>
      </c>
      <c r="L3150">
        <v>4</v>
      </c>
      <c r="AY3150">
        <f t="shared" si="98"/>
        <v>43</v>
      </c>
      <c r="AZ3150">
        <f t="shared" si="99"/>
        <v>3</v>
      </c>
    </row>
    <row r="3151" spans="1:52" ht="55.2">
      <c r="A3151" s="3" t="s">
        <v>3195</v>
      </c>
      <c r="C3151">
        <v>3</v>
      </c>
      <c r="L3151">
        <v>4</v>
      </c>
      <c r="AY3151">
        <f t="shared" si="98"/>
        <v>43</v>
      </c>
      <c r="AZ3151">
        <f t="shared" si="99"/>
        <v>3</v>
      </c>
    </row>
    <row r="3152" spans="1:52" ht="55.2">
      <c r="A3152" s="3" t="s">
        <v>3196</v>
      </c>
      <c r="C3152">
        <v>3</v>
      </c>
      <c r="L3152">
        <v>4</v>
      </c>
      <c r="AY3152">
        <f t="shared" si="98"/>
        <v>43</v>
      </c>
      <c r="AZ3152">
        <f t="shared" si="99"/>
        <v>3</v>
      </c>
    </row>
    <row r="3153" spans="1:52" ht="55.2">
      <c r="A3153" s="3" t="s">
        <v>3197</v>
      </c>
      <c r="C3153">
        <v>3</v>
      </c>
      <c r="L3153">
        <v>4</v>
      </c>
      <c r="AY3153">
        <f t="shared" si="98"/>
        <v>43</v>
      </c>
      <c r="AZ3153">
        <f t="shared" si="99"/>
        <v>3</v>
      </c>
    </row>
    <row r="3154" spans="1:52" ht="55.2">
      <c r="A3154" s="3" t="s">
        <v>3198</v>
      </c>
      <c r="C3154">
        <v>3</v>
      </c>
      <c r="L3154">
        <v>4</v>
      </c>
      <c r="AY3154">
        <f t="shared" si="98"/>
        <v>43</v>
      </c>
      <c r="AZ3154">
        <f t="shared" si="99"/>
        <v>3</v>
      </c>
    </row>
    <row r="3155" spans="1:52" ht="55.2">
      <c r="A3155" s="3" t="s">
        <v>3199</v>
      </c>
      <c r="C3155">
        <v>3</v>
      </c>
      <c r="L3155">
        <v>4</v>
      </c>
      <c r="AY3155">
        <f t="shared" si="98"/>
        <v>43</v>
      </c>
      <c r="AZ3155">
        <f t="shared" si="99"/>
        <v>3</v>
      </c>
    </row>
    <row r="3156" spans="1:52" ht="55.2">
      <c r="A3156" s="3" t="s">
        <v>3200</v>
      </c>
      <c r="C3156">
        <v>3</v>
      </c>
      <c r="L3156">
        <v>4</v>
      </c>
      <c r="AY3156">
        <f t="shared" si="98"/>
        <v>43</v>
      </c>
      <c r="AZ3156">
        <f t="shared" si="99"/>
        <v>3</v>
      </c>
    </row>
    <row r="3157" spans="1:52" ht="55.2">
      <c r="A3157" s="3" t="s">
        <v>3201</v>
      </c>
      <c r="C3157">
        <v>3</v>
      </c>
      <c r="L3157">
        <v>4</v>
      </c>
      <c r="AY3157">
        <f t="shared" si="98"/>
        <v>43</v>
      </c>
      <c r="AZ3157">
        <f t="shared" si="99"/>
        <v>3</v>
      </c>
    </row>
    <row r="3158" spans="1:52" ht="55.2">
      <c r="A3158" s="3" t="s">
        <v>3202</v>
      </c>
      <c r="C3158">
        <v>3</v>
      </c>
      <c r="L3158">
        <v>4</v>
      </c>
      <c r="AY3158">
        <f t="shared" si="98"/>
        <v>43</v>
      </c>
      <c r="AZ3158">
        <f t="shared" si="99"/>
        <v>3</v>
      </c>
    </row>
    <row r="3159" spans="1:52" ht="55.2">
      <c r="A3159" s="3" t="s">
        <v>3203</v>
      </c>
      <c r="C3159">
        <v>3</v>
      </c>
      <c r="L3159">
        <v>4</v>
      </c>
      <c r="AY3159">
        <f t="shared" si="98"/>
        <v>43</v>
      </c>
      <c r="AZ3159">
        <f t="shared" si="99"/>
        <v>3</v>
      </c>
    </row>
    <row r="3160" spans="1:52" ht="55.2">
      <c r="A3160" s="3" t="s">
        <v>3204</v>
      </c>
      <c r="C3160">
        <v>3</v>
      </c>
      <c r="L3160">
        <v>4</v>
      </c>
      <c r="AY3160">
        <f t="shared" si="98"/>
        <v>43</v>
      </c>
      <c r="AZ3160">
        <f t="shared" si="99"/>
        <v>3</v>
      </c>
    </row>
    <row r="3161" spans="1:52" ht="55.2">
      <c r="A3161" s="3" t="s">
        <v>3205</v>
      </c>
      <c r="C3161">
        <v>3</v>
      </c>
      <c r="L3161">
        <v>4</v>
      </c>
      <c r="AY3161">
        <f t="shared" si="98"/>
        <v>43</v>
      </c>
      <c r="AZ3161">
        <f t="shared" si="99"/>
        <v>3</v>
      </c>
    </row>
    <row r="3162" spans="1:52" ht="55.2">
      <c r="A3162" s="3" t="s">
        <v>3206</v>
      </c>
      <c r="C3162">
        <v>3</v>
      </c>
      <c r="L3162">
        <v>4</v>
      </c>
      <c r="AY3162">
        <f t="shared" si="98"/>
        <v>43</v>
      </c>
      <c r="AZ3162">
        <f t="shared" si="99"/>
        <v>3</v>
      </c>
    </row>
    <row r="3163" spans="1:52" ht="55.2">
      <c r="A3163" s="3" t="s">
        <v>3207</v>
      </c>
      <c r="C3163">
        <v>3</v>
      </c>
      <c r="D3163">
        <v>3</v>
      </c>
      <c r="L3163">
        <v>4</v>
      </c>
      <c r="AY3163">
        <f t="shared" si="98"/>
        <v>43</v>
      </c>
      <c r="AZ3163">
        <f t="shared" si="99"/>
        <v>2</v>
      </c>
    </row>
    <row r="3164" spans="1:52" ht="55.2">
      <c r="A3164" s="3" t="s">
        <v>3208</v>
      </c>
      <c r="C3164">
        <v>3</v>
      </c>
      <c r="D3164">
        <v>3</v>
      </c>
      <c r="L3164">
        <v>4</v>
      </c>
      <c r="AY3164">
        <f t="shared" si="98"/>
        <v>43</v>
      </c>
      <c r="AZ3164">
        <f t="shared" si="99"/>
        <v>2</v>
      </c>
    </row>
    <row r="3165" spans="1:52" ht="55.2">
      <c r="A3165" s="3" t="s">
        <v>3209</v>
      </c>
      <c r="C3165">
        <v>3</v>
      </c>
      <c r="D3165">
        <v>3</v>
      </c>
      <c r="J3165">
        <v>26</v>
      </c>
      <c r="AY3165">
        <f t="shared" si="98"/>
        <v>43</v>
      </c>
      <c r="AZ3165">
        <f t="shared" si="99"/>
        <v>2</v>
      </c>
    </row>
    <row r="3166" spans="1:52" ht="55.2">
      <c r="A3166" s="3" t="s">
        <v>3210</v>
      </c>
      <c r="C3166">
        <v>3</v>
      </c>
      <c r="D3166">
        <v>3</v>
      </c>
      <c r="J3166">
        <v>26</v>
      </c>
      <c r="AY3166">
        <f t="shared" si="98"/>
        <v>43</v>
      </c>
      <c r="AZ3166">
        <f t="shared" si="99"/>
        <v>2</v>
      </c>
    </row>
    <row r="3167" spans="1:52" ht="55.2">
      <c r="A3167" s="3" t="s">
        <v>3211</v>
      </c>
      <c r="C3167">
        <v>3</v>
      </c>
      <c r="D3167">
        <v>3</v>
      </c>
      <c r="J3167">
        <v>26</v>
      </c>
      <c r="AY3167">
        <f t="shared" si="98"/>
        <v>43</v>
      </c>
      <c r="AZ3167">
        <f t="shared" si="99"/>
        <v>2</v>
      </c>
    </row>
    <row r="3168" spans="1:52" ht="55.2">
      <c r="A3168" s="3" t="s">
        <v>3212</v>
      </c>
      <c r="C3168">
        <v>3</v>
      </c>
      <c r="D3168">
        <v>3</v>
      </c>
      <c r="J3168">
        <v>26</v>
      </c>
      <c r="AY3168">
        <f t="shared" si="98"/>
        <v>43</v>
      </c>
      <c r="AZ3168">
        <f t="shared" si="99"/>
        <v>2</v>
      </c>
    </row>
    <row r="3169" spans="1:52" ht="55.2">
      <c r="A3169" s="3" t="s">
        <v>3213</v>
      </c>
      <c r="C3169">
        <v>3</v>
      </c>
      <c r="D3169">
        <v>3</v>
      </c>
      <c r="J3169">
        <v>26</v>
      </c>
      <c r="AY3169">
        <f t="shared" ref="AY3169:AY3232" si="100">COUNTBLANK(F3169:AW3169)</f>
        <v>43</v>
      </c>
      <c r="AZ3169">
        <f t="shared" ref="AZ3169:AZ3232" si="101">COUNTBLANK(B3169:E3169)</f>
        <v>2</v>
      </c>
    </row>
    <row r="3170" spans="1:52" ht="55.2">
      <c r="A3170" s="3" t="s">
        <v>3214</v>
      </c>
      <c r="C3170">
        <v>3</v>
      </c>
      <c r="D3170">
        <v>3</v>
      </c>
      <c r="J3170">
        <v>26</v>
      </c>
      <c r="AY3170">
        <f t="shared" si="100"/>
        <v>43</v>
      </c>
      <c r="AZ3170">
        <f t="shared" si="101"/>
        <v>2</v>
      </c>
    </row>
    <row r="3171" spans="1:52" ht="55.2">
      <c r="A3171" s="3" t="s">
        <v>3215</v>
      </c>
      <c r="C3171">
        <v>3</v>
      </c>
      <c r="D3171">
        <v>3</v>
      </c>
      <c r="J3171">
        <v>26</v>
      </c>
      <c r="AY3171">
        <f t="shared" si="100"/>
        <v>43</v>
      </c>
      <c r="AZ3171">
        <f t="shared" si="101"/>
        <v>2</v>
      </c>
    </row>
    <row r="3172" spans="1:52" ht="55.2">
      <c r="A3172" s="3" t="s">
        <v>3216</v>
      </c>
      <c r="D3172">
        <v>3</v>
      </c>
      <c r="J3172">
        <v>26</v>
      </c>
      <c r="AY3172">
        <f t="shared" si="100"/>
        <v>43</v>
      </c>
      <c r="AZ3172">
        <f t="shared" si="101"/>
        <v>3</v>
      </c>
    </row>
    <row r="3173" spans="1:52" ht="55.2">
      <c r="A3173" s="3" t="s">
        <v>3217</v>
      </c>
      <c r="D3173">
        <v>3</v>
      </c>
      <c r="J3173">
        <v>26</v>
      </c>
      <c r="AY3173">
        <f t="shared" si="100"/>
        <v>43</v>
      </c>
      <c r="AZ3173">
        <f t="shared" si="101"/>
        <v>3</v>
      </c>
    </row>
    <row r="3174" spans="1:52" ht="55.2">
      <c r="A3174" s="3" t="s">
        <v>3218</v>
      </c>
      <c r="D3174">
        <v>3</v>
      </c>
      <c r="J3174">
        <v>26</v>
      </c>
      <c r="AY3174">
        <f t="shared" si="100"/>
        <v>43</v>
      </c>
      <c r="AZ3174">
        <f t="shared" si="101"/>
        <v>3</v>
      </c>
    </row>
    <row r="3175" spans="1:52" ht="55.2">
      <c r="A3175" s="3" t="s">
        <v>3219</v>
      </c>
      <c r="D3175">
        <v>3</v>
      </c>
      <c r="J3175">
        <v>26</v>
      </c>
      <c r="AY3175">
        <f t="shared" si="100"/>
        <v>43</v>
      </c>
      <c r="AZ3175">
        <f t="shared" si="101"/>
        <v>3</v>
      </c>
    </row>
    <row r="3176" spans="1:52" ht="55.2">
      <c r="A3176" s="3" t="s">
        <v>3220</v>
      </c>
      <c r="D3176">
        <v>3</v>
      </c>
      <c r="J3176">
        <v>26</v>
      </c>
      <c r="AY3176">
        <f t="shared" si="100"/>
        <v>43</v>
      </c>
      <c r="AZ3176">
        <f t="shared" si="101"/>
        <v>3</v>
      </c>
    </row>
    <row r="3177" spans="1:52" ht="55.2">
      <c r="A3177" s="3" t="s">
        <v>3221</v>
      </c>
      <c r="D3177">
        <v>3</v>
      </c>
      <c r="J3177">
        <v>26</v>
      </c>
      <c r="AY3177">
        <f t="shared" si="100"/>
        <v>43</v>
      </c>
      <c r="AZ3177">
        <f t="shared" si="101"/>
        <v>3</v>
      </c>
    </row>
    <row r="3178" spans="1:52" ht="55.2">
      <c r="A3178" s="3" t="s">
        <v>3222</v>
      </c>
      <c r="D3178">
        <v>3</v>
      </c>
      <c r="J3178">
        <v>26</v>
      </c>
      <c r="AY3178">
        <f t="shared" si="100"/>
        <v>43</v>
      </c>
      <c r="AZ3178">
        <f t="shared" si="101"/>
        <v>3</v>
      </c>
    </row>
    <row r="3179" spans="1:52" ht="55.2">
      <c r="A3179" s="3" t="s">
        <v>3223</v>
      </c>
      <c r="D3179">
        <v>3</v>
      </c>
      <c r="J3179">
        <v>26</v>
      </c>
      <c r="AY3179">
        <f t="shared" si="100"/>
        <v>43</v>
      </c>
      <c r="AZ3179">
        <f t="shared" si="101"/>
        <v>3</v>
      </c>
    </row>
    <row r="3180" spans="1:52" ht="55.2">
      <c r="A3180" s="3" t="s">
        <v>3224</v>
      </c>
      <c r="D3180">
        <v>3</v>
      </c>
      <c r="J3180">
        <v>26</v>
      </c>
      <c r="AY3180">
        <f t="shared" si="100"/>
        <v>43</v>
      </c>
      <c r="AZ3180">
        <f t="shared" si="101"/>
        <v>3</v>
      </c>
    </row>
    <row r="3181" spans="1:52" ht="55.2">
      <c r="A3181" s="3" t="s">
        <v>3225</v>
      </c>
      <c r="D3181">
        <v>3</v>
      </c>
      <c r="J3181">
        <v>26</v>
      </c>
      <c r="AY3181">
        <f t="shared" si="100"/>
        <v>43</v>
      </c>
      <c r="AZ3181">
        <f t="shared" si="101"/>
        <v>3</v>
      </c>
    </row>
    <row r="3182" spans="1:52" ht="55.2">
      <c r="A3182" s="3" t="s">
        <v>3226</v>
      </c>
      <c r="D3182">
        <v>3</v>
      </c>
      <c r="J3182">
        <v>26</v>
      </c>
      <c r="AY3182">
        <f t="shared" si="100"/>
        <v>43</v>
      </c>
      <c r="AZ3182">
        <f t="shared" si="101"/>
        <v>3</v>
      </c>
    </row>
    <row r="3183" spans="1:52" ht="55.2">
      <c r="A3183" s="3" t="s">
        <v>3227</v>
      </c>
      <c r="D3183">
        <v>3</v>
      </c>
      <c r="J3183">
        <v>26</v>
      </c>
      <c r="AY3183">
        <f t="shared" si="100"/>
        <v>43</v>
      </c>
      <c r="AZ3183">
        <f t="shared" si="101"/>
        <v>3</v>
      </c>
    </row>
    <row r="3184" spans="1:52" ht="55.2">
      <c r="A3184" s="3" t="s">
        <v>3228</v>
      </c>
      <c r="D3184">
        <v>3</v>
      </c>
      <c r="J3184">
        <v>26</v>
      </c>
      <c r="AY3184">
        <f t="shared" si="100"/>
        <v>43</v>
      </c>
      <c r="AZ3184">
        <f t="shared" si="101"/>
        <v>3</v>
      </c>
    </row>
    <row r="3185" spans="1:52" ht="55.2">
      <c r="A3185" s="3" t="s">
        <v>3229</v>
      </c>
      <c r="D3185">
        <v>3</v>
      </c>
      <c r="J3185">
        <v>26</v>
      </c>
      <c r="AY3185">
        <f t="shared" si="100"/>
        <v>43</v>
      </c>
      <c r="AZ3185">
        <f t="shared" si="101"/>
        <v>3</v>
      </c>
    </row>
    <row r="3186" spans="1:52" ht="55.2">
      <c r="A3186" s="3" t="s">
        <v>3230</v>
      </c>
      <c r="D3186">
        <v>3</v>
      </c>
      <c r="J3186">
        <v>26</v>
      </c>
      <c r="AY3186">
        <f t="shared" si="100"/>
        <v>43</v>
      </c>
      <c r="AZ3186">
        <f t="shared" si="101"/>
        <v>3</v>
      </c>
    </row>
    <row r="3187" spans="1:52" ht="55.2">
      <c r="A3187" s="3" t="s">
        <v>3231</v>
      </c>
      <c r="D3187">
        <v>3</v>
      </c>
      <c r="J3187">
        <v>26</v>
      </c>
      <c r="AY3187">
        <f t="shared" si="100"/>
        <v>43</v>
      </c>
      <c r="AZ3187">
        <f t="shared" si="101"/>
        <v>3</v>
      </c>
    </row>
    <row r="3188" spans="1:52" ht="55.2">
      <c r="A3188" s="3" t="s">
        <v>3232</v>
      </c>
      <c r="D3188">
        <v>3</v>
      </c>
      <c r="J3188">
        <v>26</v>
      </c>
      <c r="AY3188">
        <f t="shared" si="100"/>
        <v>43</v>
      </c>
      <c r="AZ3188">
        <f t="shared" si="101"/>
        <v>3</v>
      </c>
    </row>
    <row r="3189" spans="1:52" ht="55.2">
      <c r="A3189" s="3" t="s">
        <v>3233</v>
      </c>
      <c r="D3189">
        <v>3</v>
      </c>
      <c r="J3189">
        <v>26</v>
      </c>
      <c r="AY3189">
        <f t="shared" si="100"/>
        <v>43</v>
      </c>
      <c r="AZ3189">
        <f t="shared" si="101"/>
        <v>3</v>
      </c>
    </row>
    <row r="3190" spans="1:52" ht="55.2">
      <c r="A3190" s="3" t="s">
        <v>3234</v>
      </c>
      <c r="D3190">
        <v>3</v>
      </c>
      <c r="J3190">
        <v>26</v>
      </c>
      <c r="AY3190">
        <f t="shared" si="100"/>
        <v>43</v>
      </c>
      <c r="AZ3190">
        <f t="shared" si="101"/>
        <v>3</v>
      </c>
    </row>
    <row r="3191" spans="1:52" ht="55.2">
      <c r="A3191" s="3" t="s">
        <v>3235</v>
      </c>
      <c r="D3191">
        <v>3</v>
      </c>
      <c r="J3191">
        <v>26</v>
      </c>
      <c r="AY3191">
        <f t="shared" si="100"/>
        <v>43</v>
      </c>
      <c r="AZ3191">
        <f t="shared" si="101"/>
        <v>3</v>
      </c>
    </row>
    <row r="3192" spans="1:52" ht="55.2">
      <c r="A3192" s="3" t="s">
        <v>3236</v>
      </c>
      <c r="D3192">
        <v>3</v>
      </c>
      <c r="J3192">
        <v>26</v>
      </c>
      <c r="AY3192">
        <f t="shared" si="100"/>
        <v>43</v>
      </c>
      <c r="AZ3192">
        <f t="shared" si="101"/>
        <v>3</v>
      </c>
    </row>
    <row r="3193" spans="1:52" ht="55.2">
      <c r="A3193" s="3" t="s">
        <v>3237</v>
      </c>
      <c r="D3193">
        <v>3</v>
      </c>
      <c r="J3193">
        <v>26</v>
      </c>
      <c r="AY3193">
        <f t="shared" si="100"/>
        <v>43</v>
      </c>
      <c r="AZ3193">
        <f t="shared" si="101"/>
        <v>3</v>
      </c>
    </row>
    <row r="3194" spans="1:52" ht="55.2">
      <c r="A3194" s="3" t="s">
        <v>3238</v>
      </c>
      <c r="D3194">
        <v>3</v>
      </c>
      <c r="J3194">
        <v>26</v>
      </c>
      <c r="AY3194">
        <f t="shared" si="100"/>
        <v>43</v>
      </c>
      <c r="AZ3194">
        <f t="shared" si="101"/>
        <v>3</v>
      </c>
    </row>
    <row r="3195" spans="1:52" ht="55.2">
      <c r="A3195" s="3" t="s">
        <v>3239</v>
      </c>
      <c r="D3195">
        <v>3</v>
      </c>
      <c r="J3195">
        <v>26</v>
      </c>
      <c r="AY3195">
        <f t="shared" si="100"/>
        <v>43</v>
      </c>
      <c r="AZ3195">
        <f t="shared" si="101"/>
        <v>3</v>
      </c>
    </row>
    <row r="3196" spans="1:52" ht="55.2">
      <c r="A3196" s="3" t="s">
        <v>3240</v>
      </c>
      <c r="D3196">
        <v>3</v>
      </c>
      <c r="J3196">
        <v>26</v>
      </c>
      <c r="AY3196">
        <f t="shared" si="100"/>
        <v>43</v>
      </c>
      <c r="AZ3196">
        <f t="shared" si="101"/>
        <v>3</v>
      </c>
    </row>
    <row r="3197" spans="1:52" ht="55.2">
      <c r="A3197" s="3" t="s">
        <v>3241</v>
      </c>
      <c r="D3197">
        <v>3</v>
      </c>
      <c r="J3197">
        <v>26</v>
      </c>
      <c r="AY3197">
        <f t="shared" si="100"/>
        <v>43</v>
      </c>
      <c r="AZ3197">
        <f t="shared" si="101"/>
        <v>3</v>
      </c>
    </row>
    <row r="3198" spans="1:52" ht="55.2">
      <c r="A3198" s="3" t="s">
        <v>3242</v>
      </c>
      <c r="D3198">
        <v>3</v>
      </c>
      <c r="J3198">
        <v>26</v>
      </c>
      <c r="AY3198">
        <f t="shared" si="100"/>
        <v>43</v>
      </c>
      <c r="AZ3198">
        <f t="shared" si="101"/>
        <v>3</v>
      </c>
    </row>
    <row r="3199" spans="1:52" ht="55.2">
      <c r="A3199" s="3" t="s">
        <v>3243</v>
      </c>
      <c r="D3199">
        <v>3</v>
      </c>
      <c r="J3199">
        <v>26</v>
      </c>
      <c r="AY3199">
        <f t="shared" si="100"/>
        <v>43</v>
      </c>
      <c r="AZ3199">
        <f t="shared" si="101"/>
        <v>3</v>
      </c>
    </row>
    <row r="3200" spans="1:52" ht="55.2">
      <c r="A3200" s="3" t="s">
        <v>3244</v>
      </c>
      <c r="D3200">
        <v>3</v>
      </c>
      <c r="J3200">
        <v>26</v>
      </c>
      <c r="AY3200">
        <f t="shared" si="100"/>
        <v>43</v>
      </c>
      <c r="AZ3200">
        <f t="shared" si="101"/>
        <v>3</v>
      </c>
    </row>
    <row r="3201" spans="1:52" ht="55.2">
      <c r="A3201" s="3" t="s">
        <v>3245</v>
      </c>
      <c r="D3201">
        <v>3</v>
      </c>
      <c r="J3201">
        <v>26</v>
      </c>
      <c r="AY3201">
        <f t="shared" si="100"/>
        <v>43</v>
      </c>
      <c r="AZ3201">
        <f t="shared" si="101"/>
        <v>3</v>
      </c>
    </row>
    <row r="3202" spans="1:52" ht="55.2">
      <c r="A3202" s="3" t="s">
        <v>3246</v>
      </c>
      <c r="D3202">
        <v>3</v>
      </c>
      <c r="J3202">
        <v>26</v>
      </c>
      <c r="AY3202">
        <f t="shared" si="100"/>
        <v>43</v>
      </c>
      <c r="AZ3202">
        <f t="shared" si="101"/>
        <v>3</v>
      </c>
    </row>
    <row r="3203" spans="1:52" ht="55.2">
      <c r="A3203" s="3" t="s">
        <v>3247</v>
      </c>
      <c r="D3203">
        <v>3</v>
      </c>
      <c r="J3203">
        <v>26</v>
      </c>
      <c r="AY3203">
        <f t="shared" si="100"/>
        <v>43</v>
      </c>
      <c r="AZ3203">
        <f t="shared" si="101"/>
        <v>3</v>
      </c>
    </row>
    <row r="3204" spans="1:52" ht="55.2">
      <c r="A3204" s="3" t="s">
        <v>3248</v>
      </c>
      <c r="D3204">
        <v>3</v>
      </c>
      <c r="E3204">
        <v>4</v>
      </c>
      <c r="J3204">
        <v>26</v>
      </c>
      <c r="AY3204">
        <f t="shared" si="100"/>
        <v>43</v>
      </c>
      <c r="AZ3204">
        <f t="shared" si="101"/>
        <v>2</v>
      </c>
    </row>
    <row r="3205" spans="1:52" ht="55.2">
      <c r="A3205" s="3" t="s">
        <v>3249</v>
      </c>
      <c r="D3205">
        <v>3</v>
      </c>
      <c r="E3205">
        <v>4</v>
      </c>
      <c r="J3205">
        <v>26</v>
      </c>
      <c r="AY3205">
        <f t="shared" si="100"/>
        <v>43</v>
      </c>
      <c r="AZ3205">
        <f t="shared" si="101"/>
        <v>2</v>
      </c>
    </row>
    <row r="3206" spans="1:52" ht="55.2">
      <c r="A3206" s="3" t="s">
        <v>3250</v>
      </c>
      <c r="D3206">
        <v>3</v>
      </c>
      <c r="E3206">
        <v>4</v>
      </c>
      <c r="J3206">
        <v>26</v>
      </c>
      <c r="AY3206">
        <f t="shared" si="100"/>
        <v>43</v>
      </c>
      <c r="AZ3206">
        <f t="shared" si="101"/>
        <v>2</v>
      </c>
    </row>
    <row r="3207" spans="1:52" ht="55.2">
      <c r="A3207" s="3" t="s">
        <v>3251</v>
      </c>
      <c r="D3207">
        <v>3</v>
      </c>
      <c r="E3207">
        <v>4</v>
      </c>
      <c r="J3207">
        <v>26</v>
      </c>
      <c r="AY3207">
        <f t="shared" si="100"/>
        <v>43</v>
      </c>
      <c r="AZ3207">
        <f t="shared" si="101"/>
        <v>2</v>
      </c>
    </row>
    <row r="3208" spans="1:52" ht="55.2">
      <c r="A3208" s="3" t="s">
        <v>3252</v>
      </c>
      <c r="D3208">
        <v>3</v>
      </c>
      <c r="E3208">
        <v>4</v>
      </c>
      <c r="J3208">
        <v>26</v>
      </c>
      <c r="AY3208">
        <f t="shared" si="100"/>
        <v>43</v>
      </c>
      <c r="AZ3208">
        <f t="shared" si="101"/>
        <v>2</v>
      </c>
    </row>
    <row r="3209" spans="1:52" ht="55.2">
      <c r="A3209" s="3" t="s">
        <v>3253</v>
      </c>
      <c r="D3209">
        <v>3</v>
      </c>
      <c r="E3209">
        <v>4</v>
      </c>
      <c r="J3209">
        <v>26</v>
      </c>
      <c r="AY3209">
        <f t="shared" si="100"/>
        <v>43</v>
      </c>
      <c r="AZ3209">
        <f t="shared" si="101"/>
        <v>2</v>
      </c>
    </row>
    <row r="3210" spans="1:52" ht="55.2">
      <c r="A3210" s="3" t="s">
        <v>3254</v>
      </c>
      <c r="D3210">
        <v>3</v>
      </c>
      <c r="E3210">
        <v>4</v>
      </c>
      <c r="J3210">
        <v>26</v>
      </c>
      <c r="AY3210">
        <f t="shared" si="100"/>
        <v>43</v>
      </c>
      <c r="AZ3210">
        <f t="shared" si="101"/>
        <v>2</v>
      </c>
    </row>
    <row r="3211" spans="1:52" ht="55.2">
      <c r="A3211" s="3" t="s">
        <v>3255</v>
      </c>
      <c r="D3211">
        <v>3</v>
      </c>
      <c r="E3211">
        <v>4</v>
      </c>
      <c r="J3211">
        <v>26</v>
      </c>
      <c r="AY3211">
        <f t="shared" si="100"/>
        <v>43</v>
      </c>
      <c r="AZ3211">
        <f t="shared" si="101"/>
        <v>2</v>
      </c>
    </row>
    <row r="3212" spans="1:52" ht="55.2">
      <c r="A3212" s="3" t="s">
        <v>3256</v>
      </c>
      <c r="D3212">
        <v>3</v>
      </c>
      <c r="E3212">
        <v>4</v>
      </c>
      <c r="J3212">
        <v>26</v>
      </c>
      <c r="AY3212">
        <f t="shared" si="100"/>
        <v>43</v>
      </c>
      <c r="AZ3212">
        <f t="shared" si="101"/>
        <v>2</v>
      </c>
    </row>
    <row r="3213" spans="1:52" ht="55.2">
      <c r="A3213" s="3" t="s">
        <v>3257</v>
      </c>
      <c r="D3213">
        <v>3</v>
      </c>
      <c r="E3213">
        <v>4</v>
      </c>
      <c r="J3213">
        <v>26</v>
      </c>
      <c r="AY3213">
        <f t="shared" si="100"/>
        <v>43</v>
      </c>
      <c r="AZ3213">
        <f t="shared" si="101"/>
        <v>2</v>
      </c>
    </row>
    <row r="3214" spans="1:52" ht="55.2">
      <c r="A3214" s="3" t="s">
        <v>3258</v>
      </c>
      <c r="D3214">
        <v>3</v>
      </c>
      <c r="E3214">
        <v>4</v>
      </c>
      <c r="J3214">
        <v>26</v>
      </c>
      <c r="AY3214">
        <f t="shared" si="100"/>
        <v>43</v>
      </c>
      <c r="AZ3214">
        <f t="shared" si="101"/>
        <v>2</v>
      </c>
    </row>
    <row r="3215" spans="1:52" ht="55.2">
      <c r="A3215" s="3" t="s">
        <v>3259</v>
      </c>
      <c r="D3215">
        <v>3</v>
      </c>
      <c r="E3215">
        <v>4</v>
      </c>
      <c r="J3215">
        <v>26</v>
      </c>
      <c r="AY3215">
        <f t="shared" si="100"/>
        <v>43</v>
      </c>
      <c r="AZ3215">
        <f t="shared" si="101"/>
        <v>2</v>
      </c>
    </row>
    <row r="3216" spans="1:52" ht="55.2">
      <c r="A3216" s="3" t="s">
        <v>3260</v>
      </c>
      <c r="E3216">
        <v>4</v>
      </c>
      <c r="J3216">
        <v>26</v>
      </c>
      <c r="AY3216">
        <f t="shared" si="100"/>
        <v>43</v>
      </c>
      <c r="AZ3216">
        <f t="shared" si="101"/>
        <v>3</v>
      </c>
    </row>
    <row r="3217" spans="1:52" ht="55.2">
      <c r="A3217" s="3" t="s">
        <v>3261</v>
      </c>
      <c r="E3217">
        <v>4</v>
      </c>
      <c r="J3217">
        <v>26</v>
      </c>
      <c r="AY3217">
        <f t="shared" si="100"/>
        <v>43</v>
      </c>
      <c r="AZ3217">
        <f t="shared" si="101"/>
        <v>3</v>
      </c>
    </row>
    <row r="3218" spans="1:52" ht="55.2">
      <c r="A3218" s="3" t="s">
        <v>3262</v>
      </c>
      <c r="E3218">
        <v>4</v>
      </c>
      <c r="J3218">
        <v>26</v>
      </c>
      <c r="AY3218">
        <f t="shared" si="100"/>
        <v>43</v>
      </c>
      <c r="AZ3218">
        <f t="shared" si="101"/>
        <v>3</v>
      </c>
    </row>
    <row r="3219" spans="1:52" ht="55.2">
      <c r="A3219" s="3" t="s">
        <v>3263</v>
      </c>
      <c r="E3219">
        <v>4</v>
      </c>
      <c r="AU3219">
        <v>2</v>
      </c>
      <c r="AY3219">
        <f t="shared" si="100"/>
        <v>43</v>
      </c>
      <c r="AZ3219">
        <f t="shared" si="101"/>
        <v>3</v>
      </c>
    </row>
    <row r="3220" spans="1:52" ht="55.2">
      <c r="A3220" s="3" t="s">
        <v>3264</v>
      </c>
      <c r="E3220">
        <v>4</v>
      </c>
      <c r="AU3220">
        <v>2</v>
      </c>
      <c r="AY3220">
        <f t="shared" si="100"/>
        <v>43</v>
      </c>
      <c r="AZ3220">
        <f t="shared" si="101"/>
        <v>3</v>
      </c>
    </row>
    <row r="3221" spans="1:52" ht="55.2">
      <c r="A3221" s="3" t="s">
        <v>3265</v>
      </c>
      <c r="E3221">
        <v>4</v>
      </c>
      <c r="AU3221">
        <v>2</v>
      </c>
      <c r="AY3221">
        <f t="shared" si="100"/>
        <v>43</v>
      </c>
      <c r="AZ3221">
        <f t="shared" si="101"/>
        <v>3</v>
      </c>
    </row>
    <row r="3222" spans="1:52" ht="55.2">
      <c r="A3222" s="3" t="s">
        <v>3266</v>
      </c>
      <c r="E3222">
        <v>4</v>
      </c>
      <c r="AU3222">
        <v>2</v>
      </c>
      <c r="AY3222">
        <f t="shared" si="100"/>
        <v>43</v>
      </c>
      <c r="AZ3222">
        <f t="shared" si="101"/>
        <v>3</v>
      </c>
    </row>
    <row r="3223" spans="1:52" ht="55.2">
      <c r="A3223" s="3" t="s">
        <v>3267</v>
      </c>
      <c r="E3223">
        <v>4</v>
      </c>
      <c r="AU3223">
        <v>2</v>
      </c>
      <c r="AY3223">
        <f t="shared" si="100"/>
        <v>43</v>
      </c>
      <c r="AZ3223">
        <f t="shared" si="101"/>
        <v>3</v>
      </c>
    </row>
    <row r="3224" spans="1:52" ht="55.2">
      <c r="A3224" s="3" t="s">
        <v>3268</v>
      </c>
      <c r="E3224">
        <v>4</v>
      </c>
      <c r="AU3224">
        <v>2</v>
      </c>
      <c r="AY3224">
        <f t="shared" si="100"/>
        <v>43</v>
      </c>
      <c r="AZ3224">
        <f t="shared" si="101"/>
        <v>3</v>
      </c>
    </row>
    <row r="3225" spans="1:52" ht="55.2">
      <c r="A3225" s="3" t="s">
        <v>3269</v>
      </c>
      <c r="E3225">
        <v>4</v>
      </c>
      <c r="AU3225">
        <v>2</v>
      </c>
      <c r="AY3225">
        <f t="shared" si="100"/>
        <v>43</v>
      </c>
      <c r="AZ3225">
        <f t="shared" si="101"/>
        <v>3</v>
      </c>
    </row>
    <row r="3226" spans="1:52" ht="55.2">
      <c r="A3226" s="3" t="s">
        <v>3270</v>
      </c>
      <c r="E3226">
        <v>4</v>
      </c>
      <c r="AJ3226">
        <v>1</v>
      </c>
      <c r="AY3226">
        <f t="shared" si="100"/>
        <v>43</v>
      </c>
      <c r="AZ3226">
        <f t="shared" si="101"/>
        <v>3</v>
      </c>
    </row>
    <row r="3227" spans="1:52" ht="55.2">
      <c r="A3227" s="3" t="s">
        <v>3271</v>
      </c>
      <c r="E3227">
        <v>4</v>
      </c>
      <c r="AJ3227">
        <v>1</v>
      </c>
      <c r="AY3227">
        <f t="shared" si="100"/>
        <v>43</v>
      </c>
      <c r="AZ3227">
        <f t="shared" si="101"/>
        <v>3</v>
      </c>
    </row>
    <row r="3228" spans="1:52" ht="55.2">
      <c r="A3228" s="3" t="s">
        <v>3272</v>
      </c>
      <c r="E3228">
        <v>4</v>
      </c>
      <c r="AJ3228">
        <v>1</v>
      </c>
      <c r="AY3228">
        <f t="shared" si="100"/>
        <v>43</v>
      </c>
      <c r="AZ3228">
        <f t="shared" si="101"/>
        <v>3</v>
      </c>
    </row>
    <row r="3229" spans="1:52" ht="55.2">
      <c r="A3229" s="3" t="s">
        <v>3273</v>
      </c>
      <c r="E3229">
        <v>4</v>
      </c>
      <c r="AJ3229">
        <v>1</v>
      </c>
      <c r="AY3229">
        <f t="shared" si="100"/>
        <v>43</v>
      </c>
      <c r="AZ3229">
        <f t="shared" si="101"/>
        <v>3</v>
      </c>
    </row>
    <row r="3230" spans="1:52" ht="55.2">
      <c r="A3230" s="3" t="s">
        <v>3274</v>
      </c>
      <c r="E3230">
        <v>4</v>
      </c>
      <c r="AJ3230">
        <v>1</v>
      </c>
      <c r="AY3230">
        <f t="shared" si="100"/>
        <v>43</v>
      </c>
      <c r="AZ3230">
        <f t="shared" si="101"/>
        <v>3</v>
      </c>
    </row>
    <row r="3231" spans="1:52" ht="55.2">
      <c r="A3231" s="3" t="s">
        <v>3275</v>
      </c>
      <c r="E3231">
        <v>4</v>
      </c>
      <c r="AJ3231">
        <v>1</v>
      </c>
      <c r="AY3231">
        <f t="shared" si="100"/>
        <v>43</v>
      </c>
      <c r="AZ3231">
        <f t="shared" si="101"/>
        <v>3</v>
      </c>
    </row>
    <row r="3232" spans="1:52" ht="55.2">
      <c r="A3232" s="3" t="s">
        <v>3276</v>
      </c>
      <c r="E3232">
        <v>4</v>
      </c>
      <c r="AW3232">
        <v>4</v>
      </c>
      <c r="AY3232">
        <f t="shared" si="100"/>
        <v>43</v>
      </c>
      <c r="AZ3232">
        <f t="shared" si="101"/>
        <v>3</v>
      </c>
    </row>
    <row r="3233" spans="1:52" ht="55.2">
      <c r="A3233" s="3" t="s">
        <v>3277</v>
      </c>
      <c r="E3233">
        <v>4</v>
      </c>
      <c r="AW3233">
        <v>4</v>
      </c>
      <c r="AY3233">
        <f t="shared" ref="AY3233:AY3296" si="102">COUNTBLANK(F3233:AW3233)</f>
        <v>43</v>
      </c>
      <c r="AZ3233">
        <f t="shared" ref="AZ3233:AZ3296" si="103">COUNTBLANK(B3233:E3233)</f>
        <v>3</v>
      </c>
    </row>
    <row r="3234" spans="1:52" ht="55.2">
      <c r="A3234" s="3" t="s">
        <v>3278</v>
      </c>
      <c r="E3234">
        <v>4</v>
      </c>
      <c r="AW3234">
        <v>4</v>
      </c>
      <c r="AY3234">
        <f t="shared" si="102"/>
        <v>43</v>
      </c>
      <c r="AZ3234">
        <f t="shared" si="103"/>
        <v>3</v>
      </c>
    </row>
    <row r="3235" spans="1:52" ht="55.2">
      <c r="A3235" s="3" t="s">
        <v>3279</v>
      </c>
      <c r="E3235">
        <v>4</v>
      </c>
      <c r="J3235">
        <v>27</v>
      </c>
      <c r="AY3235">
        <f t="shared" si="102"/>
        <v>43</v>
      </c>
      <c r="AZ3235">
        <f t="shared" si="103"/>
        <v>3</v>
      </c>
    </row>
    <row r="3236" spans="1:52" ht="55.2">
      <c r="A3236" s="3" t="s">
        <v>3280</v>
      </c>
      <c r="E3236">
        <v>4</v>
      </c>
      <c r="J3236">
        <v>27</v>
      </c>
      <c r="AY3236">
        <f t="shared" si="102"/>
        <v>43</v>
      </c>
      <c r="AZ3236">
        <f t="shared" si="103"/>
        <v>3</v>
      </c>
    </row>
    <row r="3237" spans="1:52" ht="55.2">
      <c r="A3237" s="3" t="s">
        <v>3281</v>
      </c>
      <c r="E3237">
        <v>4</v>
      </c>
      <c r="J3237">
        <v>27</v>
      </c>
      <c r="AY3237">
        <f t="shared" si="102"/>
        <v>43</v>
      </c>
      <c r="AZ3237">
        <f t="shared" si="103"/>
        <v>3</v>
      </c>
    </row>
    <row r="3238" spans="1:52" ht="55.2">
      <c r="A3238" s="3" t="s">
        <v>3282</v>
      </c>
      <c r="E3238">
        <v>4</v>
      </c>
      <c r="J3238">
        <v>27</v>
      </c>
      <c r="AY3238">
        <f t="shared" si="102"/>
        <v>43</v>
      </c>
      <c r="AZ3238">
        <f t="shared" si="103"/>
        <v>3</v>
      </c>
    </row>
    <row r="3239" spans="1:52" ht="55.2">
      <c r="A3239" s="3" t="s">
        <v>3283</v>
      </c>
      <c r="E3239">
        <v>4</v>
      </c>
      <c r="J3239">
        <v>27</v>
      </c>
      <c r="AY3239">
        <f t="shared" si="102"/>
        <v>43</v>
      </c>
      <c r="AZ3239">
        <f t="shared" si="103"/>
        <v>3</v>
      </c>
    </row>
    <row r="3240" spans="1:52" ht="55.2">
      <c r="A3240" s="3" t="s">
        <v>3284</v>
      </c>
      <c r="E3240">
        <v>4</v>
      </c>
      <c r="J3240">
        <v>27</v>
      </c>
      <c r="AY3240">
        <f t="shared" si="102"/>
        <v>43</v>
      </c>
      <c r="AZ3240">
        <f t="shared" si="103"/>
        <v>3</v>
      </c>
    </row>
    <row r="3241" spans="1:52" ht="55.2">
      <c r="A3241" s="3" t="s">
        <v>3285</v>
      </c>
      <c r="E3241">
        <v>4</v>
      </c>
      <c r="J3241">
        <v>27</v>
      </c>
      <c r="AY3241">
        <f t="shared" si="102"/>
        <v>43</v>
      </c>
      <c r="AZ3241">
        <f t="shared" si="103"/>
        <v>3</v>
      </c>
    </row>
    <row r="3242" spans="1:52" ht="55.2">
      <c r="A3242" s="3" t="s">
        <v>3286</v>
      </c>
      <c r="E3242">
        <v>4</v>
      </c>
      <c r="J3242">
        <v>27</v>
      </c>
      <c r="AY3242">
        <f t="shared" si="102"/>
        <v>43</v>
      </c>
      <c r="AZ3242">
        <f t="shared" si="103"/>
        <v>3</v>
      </c>
    </row>
    <row r="3243" spans="1:52" ht="55.2">
      <c r="A3243" s="3" t="s">
        <v>3287</v>
      </c>
      <c r="E3243">
        <v>4</v>
      </c>
      <c r="J3243">
        <v>27</v>
      </c>
      <c r="AY3243">
        <f t="shared" si="102"/>
        <v>43</v>
      </c>
      <c r="AZ3243">
        <f t="shared" si="103"/>
        <v>3</v>
      </c>
    </row>
    <row r="3244" spans="1:52" ht="55.2">
      <c r="A3244" s="3" t="s">
        <v>3288</v>
      </c>
      <c r="E3244">
        <v>4</v>
      </c>
      <c r="J3244">
        <v>27</v>
      </c>
      <c r="AY3244">
        <f t="shared" si="102"/>
        <v>43</v>
      </c>
      <c r="AZ3244">
        <f t="shared" si="103"/>
        <v>3</v>
      </c>
    </row>
    <row r="3245" spans="1:52" ht="55.2">
      <c r="A3245" s="3" t="s">
        <v>3289</v>
      </c>
      <c r="E3245">
        <v>4</v>
      </c>
      <c r="J3245">
        <v>27</v>
      </c>
      <c r="AY3245">
        <f t="shared" si="102"/>
        <v>43</v>
      </c>
      <c r="AZ3245">
        <f t="shared" si="103"/>
        <v>3</v>
      </c>
    </row>
    <row r="3246" spans="1:52" ht="55.2">
      <c r="A3246" s="3" t="s">
        <v>3290</v>
      </c>
      <c r="E3246">
        <v>4</v>
      </c>
      <c r="J3246">
        <v>27</v>
      </c>
      <c r="AY3246">
        <f t="shared" si="102"/>
        <v>43</v>
      </c>
      <c r="AZ3246">
        <f t="shared" si="103"/>
        <v>3</v>
      </c>
    </row>
    <row r="3247" spans="1:52" ht="55.2">
      <c r="A3247" s="3" t="s">
        <v>3291</v>
      </c>
      <c r="E3247">
        <v>4</v>
      </c>
      <c r="J3247">
        <v>27</v>
      </c>
      <c r="AY3247">
        <f t="shared" si="102"/>
        <v>43</v>
      </c>
      <c r="AZ3247">
        <f t="shared" si="103"/>
        <v>3</v>
      </c>
    </row>
    <row r="3248" spans="1:52" ht="55.2">
      <c r="A3248" s="3" t="s">
        <v>3292</v>
      </c>
      <c r="E3248">
        <v>4</v>
      </c>
      <c r="J3248">
        <v>27</v>
      </c>
      <c r="AY3248">
        <f t="shared" si="102"/>
        <v>43</v>
      </c>
      <c r="AZ3248">
        <f t="shared" si="103"/>
        <v>3</v>
      </c>
    </row>
    <row r="3249" spans="1:52" ht="55.2">
      <c r="A3249" s="3" t="s">
        <v>3293</v>
      </c>
      <c r="E3249">
        <v>4</v>
      </c>
      <c r="J3249">
        <v>27</v>
      </c>
      <c r="AY3249">
        <f t="shared" si="102"/>
        <v>43</v>
      </c>
      <c r="AZ3249">
        <f t="shared" si="103"/>
        <v>3</v>
      </c>
    </row>
    <row r="3250" spans="1:52" ht="55.2">
      <c r="A3250" s="3" t="s">
        <v>3294</v>
      </c>
      <c r="E3250">
        <v>4</v>
      </c>
      <c r="J3250">
        <v>27</v>
      </c>
      <c r="AY3250">
        <f t="shared" si="102"/>
        <v>43</v>
      </c>
      <c r="AZ3250">
        <f t="shared" si="103"/>
        <v>3</v>
      </c>
    </row>
    <row r="3251" spans="1:52" ht="55.2">
      <c r="A3251" s="3" t="s">
        <v>3295</v>
      </c>
      <c r="E3251">
        <v>4</v>
      </c>
      <c r="J3251">
        <v>27</v>
      </c>
      <c r="AY3251">
        <f t="shared" si="102"/>
        <v>43</v>
      </c>
      <c r="AZ3251">
        <f t="shared" si="103"/>
        <v>3</v>
      </c>
    </row>
    <row r="3252" spans="1:52" ht="55.2">
      <c r="A3252" s="3" t="s">
        <v>3296</v>
      </c>
      <c r="E3252">
        <v>4</v>
      </c>
      <c r="J3252">
        <v>27</v>
      </c>
      <c r="AY3252">
        <f t="shared" si="102"/>
        <v>43</v>
      </c>
      <c r="AZ3252">
        <f t="shared" si="103"/>
        <v>3</v>
      </c>
    </row>
    <row r="3253" spans="1:52" ht="55.2">
      <c r="A3253" s="3" t="s">
        <v>3297</v>
      </c>
      <c r="E3253">
        <v>4</v>
      </c>
      <c r="J3253">
        <v>27</v>
      </c>
      <c r="AY3253">
        <f t="shared" si="102"/>
        <v>43</v>
      </c>
      <c r="AZ3253">
        <f t="shared" si="103"/>
        <v>3</v>
      </c>
    </row>
    <row r="3254" spans="1:52" ht="55.2">
      <c r="A3254" s="3" t="s">
        <v>3298</v>
      </c>
      <c r="E3254">
        <v>4</v>
      </c>
      <c r="J3254">
        <v>27</v>
      </c>
      <c r="AY3254">
        <f t="shared" si="102"/>
        <v>43</v>
      </c>
      <c r="AZ3254">
        <f t="shared" si="103"/>
        <v>3</v>
      </c>
    </row>
    <row r="3255" spans="1:52" ht="55.2">
      <c r="A3255" s="3" t="s">
        <v>3299</v>
      </c>
      <c r="E3255">
        <v>4</v>
      </c>
      <c r="J3255">
        <v>27</v>
      </c>
      <c r="AY3255">
        <f t="shared" si="102"/>
        <v>43</v>
      </c>
      <c r="AZ3255">
        <f t="shared" si="103"/>
        <v>3</v>
      </c>
    </row>
    <row r="3256" spans="1:52" ht="55.2">
      <c r="A3256" s="3" t="s">
        <v>3300</v>
      </c>
      <c r="E3256">
        <v>4</v>
      </c>
      <c r="J3256">
        <v>27</v>
      </c>
      <c r="AY3256">
        <f t="shared" si="102"/>
        <v>43</v>
      </c>
      <c r="AZ3256">
        <f t="shared" si="103"/>
        <v>3</v>
      </c>
    </row>
    <row r="3257" spans="1:52" ht="55.2">
      <c r="A3257" s="3" t="s">
        <v>3301</v>
      </c>
      <c r="E3257">
        <v>4</v>
      </c>
      <c r="J3257">
        <v>27</v>
      </c>
      <c r="AY3257">
        <f t="shared" si="102"/>
        <v>43</v>
      </c>
      <c r="AZ3257">
        <f t="shared" si="103"/>
        <v>3</v>
      </c>
    </row>
    <row r="3258" spans="1:52" ht="55.2">
      <c r="A3258" s="3" t="s">
        <v>3302</v>
      </c>
      <c r="E3258">
        <v>4</v>
      </c>
      <c r="J3258">
        <v>27</v>
      </c>
      <c r="AY3258">
        <f t="shared" si="102"/>
        <v>43</v>
      </c>
      <c r="AZ3258">
        <f t="shared" si="103"/>
        <v>3</v>
      </c>
    </row>
    <row r="3259" spans="1:52" ht="55.2">
      <c r="A3259" s="3" t="s">
        <v>3303</v>
      </c>
      <c r="E3259">
        <v>4</v>
      </c>
      <c r="J3259">
        <v>27</v>
      </c>
      <c r="AY3259">
        <f t="shared" si="102"/>
        <v>43</v>
      </c>
      <c r="AZ3259">
        <f t="shared" si="103"/>
        <v>3</v>
      </c>
    </row>
    <row r="3260" spans="1:52" ht="55.2">
      <c r="A3260" s="3" t="s">
        <v>3304</v>
      </c>
      <c r="E3260">
        <v>4</v>
      </c>
      <c r="J3260">
        <v>27</v>
      </c>
      <c r="AY3260">
        <f t="shared" si="102"/>
        <v>43</v>
      </c>
      <c r="AZ3260">
        <f t="shared" si="103"/>
        <v>3</v>
      </c>
    </row>
    <row r="3261" spans="1:52" ht="55.2">
      <c r="A3261" s="3" t="s">
        <v>3305</v>
      </c>
      <c r="E3261">
        <v>4</v>
      </c>
      <c r="J3261">
        <v>27</v>
      </c>
      <c r="AY3261">
        <f t="shared" si="102"/>
        <v>43</v>
      </c>
      <c r="AZ3261">
        <f t="shared" si="103"/>
        <v>3</v>
      </c>
    </row>
    <row r="3262" spans="1:52" ht="55.2">
      <c r="A3262" s="3" t="s">
        <v>3306</v>
      </c>
      <c r="E3262">
        <v>4</v>
      </c>
      <c r="AN3262">
        <v>2</v>
      </c>
      <c r="AY3262">
        <f t="shared" si="102"/>
        <v>43</v>
      </c>
      <c r="AZ3262">
        <f t="shared" si="103"/>
        <v>3</v>
      </c>
    </row>
    <row r="3263" spans="1:52" ht="55.2">
      <c r="A3263" s="3" t="s">
        <v>3307</v>
      </c>
      <c r="E3263">
        <v>4</v>
      </c>
      <c r="AN3263">
        <v>2</v>
      </c>
      <c r="AY3263">
        <f t="shared" si="102"/>
        <v>43</v>
      </c>
      <c r="AZ3263">
        <f t="shared" si="103"/>
        <v>3</v>
      </c>
    </row>
    <row r="3264" spans="1:52" ht="55.2">
      <c r="A3264" s="3" t="s">
        <v>3308</v>
      </c>
      <c r="E3264">
        <v>4</v>
      </c>
      <c r="AN3264">
        <v>2</v>
      </c>
      <c r="AY3264">
        <f t="shared" si="102"/>
        <v>43</v>
      </c>
      <c r="AZ3264">
        <f t="shared" si="103"/>
        <v>3</v>
      </c>
    </row>
    <row r="3265" spans="1:52" ht="55.2">
      <c r="A3265" s="3" t="s">
        <v>3309</v>
      </c>
      <c r="E3265">
        <v>4</v>
      </c>
      <c r="AN3265">
        <v>2</v>
      </c>
      <c r="AY3265">
        <f t="shared" si="102"/>
        <v>43</v>
      </c>
      <c r="AZ3265">
        <f t="shared" si="103"/>
        <v>3</v>
      </c>
    </row>
    <row r="3266" spans="1:52" ht="55.2">
      <c r="A3266" s="3" t="s">
        <v>3310</v>
      </c>
      <c r="E3266">
        <v>4</v>
      </c>
      <c r="AN3266">
        <v>2</v>
      </c>
      <c r="AY3266">
        <f t="shared" si="102"/>
        <v>43</v>
      </c>
      <c r="AZ3266">
        <f t="shared" si="103"/>
        <v>3</v>
      </c>
    </row>
    <row r="3267" spans="1:52" ht="55.2">
      <c r="A3267" s="3" t="s">
        <v>3311</v>
      </c>
      <c r="E3267">
        <v>4</v>
      </c>
      <c r="AN3267">
        <v>2</v>
      </c>
      <c r="AY3267">
        <f t="shared" si="102"/>
        <v>43</v>
      </c>
      <c r="AZ3267">
        <f t="shared" si="103"/>
        <v>3</v>
      </c>
    </row>
    <row r="3268" spans="1:52" ht="55.2">
      <c r="A3268" s="3" t="s">
        <v>3312</v>
      </c>
      <c r="E3268">
        <v>4</v>
      </c>
      <c r="AN3268">
        <v>2</v>
      </c>
      <c r="AY3268">
        <f t="shared" si="102"/>
        <v>43</v>
      </c>
      <c r="AZ3268">
        <f t="shared" si="103"/>
        <v>3</v>
      </c>
    </row>
    <row r="3269" spans="1:52" ht="55.2">
      <c r="A3269" s="3" t="s">
        <v>3313</v>
      </c>
      <c r="E3269">
        <v>4</v>
      </c>
      <c r="AN3269">
        <v>2</v>
      </c>
      <c r="AY3269">
        <f t="shared" si="102"/>
        <v>43</v>
      </c>
      <c r="AZ3269">
        <f t="shared" si="103"/>
        <v>3</v>
      </c>
    </row>
    <row r="3270" spans="1:52" ht="55.2">
      <c r="A3270" s="3" t="s">
        <v>3314</v>
      </c>
      <c r="E3270">
        <v>4</v>
      </c>
      <c r="AN3270">
        <v>2</v>
      </c>
      <c r="AY3270">
        <f t="shared" si="102"/>
        <v>43</v>
      </c>
      <c r="AZ3270">
        <f t="shared" si="103"/>
        <v>3</v>
      </c>
    </row>
    <row r="3271" spans="1:52" ht="55.2">
      <c r="A3271" s="3" t="s">
        <v>3315</v>
      </c>
      <c r="E3271">
        <v>4</v>
      </c>
      <c r="AN3271">
        <v>2</v>
      </c>
      <c r="AY3271">
        <f t="shared" si="102"/>
        <v>43</v>
      </c>
      <c r="AZ3271">
        <f t="shared" si="103"/>
        <v>3</v>
      </c>
    </row>
    <row r="3272" spans="1:52" ht="55.2">
      <c r="A3272" s="3" t="s">
        <v>3316</v>
      </c>
      <c r="E3272">
        <v>4</v>
      </c>
      <c r="AN3272">
        <v>2</v>
      </c>
      <c r="AY3272">
        <f t="shared" si="102"/>
        <v>43</v>
      </c>
      <c r="AZ3272">
        <f t="shared" si="103"/>
        <v>3</v>
      </c>
    </row>
    <row r="3273" spans="1:52" ht="55.2">
      <c r="A3273" s="3" t="s">
        <v>3317</v>
      </c>
      <c r="E3273">
        <v>4</v>
      </c>
      <c r="AN3273">
        <v>2</v>
      </c>
      <c r="AY3273">
        <f t="shared" si="102"/>
        <v>43</v>
      </c>
      <c r="AZ3273">
        <f t="shared" si="103"/>
        <v>3</v>
      </c>
    </row>
    <row r="3274" spans="1:52" ht="55.2">
      <c r="A3274" s="3" t="s">
        <v>3318</v>
      </c>
      <c r="E3274">
        <v>4</v>
      </c>
      <c r="AN3274">
        <v>2</v>
      </c>
      <c r="AY3274">
        <f t="shared" si="102"/>
        <v>43</v>
      </c>
      <c r="AZ3274">
        <f t="shared" si="103"/>
        <v>3</v>
      </c>
    </row>
    <row r="3275" spans="1:52" ht="55.2">
      <c r="A3275" s="3" t="s">
        <v>3319</v>
      </c>
      <c r="E3275">
        <v>4</v>
      </c>
      <c r="AN3275">
        <v>2</v>
      </c>
      <c r="AY3275">
        <f t="shared" si="102"/>
        <v>43</v>
      </c>
      <c r="AZ3275">
        <f t="shared" si="103"/>
        <v>3</v>
      </c>
    </row>
    <row r="3276" spans="1:52" ht="55.2">
      <c r="A3276" s="3" t="s">
        <v>3320</v>
      </c>
      <c r="E3276">
        <v>4</v>
      </c>
      <c r="AN3276">
        <v>2</v>
      </c>
      <c r="AY3276">
        <f t="shared" si="102"/>
        <v>43</v>
      </c>
      <c r="AZ3276">
        <f t="shared" si="103"/>
        <v>3</v>
      </c>
    </row>
    <row r="3277" spans="1:52" ht="55.2">
      <c r="A3277" s="3" t="s">
        <v>3321</v>
      </c>
      <c r="E3277">
        <v>4</v>
      </c>
      <c r="AN3277">
        <v>2</v>
      </c>
      <c r="AY3277">
        <f t="shared" si="102"/>
        <v>43</v>
      </c>
      <c r="AZ3277">
        <f t="shared" si="103"/>
        <v>3</v>
      </c>
    </row>
    <row r="3278" spans="1:52" ht="55.2">
      <c r="A3278" s="3" t="s">
        <v>3322</v>
      </c>
      <c r="E3278">
        <v>4</v>
      </c>
      <c r="AN3278">
        <v>2</v>
      </c>
      <c r="AY3278">
        <f t="shared" si="102"/>
        <v>43</v>
      </c>
      <c r="AZ3278">
        <f t="shared" si="103"/>
        <v>3</v>
      </c>
    </row>
    <row r="3279" spans="1:52" ht="55.2">
      <c r="A3279" s="3" t="s">
        <v>3323</v>
      </c>
      <c r="E3279">
        <v>4</v>
      </c>
      <c r="AN3279">
        <v>2</v>
      </c>
      <c r="AY3279">
        <f t="shared" si="102"/>
        <v>43</v>
      </c>
      <c r="AZ3279">
        <f t="shared" si="103"/>
        <v>3</v>
      </c>
    </row>
    <row r="3280" spans="1:52" ht="55.2">
      <c r="A3280" s="3" t="s">
        <v>3324</v>
      </c>
      <c r="E3280">
        <v>4</v>
      </c>
      <c r="AN3280">
        <v>2</v>
      </c>
      <c r="AY3280">
        <f t="shared" si="102"/>
        <v>43</v>
      </c>
      <c r="AZ3280">
        <f t="shared" si="103"/>
        <v>3</v>
      </c>
    </row>
    <row r="3281" spans="1:52" ht="55.2">
      <c r="A3281" s="3" t="s">
        <v>3325</v>
      </c>
      <c r="E3281">
        <v>4</v>
      </c>
      <c r="AN3281">
        <v>2</v>
      </c>
      <c r="AY3281">
        <f t="shared" si="102"/>
        <v>43</v>
      </c>
      <c r="AZ3281">
        <f t="shared" si="103"/>
        <v>3</v>
      </c>
    </row>
    <row r="3282" spans="1:52" ht="55.2">
      <c r="A3282" s="3" t="s">
        <v>3326</v>
      </c>
      <c r="E3282">
        <v>4</v>
      </c>
      <c r="AW3282">
        <v>5</v>
      </c>
      <c r="AY3282">
        <f t="shared" si="102"/>
        <v>43</v>
      </c>
      <c r="AZ3282">
        <f t="shared" si="103"/>
        <v>3</v>
      </c>
    </row>
    <row r="3283" spans="1:52" ht="55.2">
      <c r="A3283" s="3" t="s">
        <v>3327</v>
      </c>
      <c r="E3283">
        <v>4</v>
      </c>
      <c r="AW3283">
        <v>5</v>
      </c>
      <c r="AY3283">
        <f t="shared" si="102"/>
        <v>43</v>
      </c>
      <c r="AZ3283">
        <f t="shared" si="103"/>
        <v>3</v>
      </c>
    </row>
    <row r="3284" spans="1:52" ht="55.2">
      <c r="A3284" s="3" t="s">
        <v>3328</v>
      </c>
      <c r="E3284">
        <v>4</v>
      </c>
      <c r="J3284">
        <v>28</v>
      </c>
      <c r="AY3284">
        <f t="shared" si="102"/>
        <v>43</v>
      </c>
      <c r="AZ3284">
        <f t="shared" si="103"/>
        <v>3</v>
      </c>
    </row>
    <row r="3285" spans="1:52" ht="55.2">
      <c r="A3285" s="3" t="s">
        <v>3329</v>
      </c>
      <c r="E3285">
        <v>4</v>
      </c>
      <c r="J3285">
        <v>28</v>
      </c>
      <c r="AY3285">
        <f t="shared" si="102"/>
        <v>43</v>
      </c>
      <c r="AZ3285">
        <f t="shared" si="103"/>
        <v>3</v>
      </c>
    </row>
    <row r="3286" spans="1:52" ht="55.2">
      <c r="A3286" s="3" t="s">
        <v>3330</v>
      </c>
      <c r="E3286">
        <v>4</v>
      </c>
      <c r="J3286">
        <v>28</v>
      </c>
      <c r="AY3286">
        <f t="shared" si="102"/>
        <v>43</v>
      </c>
      <c r="AZ3286">
        <f t="shared" si="103"/>
        <v>3</v>
      </c>
    </row>
    <row r="3287" spans="1:52" ht="55.2">
      <c r="A3287" s="3" t="s">
        <v>3331</v>
      </c>
      <c r="E3287">
        <v>4</v>
      </c>
      <c r="J3287">
        <v>28</v>
      </c>
      <c r="AY3287">
        <f t="shared" si="102"/>
        <v>43</v>
      </c>
      <c r="AZ3287">
        <f t="shared" si="103"/>
        <v>3</v>
      </c>
    </row>
    <row r="3288" spans="1:52" ht="55.2">
      <c r="A3288" s="3" t="s">
        <v>3332</v>
      </c>
      <c r="B3288">
        <v>4</v>
      </c>
      <c r="E3288">
        <v>4</v>
      </c>
      <c r="J3288">
        <v>28</v>
      </c>
      <c r="AY3288">
        <f t="shared" si="102"/>
        <v>43</v>
      </c>
      <c r="AZ3288">
        <f t="shared" si="103"/>
        <v>2</v>
      </c>
    </row>
    <row r="3289" spans="1:52" ht="55.2">
      <c r="A3289" s="3" t="s">
        <v>3333</v>
      </c>
      <c r="B3289">
        <v>4</v>
      </c>
      <c r="E3289">
        <v>4</v>
      </c>
      <c r="J3289">
        <v>28</v>
      </c>
      <c r="AY3289">
        <f t="shared" si="102"/>
        <v>43</v>
      </c>
      <c r="AZ3289">
        <f t="shared" si="103"/>
        <v>2</v>
      </c>
    </row>
    <row r="3290" spans="1:52" ht="55.2">
      <c r="A3290" s="3" t="s">
        <v>3334</v>
      </c>
      <c r="B3290">
        <v>4</v>
      </c>
      <c r="E3290">
        <v>4</v>
      </c>
      <c r="J3290">
        <v>28</v>
      </c>
      <c r="AY3290">
        <f t="shared" si="102"/>
        <v>43</v>
      </c>
      <c r="AZ3290">
        <f t="shared" si="103"/>
        <v>2</v>
      </c>
    </row>
    <row r="3291" spans="1:52" ht="55.2">
      <c r="A3291" s="3" t="s">
        <v>3335</v>
      </c>
      <c r="B3291">
        <v>4</v>
      </c>
      <c r="E3291">
        <v>4</v>
      </c>
      <c r="J3291">
        <v>28</v>
      </c>
      <c r="AY3291">
        <f t="shared" si="102"/>
        <v>43</v>
      </c>
      <c r="AZ3291">
        <f t="shared" si="103"/>
        <v>2</v>
      </c>
    </row>
    <row r="3292" spans="1:52" ht="55.2">
      <c r="A3292" s="3" t="s">
        <v>3336</v>
      </c>
      <c r="B3292">
        <v>4</v>
      </c>
      <c r="E3292">
        <v>4</v>
      </c>
      <c r="J3292">
        <v>28</v>
      </c>
      <c r="AY3292">
        <f t="shared" si="102"/>
        <v>43</v>
      </c>
      <c r="AZ3292">
        <f t="shared" si="103"/>
        <v>2</v>
      </c>
    </row>
    <row r="3293" spans="1:52" ht="55.2">
      <c r="A3293" s="3" t="s">
        <v>3337</v>
      </c>
      <c r="B3293">
        <v>4</v>
      </c>
      <c r="E3293">
        <v>4</v>
      </c>
      <c r="J3293">
        <v>28</v>
      </c>
      <c r="AY3293">
        <f t="shared" si="102"/>
        <v>43</v>
      </c>
      <c r="AZ3293">
        <f t="shared" si="103"/>
        <v>2</v>
      </c>
    </row>
    <row r="3294" spans="1:52" ht="55.2">
      <c r="A3294" s="3" t="s">
        <v>3338</v>
      </c>
      <c r="B3294">
        <v>4</v>
      </c>
      <c r="E3294">
        <v>4</v>
      </c>
      <c r="J3294">
        <v>28</v>
      </c>
      <c r="AY3294">
        <f t="shared" si="102"/>
        <v>43</v>
      </c>
      <c r="AZ3294">
        <f t="shared" si="103"/>
        <v>2</v>
      </c>
    </row>
    <row r="3295" spans="1:52" ht="55.2">
      <c r="A3295" s="3" t="s">
        <v>3339</v>
      </c>
      <c r="B3295">
        <v>4</v>
      </c>
      <c r="E3295">
        <v>4</v>
      </c>
      <c r="J3295">
        <v>28</v>
      </c>
      <c r="AY3295">
        <f t="shared" si="102"/>
        <v>43</v>
      </c>
      <c r="AZ3295">
        <f t="shared" si="103"/>
        <v>2</v>
      </c>
    </row>
    <row r="3296" spans="1:52" ht="55.2">
      <c r="A3296" s="3" t="s">
        <v>3340</v>
      </c>
      <c r="B3296">
        <v>4</v>
      </c>
      <c r="E3296">
        <v>4</v>
      </c>
      <c r="J3296">
        <v>28</v>
      </c>
      <c r="AY3296">
        <f t="shared" si="102"/>
        <v>43</v>
      </c>
      <c r="AZ3296">
        <f t="shared" si="103"/>
        <v>2</v>
      </c>
    </row>
    <row r="3297" spans="1:52" ht="55.2">
      <c r="A3297" s="3" t="s">
        <v>3341</v>
      </c>
      <c r="B3297">
        <v>4</v>
      </c>
      <c r="E3297">
        <v>4</v>
      </c>
      <c r="J3297">
        <v>28</v>
      </c>
      <c r="AY3297">
        <f t="shared" ref="AY3297:AY3360" si="104">COUNTBLANK(F3297:AW3297)</f>
        <v>43</v>
      </c>
      <c r="AZ3297">
        <f t="shared" ref="AZ3297:AZ3360" si="105">COUNTBLANK(B3297:E3297)</f>
        <v>2</v>
      </c>
    </row>
    <row r="3298" spans="1:52" ht="55.2">
      <c r="A3298" s="3" t="s">
        <v>3342</v>
      </c>
      <c r="B3298">
        <v>4</v>
      </c>
      <c r="E3298">
        <v>4</v>
      </c>
      <c r="J3298">
        <v>28</v>
      </c>
      <c r="AY3298">
        <f t="shared" si="104"/>
        <v>43</v>
      </c>
      <c r="AZ3298">
        <f t="shared" si="105"/>
        <v>2</v>
      </c>
    </row>
    <row r="3299" spans="1:52" ht="55.2">
      <c r="A3299" s="3" t="s">
        <v>3343</v>
      </c>
      <c r="B3299">
        <v>4</v>
      </c>
      <c r="E3299">
        <v>4</v>
      </c>
      <c r="J3299">
        <v>28</v>
      </c>
      <c r="AY3299">
        <f t="shared" si="104"/>
        <v>43</v>
      </c>
      <c r="AZ3299">
        <f t="shared" si="105"/>
        <v>2</v>
      </c>
    </row>
    <row r="3300" spans="1:52" ht="55.2">
      <c r="A3300" s="3" t="s">
        <v>3344</v>
      </c>
      <c r="B3300">
        <v>4</v>
      </c>
      <c r="E3300">
        <v>4</v>
      </c>
      <c r="K3300">
        <v>8</v>
      </c>
      <c r="AY3300">
        <f t="shared" si="104"/>
        <v>43</v>
      </c>
      <c r="AZ3300">
        <f t="shared" si="105"/>
        <v>2</v>
      </c>
    </row>
    <row r="3301" spans="1:52" ht="55.2">
      <c r="A3301" s="3" t="s">
        <v>3345</v>
      </c>
      <c r="B3301">
        <v>4</v>
      </c>
      <c r="E3301">
        <v>4</v>
      </c>
      <c r="K3301">
        <v>8</v>
      </c>
      <c r="AY3301">
        <f t="shared" si="104"/>
        <v>43</v>
      </c>
      <c r="AZ3301">
        <f t="shared" si="105"/>
        <v>2</v>
      </c>
    </row>
    <row r="3302" spans="1:52" ht="55.2">
      <c r="A3302" s="3" t="s">
        <v>3346</v>
      </c>
      <c r="B3302">
        <v>4</v>
      </c>
      <c r="E3302">
        <v>4</v>
      </c>
      <c r="K3302">
        <v>8</v>
      </c>
      <c r="AY3302">
        <f t="shared" si="104"/>
        <v>43</v>
      </c>
      <c r="AZ3302">
        <f t="shared" si="105"/>
        <v>2</v>
      </c>
    </row>
    <row r="3303" spans="1:52" ht="55.2">
      <c r="A3303" s="3" t="s">
        <v>3347</v>
      </c>
      <c r="B3303">
        <v>4</v>
      </c>
      <c r="E3303">
        <v>4</v>
      </c>
      <c r="K3303">
        <v>8</v>
      </c>
      <c r="AY3303">
        <f t="shared" si="104"/>
        <v>43</v>
      </c>
      <c r="AZ3303">
        <f t="shared" si="105"/>
        <v>2</v>
      </c>
    </row>
    <row r="3304" spans="1:52" ht="55.2">
      <c r="A3304" s="3" t="s">
        <v>3348</v>
      </c>
      <c r="B3304">
        <v>4</v>
      </c>
      <c r="E3304">
        <v>4</v>
      </c>
      <c r="K3304">
        <v>8</v>
      </c>
      <c r="AY3304">
        <f t="shared" si="104"/>
        <v>43</v>
      </c>
      <c r="AZ3304">
        <f t="shared" si="105"/>
        <v>2</v>
      </c>
    </row>
    <row r="3305" spans="1:52" ht="55.2">
      <c r="A3305" s="3" t="s">
        <v>3349</v>
      </c>
      <c r="B3305">
        <v>4</v>
      </c>
      <c r="E3305">
        <v>4</v>
      </c>
      <c r="K3305">
        <v>8</v>
      </c>
      <c r="AY3305">
        <f t="shared" si="104"/>
        <v>43</v>
      </c>
      <c r="AZ3305">
        <f t="shared" si="105"/>
        <v>2</v>
      </c>
    </row>
    <row r="3306" spans="1:52" ht="55.2">
      <c r="A3306" s="3" t="s">
        <v>3350</v>
      </c>
      <c r="B3306">
        <v>4</v>
      </c>
      <c r="E3306">
        <v>4</v>
      </c>
      <c r="K3306">
        <v>8</v>
      </c>
      <c r="AY3306">
        <f t="shared" si="104"/>
        <v>43</v>
      </c>
      <c r="AZ3306">
        <f t="shared" si="105"/>
        <v>2</v>
      </c>
    </row>
    <row r="3307" spans="1:52" ht="55.2">
      <c r="A3307" s="3" t="s">
        <v>3351</v>
      </c>
      <c r="B3307">
        <v>4</v>
      </c>
      <c r="E3307">
        <v>4</v>
      </c>
      <c r="K3307">
        <v>8</v>
      </c>
      <c r="AY3307">
        <f t="shared" si="104"/>
        <v>43</v>
      </c>
      <c r="AZ3307">
        <f t="shared" si="105"/>
        <v>2</v>
      </c>
    </row>
    <row r="3308" spans="1:52" ht="55.2">
      <c r="A3308" s="3" t="s">
        <v>3352</v>
      </c>
      <c r="B3308">
        <v>4</v>
      </c>
      <c r="E3308">
        <v>4</v>
      </c>
      <c r="K3308">
        <v>8</v>
      </c>
      <c r="AY3308">
        <f t="shared" si="104"/>
        <v>43</v>
      </c>
      <c r="AZ3308">
        <f t="shared" si="105"/>
        <v>2</v>
      </c>
    </row>
    <row r="3309" spans="1:52" ht="55.2">
      <c r="A3309" s="3" t="s">
        <v>3353</v>
      </c>
      <c r="B3309">
        <v>4</v>
      </c>
      <c r="E3309">
        <v>4</v>
      </c>
      <c r="K3309">
        <v>8</v>
      </c>
      <c r="AY3309">
        <f t="shared" si="104"/>
        <v>43</v>
      </c>
      <c r="AZ3309">
        <f t="shared" si="105"/>
        <v>2</v>
      </c>
    </row>
    <row r="3310" spans="1:52" ht="55.2">
      <c r="A3310" s="3" t="s">
        <v>3354</v>
      </c>
      <c r="B3310">
        <v>4</v>
      </c>
      <c r="E3310">
        <v>4</v>
      </c>
      <c r="K3310">
        <v>8</v>
      </c>
      <c r="AY3310">
        <f t="shared" si="104"/>
        <v>43</v>
      </c>
      <c r="AZ3310">
        <f t="shared" si="105"/>
        <v>2</v>
      </c>
    </row>
    <row r="3311" spans="1:52" ht="55.2">
      <c r="A3311" s="3" t="s">
        <v>3355</v>
      </c>
      <c r="B3311">
        <v>4</v>
      </c>
      <c r="E3311">
        <v>4</v>
      </c>
      <c r="K3311">
        <v>8</v>
      </c>
      <c r="AY3311">
        <f t="shared" si="104"/>
        <v>43</v>
      </c>
      <c r="AZ3311">
        <f t="shared" si="105"/>
        <v>2</v>
      </c>
    </row>
    <row r="3312" spans="1:52" ht="55.2">
      <c r="A3312" s="3" t="s">
        <v>3356</v>
      </c>
      <c r="B3312">
        <v>4</v>
      </c>
      <c r="E3312">
        <v>4</v>
      </c>
      <c r="K3312">
        <v>8</v>
      </c>
      <c r="AY3312">
        <f t="shared" si="104"/>
        <v>43</v>
      </c>
      <c r="AZ3312">
        <f t="shared" si="105"/>
        <v>2</v>
      </c>
    </row>
    <row r="3313" spans="1:52" ht="55.2">
      <c r="A3313" s="3" t="s">
        <v>3357</v>
      </c>
      <c r="B3313">
        <v>4</v>
      </c>
      <c r="E3313">
        <v>4</v>
      </c>
      <c r="K3313">
        <v>8</v>
      </c>
      <c r="AY3313">
        <f t="shared" si="104"/>
        <v>43</v>
      </c>
      <c r="AZ3313">
        <f t="shared" si="105"/>
        <v>2</v>
      </c>
    </row>
    <row r="3314" spans="1:52" ht="55.2">
      <c r="A3314" s="3" t="s">
        <v>3358</v>
      </c>
      <c r="B3314">
        <v>4</v>
      </c>
      <c r="E3314">
        <v>4</v>
      </c>
      <c r="K3314">
        <v>8</v>
      </c>
      <c r="AY3314">
        <f t="shared" si="104"/>
        <v>43</v>
      </c>
      <c r="AZ3314">
        <f t="shared" si="105"/>
        <v>2</v>
      </c>
    </row>
    <row r="3315" spans="1:52" ht="55.2">
      <c r="A3315" s="3" t="s">
        <v>3359</v>
      </c>
      <c r="B3315">
        <v>4</v>
      </c>
      <c r="E3315">
        <v>4</v>
      </c>
      <c r="K3315">
        <v>8</v>
      </c>
      <c r="AY3315">
        <f t="shared" si="104"/>
        <v>43</v>
      </c>
      <c r="AZ3315">
        <f t="shared" si="105"/>
        <v>2</v>
      </c>
    </row>
    <row r="3316" spans="1:52" ht="55.2">
      <c r="A3316" s="3" t="s">
        <v>3360</v>
      </c>
      <c r="B3316">
        <v>4</v>
      </c>
      <c r="E3316">
        <v>4</v>
      </c>
      <c r="K3316">
        <v>8</v>
      </c>
      <c r="AY3316">
        <f t="shared" si="104"/>
        <v>43</v>
      </c>
      <c r="AZ3316">
        <f t="shared" si="105"/>
        <v>2</v>
      </c>
    </row>
    <row r="3317" spans="1:52" ht="55.2">
      <c r="A3317" s="3" t="s">
        <v>3361</v>
      </c>
      <c r="B3317">
        <v>4</v>
      </c>
      <c r="E3317">
        <v>4</v>
      </c>
      <c r="K3317">
        <v>8</v>
      </c>
      <c r="AY3317">
        <f t="shared" si="104"/>
        <v>43</v>
      </c>
      <c r="AZ3317">
        <f t="shared" si="105"/>
        <v>2</v>
      </c>
    </row>
    <row r="3318" spans="1:52" ht="55.2">
      <c r="A3318" s="3" t="s">
        <v>3362</v>
      </c>
      <c r="B3318">
        <v>4</v>
      </c>
      <c r="E3318">
        <v>4</v>
      </c>
      <c r="K3318">
        <v>8</v>
      </c>
      <c r="AY3318">
        <f t="shared" si="104"/>
        <v>43</v>
      </c>
      <c r="AZ3318">
        <f t="shared" si="105"/>
        <v>2</v>
      </c>
    </row>
    <row r="3319" spans="1:52" ht="55.2">
      <c r="A3319" s="3" t="s">
        <v>3363</v>
      </c>
      <c r="B3319">
        <v>4</v>
      </c>
      <c r="E3319">
        <v>4</v>
      </c>
      <c r="K3319">
        <v>8</v>
      </c>
      <c r="AY3319">
        <f t="shared" si="104"/>
        <v>43</v>
      </c>
      <c r="AZ3319">
        <f t="shared" si="105"/>
        <v>2</v>
      </c>
    </row>
    <row r="3320" spans="1:52" ht="55.2">
      <c r="A3320" s="3" t="s">
        <v>3364</v>
      </c>
      <c r="B3320">
        <v>4</v>
      </c>
      <c r="E3320">
        <v>4</v>
      </c>
      <c r="K3320">
        <v>8</v>
      </c>
      <c r="AY3320">
        <f t="shared" si="104"/>
        <v>43</v>
      </c>
      <c r="AZ3320">
        <f t="shared" si="105"/>
        <v>2</v>
      </c>
    </row>
    <row r="3321" spans="1:52" ht="55.2">
      <c r="A3321" s="3" t="s">
        <v>3365</v>
      </c>
      <c r="B3321">
        <v>4</v>
      </c>
      <c r="E3321">
        <v>4</v>
      </c>
      <c r="K3321">
        <v>8</v>
      </c>
      <c r="AY3321">
        <f t="shared" si="104"/>
        <v>43</v>
      </c>
      <c r="AZ3321">
        <f t="shared" si="105"/>
        <v>2</v>
      </c>
    </row>
    <row r="3322" spans="1:52" ht="55.2">
      <c r="A3322" s="3" t="s">
        <v>3366</v>
      </c>
      <c r="B3322">
        <v>4</v>
      </c>
      <c r="E3322">
        <v>4</v>
      </c>
      <c r="K3322">
        <v>8</v>
      </c>
      <c r="AY3322">
        <f t="shared" si="104"/>
        <v>43</v>
      </c>
      <c r="AZ3322">
        <f t="shared" si="105"/>
        <v>2</v>
      </c>
    </row>
    <row r="3323" spans="1:52" ht="55.2">
      <c r="A3323" s="3" t="s">
        <v>3367</v>
      </c>
      <c r="B3323">
        <v>4</v>
      </c>
      <c r="E3323">
        <v>4</v>
      </c>
      <c r="K3323">
        <v>8</v>
      </c>
      <c r="AY3323">
        <f t="shared" si="104"/>
        <v>43</v>
      </c>
      <c r="AZ3323">
        <f t="shared" si="105"/>
        <v>2</v>
      </c>
    </row>
    <row r="3324" spans="1:52" ht="55.2">
      <c r="A3324" s="3" t="s">
        <v>3368</v>
      </c>
      <c r="B3324">
        <v>4</v>
      </c>
      <c r="E3324">
        <v>4</v>
      </c>
      <c r="K3324">
        <v>8</v>
      </c>
      <c r="AY3324">
        <f t="shared" si="104"/>
        <v>43</v>
      </c>
      <c r="AZ3324">
        <f t="shared" si="105"/>
        <v>2</v>
      </c>
    </row>
    <row r="3325" spans="1:52" ht="55.2">
      <c r="A3325" s="3" t="s">
        <v>3369</v>
      </c>
      <c r="B3325">
        <v>4</v>
      </c>
      <c r="E3325">
        <v>4</v>
      </c>
      <c r="K3325">
        <v>8</v>
      </c>
      <c r="AY3325">
        <f t="shared" si="104"/>
        <v>43</v>
      </c>
      <c r="AZ3325">
        <f t="shared" si="105"/>
        <v>2</v>
      </c>
    </row>
    <row r="3326" spans="1:52" ht="55.2">
      <c r="A3326" s="3" t="s">
        <v>3370</v>
      </c>
      <c r="B3326">
        <v>4</v>
      </c>
      <c r="E3326">
        <v>4</v>
      </c>
      <c r="K3326">
        <v>8</v>
      </c>
      <c r="AY3326">
        <f t="shared" si="104"/>
        <v>43</v>
      </c>
      <c r="AZ3326">
        <f t="shared" si="105"/>
        <v>2</v>
      </c>
    </row>
    <row r="3327" spans="1:52" ht="55.2">
      <c r="A3327" s="3" t="s">
        <v>3371</v>
      </c>
      <c r="B3327">
        <v>4</v>
      </c>
      <c r="E3327">
        <v>4</v>
      </c>
      <c r="K3327">
        <v>8</v>
      </c>
      <c r="AY3327">
        <f t="shared" si="104"/>
        <v>43</v>
      </c>
      <c r="AZ3327">
        <f t="shared" si="105"/>
        <v>2</v>
      </c>
    </row>
    <row r="3328" spans="1:52" ht="55.2">
      <c r="A3328" s="3" t="s">
        <v>3372</v>
      </c>
      <c r="B3328">
        <v>4</v>
      </c>
      <c r="E3328">
        <v>4</v>
      </c>
      <c r="K3328">
        <v>8</v>
      </c>
      <c r="AY3328">
        <f t="shared" si="104"/>
        <v>43</v>
      </c>
      <c r="AZ3328">
        <f t="shared" si="105"/>
        <v>2</v>
      </c>
    </row>
    <row r="3329" spans="1:52" ht="55.2">
      <c r="A3329" s="3" t="s">
        <v>3373</v>
      </c>
      <c r="B3329">
        <v>4</v>
      </c>
      <c r="E3329">
        <v>4</v>
      </c>
      <c r="K3329">
        <v>8</v>
      </c>
      <c r="AY3329">
        <f t="shared" si="104"/>
        <v>43</v>
      </c>
      <c r="AZ3329">
        <f t="shared" si="105"/>
        <v>2</v>
      </c>
    </row>
    <row r="3330" spans="1:52" ht="55.2">
      <c r="A3330" s="3" t="s">
        <v>3374</v>
      </c>
      <c r="B3330">
        <v>4</v>
      </c>
      <c r="E3330">
        <v>4</v>
      </c>
      <c r="K3330">
        <v>8</v>
      </c>
      <c r="AY3330">
        <f t="shared" si="104"/>
        <v>43</v>
      </c>
      <c r="AZ3330">
        <f t="shared" si="105"/>
        <v>2</v>
      </c>
    </row>
    <row r="3331" spans="1:52" ht="55.2">
      <c r="A3331" s="3" t="s">
        <v>3375</v>
      </c>
      <c r="B3331">
        <v>4</v>
      </c>
      <c r="E3331">
        <v>4</v>
      </c>
      <c r="K3331">
        <v>8</v>
      </c>
      <c r="AY3331">
        <f t="shared" si="104"/>
        <v>43</v>
      </c>
      <c r="AZ3331">
        <f t="shared" si="105"/>
        <v>2</v>
      </c>
    </row>
    <row r="3332" spans="1:52" ht="55.2">
      <c r="A3332" s="3" t="s">
        <v>3376</v>
      </c>
      <c r="B3332">
        <v>4</v>
      </c>
      <c r="E3332">
        <v>4</v>
      </c>
      <c r="K3332">
        <v>8</v>
      </c>
      <c r="AY3332">
        <f t="shared" si="104"/>
        <v>43</v>
      </c>
      <c r="AZ3332">
        <f t="shared" si="105"/>
        <v>2</v>
      </c>
    </row>
    <row r="3333" spans="1:52" ht="55.2">
      <c r="A3333" s="3" t="s">
        <v>3377</v>
      </c>
      <c r="B3333">
        <v>4</v>
      </c>
      <c r="E3333">
        <v>4</v>
      </c>
      <c r="K3333">
        <v>8</v>
      </c>
      <c r="AY3333">
        <f t="shared" si="104"/>
        <v>43</v>
      </c>
      <c r="AZ3333">
        <f t="shared" si="105"/>
        <v>2</v>
      </c>
    </row>
    <row r="3334" spans="1:52" ht="55.2">
      <c r="A3334" s="3" t="s">
        <v>3378</v>
      </c>
      <c r="B3334">
        <v>4</v>
      </c>
      <c r="E3334">
        <v>4</v>
      </c>
      <c r="K3334">
        <v>8</v>
      </c>
      <c r="AY3334">
        <f t="shared" si="104"/>
        <v>43</v>
      </c>
      <c r="AZ3334">
        <f t="shared" si="105"/>
        <v>2</v>
      </c>
    </row>
    <row r="3335" spans="1:52" ht="55.2">
      <c r="A3335" s="3" t="s">
        <v>3379</v>
      </c>
      <c r="B3335">
        <v>4</v>
      </c>
      <c r="E3335">
        <v>4</v>
      </c>
      <c r="K3335">
        <v>8</v>
      </c>
      <c r="AY3335">
        <f t="shared" si="104"/>
        <v>43</v>
      </c>
      <c r="AZ3335">
        <f t="shared" si="105"/>
        <v>2</v>
      </c>
    </row>
    <row r="3336" spans="1:52" ht="55.2">
      <c r="A3336" s="3" t="s">
        <v>3380</v>
      </c>
      <c r="B3336">
        <v>4</v>
      </c>
      <c r="E3336">
        <v>4</v>
      </c>
      <c r="K3336">
        <v>8</v>
      </c>
      <c r="AY3336">
        <f t="shared" si="104"/>
        <v>43</v>
      </c>
      <c r="AZ3336">
        <f t="shared" si="105"/>
        <v>2</v>
      </c>
    </row>
    <row r="3337" spans="1:52" ht="55.2">
      <c r="A3337" s="3" t="s">
        <v>3381</v>
      </c>
      <c r="B3337">
        <v>4</v>
      </c>
      <c r="E3337">
        <v>4</v>
      </c>
      <c r="K3337">
        <v>8</v>
      </c>
      <c r="AY3337">
        <f t="shared" si="104"/>
        <v>43</v>
      </c>
      <c r="AZ3337">
        <f t="shared" si="105"/>
        <v>2</v>
      </c>
    </row>
    <row r="3338" spans="1:52" ht="55.2">
      <c r="A3338" s="3" t="s">
        <v>3382</v>
      </c>
      <c r="B3338">
        <v>4</v>
      </c>
      <c r="E3338">
        <v>4</v>
      </c>
      <c r="K3338">
        <v>8</v>
      </c>
      <c r="AY3338">
        <f t="shared" si="104"/>
        <v>43</v>
      </c>
      <c r="AZ3338">
        <f t="shared" si="105"/>
        <v>2</v>
      </c>
    </row>
    <row r="3339" spans="1:52" ht="55.2">
      <c r="A3339" s="3" t="s">
        <v>3383</v>
      </c>
      <c r="B3339">
        <v>4</v>
      </c>
      <c r="E3339">
        <v>4</v>
      </c>
      <c r="K3339">
        <v>8</v>
      </c>
      <c r="AY3339">
        <f t="shared" si="104"/>
        <v>43</v>
      </c>
      <c r="AZ3339">
        <f t="shared" si="105"/>
        <v>2</v>
      </c>
    </row>
    <row r="3340" spans="1:52" ht="55.2">
      <c r="A3340" s="3" t="s">
        <v>3384</v>
      </c>
      <c r="B3340">
        <v>4</v>
      </c>
      <c r="E3340">
        <v>4</v>
      </c>
      <c r="K3340">
        <v>8</v>
      </c>
      <c r="AY3340">
        <f t="shared" si="104"/>
        <v>43</v>
      </c>
      <c r="AZ3340">
        <f t="shared" si="105"/>
        <v>2</v>
      </c>
    </row>
    <row r="3341" spans="1:52" ht="55.2">
      <c r="A3341" s="3" t="s">
        <v>3385</v>
      </c>
      <c r="B3341">
        <v>4</v>
      </c>
      <c r="E3341">
        <v>4</v>
      </c>
      <c r="K3341">
        <v>8</v>
      </c>
      <c r="AY3341">
        <f t="shared" si="104"/>
        <v>43</v>
      </c>
      <c r="AZ3341">
        <f t="shared" si="105"/>
        <v>2</v>
      </c>
    </row>
    <row r="3342" spans="1:52" ht="55.2">
      <c r="A3342" s="3" t="s">
        <v>3386</v>
      </c>
      <c r="B3342">
        <v>4</v>
      </c>
      <c r="E3342">
        <v>4</v>
      </c>
      <c r="K3342">
        <v>8</v>
      </c>
      <c r="AY3342">
        <f t="shared" si="104"/>
        <v>43</v>
      </c>
      <c r="AZ3342">
        <f t="shared" si="105"/>
        <v>2</v>
      </c>
    </row>
    <row r="3343" spans="1:52" ht="55.2">
      <c r="A3343" s="3" t="s">
        <v>3387</v>
      </c>
      <c r="B3343">
        <v>4</v>
      </c>
      <c r="E3343">
        <v>4</v>
      </c>
      <c r="K3343">
        <v>8</v>
      </c>
      <c r="AY3343">
        <f t="shared" si="104"/>
        <v>43</v>
      </c>
      <c r="AZ3343">
        <f t="shared" si="105"/>
        <v>2</v>
      </c>
    </row>
    <row r="3344" spans="1:52" ht="55.2">
      <c r="A3344" s="3" t="s">
        <v>3388</v>
      </c>
      <c r="B3344">
        <v>4</v>
      </c>
      <c r="E3344">
        <v>4</v>
      </c>
      <c r="K3344">
        <v>8</v>
      </c>
      <c r="AY3344">
        <f t="shared" si="104"/>
        <v>43</v>
      </c>
      <c r="AZ3344">
        <f t="shared" si="105"/>
        <v>2</v>
      </c>
    </row>
    <row r="3345" spans="1:52" ht="55.2">
      <c r="A3345" s="3" t="s">
        <v>3389</v>
      </c>
      <c r="B3345">
        <v>4</v>
      </c>
      <c r="E3345">
        <v>4</v>
      </c>
      <c r="K3345">
        <v>8</v>
      </c>
      <c r="AY3345">
        <f t="shared" si="104"/>
        <v>43</v>
      </c>
      <c r="AZ3345">
        <f t="shared" si="105"/>
        <v>2</v>
      </c>
    </row>
    <row r="3346" spans="1:52" ht="55.2">
      <c r="A3346" s="3" t="s">
        <v>3390</v>
      </c>
      <c r="B3346">
        <v>4</v>
      </c>
      <c r="E3346">
        <v>4</v>
      </c>
      <c r="K3346">
        <v>8</v>
      </c>
      <c r="AY3346">
        <f t="shared" si="104"/>
        <v>43</v>
      </c>
      <c r="AZ3346">
        <f t="shared" si="105"/>
        <v>2</v>
      </c>
    </row>
    <row r="3347" spans="1:52" ht="55.2">
      <c r="A3347" s="3" t="s">
        <v>3391</v>
      </c>
      <c r="B3347">
        <v>4</v>
      </c>
      <c r="E3347">
        <v>4</v>
      </c>
      <c r="K3347">
        <v>8</v>
      </c>
      <c r="AY3347">
        <f t="shared" si="104"/>
        <v>43</v>
      </c>
      <c r="AZ3347">
        <f t="shared" si="105"/>
        <v>2</v>
      </c>
    </row>
    <row r="3348" spans="1:52" ht="55.2">
      <c r="A3348" s="3" t="s">
        <v>3392</v>
      </c>
      <c r="B3348">
        <v>4</v>
      </c>
      <c r="E3348">
        <v>4</v>
      </c>
      <c r="K3348">
        <v>8</v>
      </c>
      <c r="AY3348">
        <f t="shared" si="104"/>
        <v>43</v>
      </c>
      <c r="AZ3348">
        <f t="shared" si="105"/>
        <v>2</v>
      </c>
    </row>
    <row r="3349" spans="1:52" ht="55.2">
      <c r="A3349" s="3" t="s">
        <v>3393</v>
      </c>
      <c r="B3349">
        <v>4</v>
      </c>
      <c r="E3349">
        <v>4</v>
      </c>
      <c r="K3349">
        <v>8</v>
      </c>
      <c r="AY3349">
        <f t="shared" si="104"/>
        <v>43</v>
      </c>
      <c r="AZ3349">
        <f t="shared" si="105"/>
        <v>2</v>
      </c>
    </row>
    <row r="3350" spans="1:52" ht="55.2">
      <c r="A3350" s="3" t="s">
        <v>3394</v>
      </c>
      <c r="B3350">
        <v>4</v>
      </c>
      <c r="E3350">
        <v>4</v>
      </c>
      <c r="K3350">
        <v>8</v>
      </c>
      <c r="AY3350">
        <f t="shared" si="104"/>
        <v>43</v>
      </c>
      <c r="AZ3350">
        <f t="shared" si="105"/>
        <v>2</v>
      </c>
    </row>
    <row r="3351" spans="1:52" ht="55.2">
      <c r="A3351" s="3" t="s">
        <v>3395</v>
      </c>
      <c r="B3351">
        <v>4</v>
      </c>
      <c r="E3351">
        <v>4</v>
      </c>
      <c r="K3351">
        <v>8</v>
      </c>
      <c r="AY3351">
        <f t="shared" si="104"/>
        <v>43</v>
      </c>
      <c r="AZ3351">
        <f t="shared" si="105"/>
        <v>2</v>
      </c>
    </row>
    <row r="3352" spans="1:52" ht="55.2">
      <c r="A3352" s="3" t="s">
        <v>3396</v>
      </c>
      <c r="B3352">
        <v>4</v>
      </c>
      <c r="E3352">
        <v>4</v>
      </c>
      <c r="K3352">
        <v>8</v>
      </c>
      <c r="AY3352">
        <f t="shared" si="104"/>
        <v>43</v>
      </c>
      <c r="AZ3352">
        <f t="shared" si="105"/>
        <v>2</v>
      </c>
    </row>
    <row r="3353" spans="1:52" ht="55.2">
      <c r="A3353" s="3" t="s">
        <v>3397</v>
      </c>
      <c r="B3353">
        <v>4</v>
      </c>
      <c r="E3353">
        <v>4</v>
      </c>
      <c r="K3353">
        <v>8</v>
      </c>
      <c r="AY3353">
        <f t="shared" si="104"/>
        <v>43</v>
      </c>
      <c r="AZ3353">
        <f t="shared" si="105"/>
        <v>2</v>
      </c>
    </row>
    <row r="3354" spans="1:52" ht="55.2">
      <c r="A3354" s="3" t="s">
        <v>3398</v>
      </c>
      <c r="B3354">
        <v>4</v>
      </c>
      <c r="E3354">
        <v>4</v>
      </c>
      <c r="K3354">
        <v>8</v>
      </c>
      <c r="AY3354">
        <f t="shared" si="104"/>
        <v>43</v>
      </c>
      <c r="AZ3354">
        <f t="shared" si="105"/>
        <v>2</v>
      </c>
    </row>
    <row r="3355" spans="1:52" ht="55.2">
      <c r="A3355" s="3" t="s">
        <v>3399</v>
      </c>
      <c r="B3355">
        <v>4</v>
      </c>
      <c r="E3355">
        <v>4</v>
      </c>
      <c r="K3355">
        <v>8</v>
      </c>
      <c r="AY3355">
        <f t="shared" si="104"/>
        <v>43</v>
      </c>
      <c r="AZ3355">
        <f t="shared" si="105"/>
        <v>2</v>
      </c>
    </row>
    <row r="3356" spans="1:52" ht="55.2">
      <c r="A3356" s="3" t="s">
        <v>3400</v>
      </c>
      <c r="B3356">
        <v>4</v>
      </c>
      <c r="E3356">
        <v>4</v>
      </c>
      <c r="K3356">
        <v>8</v>
      </c>
      <c r="AY3356">
        <f t="shared" si="104"/>
        <v>43</v>
      </c>
      <c r="AZ3356">
        <f t="shared" si="105"/>
        <v>2</v>
      </c>
    </row>
    <row r="3357" spans="1:52" ht="55.2">
      <c r="A3357" s="3" t="s">
        <v>3401</v>
      </c>
      <c r="B3357">
        <v>4</v>
      </c>
      <c r="E3357">
        <v>4</v>
      </c>
      <c r="K3357">
        <v>8</v>
      </c>
      <c r="AY3357">
        <f t="shared" si="104"/>
        <v>43</v>
      </c>
      <c r="AZ3357">
        <f t="shared" si="105"/>
        <v>2</v>
      </c>
    </row>
    <row r="3358" spans="1:52" ht="55.2">
      <c r="A3358" s="3" t="s">
        <v>3402</v>
      </c>
      <c r="B3358">
        <v>4</v>
      </c>
      <c r="E3358">
        <v>4</v>
      </c>
      <c r="K3358">
        <v>8</v>
      </c>
      <c r="AY3358">
        <f t="shared" si="104"/>
        <v>43</v>
      </c>
      <c r="AZ3358">
        <f t="shared" si="105"/>
        <v>2</v>
      </c>
    </row>
    <row r="3359" spans="1:52" ht="55.2">
      <c r="A3359" s="3" t="s">
        <v>3403</v>
      </c>
      <c r="B3359">
        <v>4</v>
      </c>
      <c r="E3359">
        <v>4</v>
      </c>
      <c r="K3359">
        <v>8</v>
      </c>
      <c r="AY3359">
        <f t="shared" si="104"/>
        <v>43</v>
      </c>
      <c r="AZ3359">
        <f t="shared" si="105"/>
        <v>2</v>
      </c>
    </row>
    <row r="3360" spans="1:52" ht="55.2">
      <c r="A3360" s="3" t="s">
        <v>3404</v>
      </c>
      <c r="B3360">
        <v>4</v>
      </c>
      <c r="E3360">
        <v>4</v>
      </c>
      <c r="K3360">
        <v>8</v>
      </c>
      <c r="AY3360">
        <f t="shared" si="104"/>
        <v>43</v>
      </c>
      <c r="AZ3360">
        <f t="shared" si="105"/>
        <v>2</v>
      </c>
    </row>
    <row r="3361" spans="1:52" ht="55.2">
      <c r="A3361" s="3" t="s">
        <v>3405</v>
      </c>
      <c r="B3361">
        <v>4</v>
      </c>
      <c r="E3361">
        <v>4</v>
      </c>
      <c r="K3361">
        <v>8</v>
      </c>
      <c r="AY3361">
        <f t="shared" ref="AY3361:AY3424" si="106">COUNTBLANK(F3361:AW3361)</f>
        <v>43</v>
      </c>
      <c r="AZ3361">
        <f t="shared" ref="AZ3361:AZ3424" si="107">COUNTBLANK(B3361:E3361)</f>
        <v>2</v>
      </c>
    </row>
    <row r="3362" spans="1:52" ht="55.2">
      <c r="A3362" s="3" t="s">
        <v>3406</v>
      </c>
      <c r="B3362">
        <v>4</v>
      </c>
      <c r="E3362">
        <v>4</v>
      </c>
      <c r="K3362">
        <v>8</v>
      </c>
      <c r="AY3362">
        <f t="shared" si="106"/>
        <v>43</v>
      </c>
      <c r="AZ3362">
        <f t="shared" si="107"/>
        <v>2</v>
      </c>
    </row>
    <row r="3363" spans="1:52" ht="55.2">
      <c r="A3363" s="3" t="s">
        <v>3407</v>
      </c>
      <c r="B3363">
        <v>4</v>
      </c>
      <c r="E3363">
        <v>4</v>
      </c>
      <c r="K3363">
        <v>8</v>
      </c>
      <c r="AY3363">
        <f t="shared" si="106"/>
        <v>43</v>
      </c>
      <c r="AZ3363">
        <f t="shared" si="107"/>
        <v>2</v>
      </c>
    </row>
    <row r="3364" spans="1:52" ht="55.2">
      <c r="A3364" s="3" t="s">
        <v>3408</v>
      </c>
      <c r="B3364">
        <v>4</v>
      </c>
      <c r="E3364">
        <v>4</v>
      </c>
      <c r="K3364">
        <v>8</v>
      </c>
      <c r="AY3364">
        <f t="shared" si="106"/>
        <v>43</v>
      </c>
      <c r="AZ3364">
        <f t="shared" si="107"/>
        <v>2</v>
      </c>
    </row>
    <row r="3365" spans="1:52" ht="55.2">
      <c r="A3365" s="3" t="s">
        <v>3409</v>
      </c>
      <c r="B3365">
        <v>4</v>
      </c>
      <c r="E3365">
        <v>4</v>
      </c>
      <c r="K3365">
        <v>8</v>
      </c>
      <c r="AY3365">
        <f t="shared" si="106"/>
        <v>43</v>
      </c>
      <c r="AZ3365">
        <f t="shared" si="107"/>
        <v>2</v>
      </c>
    </row>
    <row r="3366" spans="1:52" ht="55.2">
      <c r="A3366" s="3" t="s">
        <v>3410</v>
      </c>
      <c r="B3366">
        <v>4</v>
      </c>
      <c r="E3366">
        <v>4</v>
      </c>
      <c r="K3366">
        <v>8</v>
      </c>
      <c r="AY3366">
        <f t="shared" si="106"/>
        <v>43</v>
      </c>
      <c r="AZ3366">
        <f t="shared" si="107"/>
        <v>2</v>
      </c>
    </row>
    <row r="3367" spans="1:52" ht="55.2">
      <c r="A3367" s="3" t="s">
        <v>3411</v>
      </c>
      <c r="B3367">
        <v>4</v>
      </c>
      <c r="E3367">
        <v>4</v>
      </c>
      <c r="AW3367">
        <v>6</v>
      </c>
      <c r="AY3367">
        <f t="shared" si="106"/>
        <v>43</v>
      </c>
      <c r="AZ3367">
        <f t="shared" si="107"/>
        <v>2</v>
      </c>
    </row>
    <row r="3368" spans="1:52" ht="55.2">
      <c r="A3368" s="3" t="s">
        <v>3412</v>
      </c>
      <c r="B3368">
        <v>4</v>
      </c>
      <c r="E3368">
        <v>4</v>
      </c>
      <c r="AW3368">
        <v>6</v>
      </c>
      <c r="AY3368">
        <f t="shared" si="106"/>
        <v>43</v>
      </c>
      <c r="AZ3368">
        <f t="shared" si="107"/>
        <v>2</v>
      </c>
    </row>
    <row r="3369" spans="1:52" ht="55.2">
      <c r="A3369" s="3" t="s">
        <v>3413</v>
      </c>
      <c r="B3369">
        <v>4</v>
      </c>
      <c r="E3369">
        <v>4</v>
      </c>
      <c r="AW3369">
        <v>6</v>
      </c>
      <c r="AY3369">
        <f t="shared" si="106"/>
        <v>43</v>
      </c>
      <c r="AZ3369">
        <f t="shared" si="107"/>
        <v>2</v>
      </c>
    </row>
    <row r="3370" spans="1:52" ht="55.2">
      <c r="A3370" s="3" t="s">
        <v>3414</v>
      </c>
      <c r="B3370">
        <v>4</v>
      </c>
      <c r="E3370">
        <v>4</v>
      </c>
      <c r="J3370">
        <v>29</v>
      </c>
      <c r="AY3370">
        <f t="shared" si="106"/>
        <v>43</v>
      </c>
      <c r="AZ3370">
        <f t="shared" si="107"/>
        <v>2</v>
      </c>
    </row>
    <row r="3371" spans="1:52" ht="55.2">
      <c r="A3371" s="3" t="s">
        <v>3415</v>
      </c>
      <c r="B3371">
        <v>4</v>
      </c>
      <c r="E3371">
        <v>4</v>
      </c>
      <c r="J3371">
        <v>29</v>
      </c>
      <c r="AY3371">
        <f t="shared" si="106"/>
        <v>43</v>
      </c>
      <c r="AZ3371">
        <f t="shared" si="107"/>
        <v>2</v>
      </c>
    </row>
    <row r="3372" spans="1:52" ht="55.2">
      <c r="A3372" s="3" t="s">
        <v>3416</v>
      </c>
      <c r="B3372">
        <v>4</v>
      </c>
      <c r="E3372">
        <v>4</v>
      </c>
      <c r="J3372">
        <v>29</v>
      </c>
      <c r="AY3372">
        <f t="shared" si="106"/>
        <v>43</v>
      </c>
      <c r="AZ3372">
        <f t="shared" si="107"/>
        <v>2</v>
      </c>
    </row>
    <row r="3373" spans="1:52" ht="55.2">
      <c r="A3373" s="3" t="s">
        <v>3417</v>
      </c>
      <c r="B3373">
        <v>4</v>
      </c>
      <c r="E3373">
        <v>4</v>
      </c>
      <c r="J3373">
        <v>29</v>
      </c>
      <c r="AY3373">
        <f t="shared" si="106"/>
        <v>43</v>
      </c>
      <c r="AZ3373">
        <f t="shared" si="107"/>
        <v>2</v>
      </c>
    </row>
    <row r="3374" spans="1:52" ht="55.2">
      <c r="A3374" s="3" t="s">
        <v>3418</v>
      </c>
      <c r="B3374">
        <v>4</v>
      </c>
      <c r="E3374">
        <v>4</v>
      </c>
      <c r="J3374">
        <v>29</v>
      </c>
      <c r="AY3374">
        <f t="shared" si="106"/>
        <v>43</v>
      </c>
      <c r="AZ3374">
        <f t="shared" si="107"/>
        <v>2</v>
      </c>
    </row>
    <row r="3375" spans="1:52" ht="55.2">
      <c r="A3375" s="3" t="s">
        <v>3419</v>
      </c>
      <c r="B3375">
        <v>4</v>
      </c>
      <c r="J3375">
        <v>29</v>
      </c>
      <c r="AY3375">
        <f t="shared" si="106"/>
        <v>43</v>
      </c>
      <c r="AZ3375">
        <f t="shared" si="107"/>
        <v>3</v>
      </c>
    </row>
    <row r="3376" spans="1:52" ht="55.2">
      <c r="A3376" s="3" t="s">
        <v>3420</v>
      </c>
      <c r="B3376">
        <v>4</v>
      </c>
      <c r="AR3376">
        <v>2</v>
      </c>
      <c r="AY3376">
        <f t="shared" si="106"/>
        <v>43</v>
      </c>
      <c r="AZ3376">
        <f t="shared" si="107"/>
        <v>3</v>
      </c>
    </row>
    <row r="3377" spans="1:52" ht="55.2">
      <c r="A3377" s="3" t="s">
        <v>3421</v>
      </c>
      <c r="B3377">
        <v>4</v>
      </c>
      <c r="AR3377">
        <v>2</v>
      </c>
      <c r="AY3377">
        <f t="shared" si="106"/>
        <v>43</v>
      </c>
      <c r="AZ3377">
        <f t="shared" si="107"/>
        <v>3</v>
      </c>
    </row>
    <row r="3378" spans="1:52" ht="55.2">
      <c r="A3378" s="3" t="s">
        <v>3422</v>
      </c>
      <c r="B3378">
        <v>4</v>
      </c>
      <c r="AR3378">
        <v>2</v>
      </c>
      <c r="AY3378">
        <f t="shared" si="106"/>
        <v>43</v>
      </c>
      <c r="AZ3378">
        <f t="shared" si="107"/>
        <v>3</v>
      </c>
    </row>
    <row r="3379" spans="1:52" ht="55.2">
      <c r="A3379" s="3" t="s">
        <v>3423</v>
      </c>
      <c r="B3379">
        <v>4</v>
      </c>
      <c r="J3379">
        <v>30</v>
      </c>
      <c r="AY3379">
        <f t="shared" si="106"/>
        <v>43</v>
      </c>
      <c r="AZ3379">
        <f t="shared" si="107"/>
        <v>3</v>
      </c>
    </row>
    <row r="3380" spans="1:52" ht="55.2">
      <c r="A3380" s="3" t="s">
        <v>3424</v>
      </c>
      <c r="B3380">
        <v>4</v>
      </c>
      <c r="J3380">
        <v>30</v>
      </c>
      <c r="AY3380">
        <f t="shared" si="106"/>
        <v>43</v>
      </c>
      <c r="AZ3380">
        <f t="shared" si="107"/>
        <v>3</v>
      </c>
    </row>
    <row r="3381" spans="1:52" ht="55.2">
      <c r="A3381" s="3" t="s">
        <v>3425</v>
      </c>
      <c r="B3381">
        <v>4</v>
      </c>
      <c r="J3381">
        <v>30</v>
      </c>
      <c r="AY3381">
        <f t="shared" si="106"/>
        <v>43</v>
      </c>
      <c r="AZ3381">
        <f t="shared" si="107"/>
        <v>3</v>
      </c>
    </row>
    <row r="3382" spans="1:52" ht="55.2">
      <c r="A3382" s="3" t="s">
        <v>3426</v>
      </c>
      <c r="B3382">
        <v>4</v>
      </c>
      <c r="J3382">
        <v>30</v>
      </c>
      <c r="AY3382">
        <f t="shared" si="106"/>
        <v>43</v>
      </c>
      <c r="AZ3382">
        <f t="shared" si="107"/>
        <v>3</v>
      </c>
    </row>
    <row r="3383" spans="1:52" ht="55.2">
      <c r="A3383" s="3" t="s">
        <v>3427</v>
      </c>
      <c r="B3383">
        <v>4</v>
      </c>
      <c r="J3383">
        <v>30</v>
      </c>
      <c r="AY3383">
        <f t="shared" si="106"/>
        <v>43</v>
      </c>
      <c r="AZ3383">
        <f t="shared" si="107"/>
        <v>3</v>
      </c>
    </row>
    <row r="3384" spans="1:52" ht="55.2">
      <c r="A3384" s="3" t="s">
        <v>3428</v>
      </c>
      <c r="B3384">
        <v>4</v>
      </c>
      <c r="J3384">
        <v>30</v>
      </c>
      <c r="AY3384">
        <f t="shared" si="106"/>
        <v>43</v>
      </c>
      <c r="AZ3384">
        <f t="shared" si="107"/>
        <v>3</v>
      </c>
    </row>
    <row r="3385" spans="1:52" ht="55.2">
      <c r="A3385" s="3" t="s">
        <v>3429</v>
      </c>
      <c r="B3385">
        <v>4</v>
      </c>
      <c r="J3385">
        <v>30</v>
      </c>
      <c r="AY3385">
        <f t="shared" si="106"/>
        <v>43</v>
      </c>
      <c r="AZ3385">
        <f t="shared" si="107"/>
        <v>3</v>
      </c>
    </row>
    <row r="3386" spans="1:52" ht="55.2">
      <c r="A3386" s="3" t="s">
        <v>3430</v>
      </c>
      <c r="B3386">
        <v>4</v>
      </c>
      <c r="J3386">
        <v>30</v>
      </c>
      <c r="AY3386">
        <f t="shared" si="106"/>
        <v>43</v>
      </c>
      <c r="AZ3386">
        <f t="shared" si="107"/>
        <v>3</v>
      </c>
    </row>
    <row r="3387" spans="1:52" ht="55.2">
      <c r="A3387" s="3" t="s">
        <v>3431</v>
      </c>
      <c r="B3387">
        <v>4</v>
      </c>
      <c r="J3387">
        <v>30</v>
      </c>
      <c r="AY3387">
        <f t="shared" si="106"/>
        <v>43</v>
      </c>
      <c r="AZ3387">
        <f t="shared" si="107"/>
        <v>3</v>
      </c>
    </row>
    <row r="3388" spans="1:52" ht="55.2">
      <c r="A3388" s="3" t="s">
        <v>3432</v>
      </c>
      <c r="B3388">
        <v>4</v>
      </c>
      <c r="J3388">
        <v>30</v>
      </c>
      <c r="AY3388">
        <f t="shared" si="106"/>
        <v>43</v>
      </c>
      <c r="AZ3388">
        <f t="shared" si="107"/>
        <v>3</v>
      </c>
    </row>
    <row r="3389" spans="1:52" ht="55.2">
      <c r="A3389" s="3" t="s">
        <v>3433</v>
      </c>
      <c r="B3389">
        <v>4</v>
      </c>
      <c r="J3389">
        <v>30</v>
      </c>
      <c r="AY3389">
        <f t="shared" si="106"/>
        <v>43</v>
      </c>
      <c r="AZ3389">
        <f t="shared" si="107"/>
        <v>3</v>
      </c>
    </row>
    <row r="3390" spans="1:52" ht="55.2">
      <c r="A3390" s="3" t="s">
        <v>3434</v>
      </c>
      <c r="B3390">
        <v>4</v>
      </c>
      <c r="J3390">
        <v>30</v>
      </c>
      <c r="AY3390">
        <f t="shared" si="106"/>
        <v>43</v>
      </c>
      <c r="AZ3390">
        <f t="shared" si="107"/>
        <v>3</v>
      </c>
    </row>
    <row r="3391" spans="1:52" ht="55.2">
      <c r="A3391" s="3" t="s">
        <v>3435</v>
      </c>
      <c r="B3391">
        <v>4</v>
      </c>
      <c r="J3391">
        <v>30</v>
      </c>
      <c r="AY3391">
        <f t="shared" si="106"/>
        <v>43</v>
      </c>
      <c r="AZ3391">
        <f t="shared" si="107"/>
        <v>3</v>
      </c>
    </row>
    <row r="3392" spans="1:52" ht="55.2">
      <c r="A3392" s="3" t="s">
        <v>3436</v>
      </c>
      <c r="B3392">
        <v>4</v>
      </c>
      <c r="J3392">
        <v>30</v>
      </c>
      <c r="AY3392">
        <f t="shared" si="106"/>
        <v>43</v>
      </c>
      <c r="AZ3392">
        <f t="shared" si="107"/>
        <v>3</v>
      </c>
    </row>
    <row r="3393" spans="1:52" ht="55.2">
      <c r="A3393" s="3" t="s">
        <v>3437</v>
      </c>
      <c r="B3393">
        <v>4</v>
      </c>
      <c r="J3393">
        <v>30</v>
      </c>
      <c r="AY3393">
        <f t="shared" si="106"/>
        <v>43</v>
      </c>
      <c r="AZ3393">
        <f t="shared" si="107"/>
        <v>3</v>
      </c>
    </row>
    <row r="3394" spans="1:52" ht="55.2">
      <c r="A3394" s="3" t="s">
        <v>3438</v>
      </c>
      <c r="B3394">
        <v>4</v>
      </c>
      <c r="J3394">
        <v>30</v>
      </c>
      <c r="AY3394">
        <f t="shared" si="106"/>
        <v>43</v>
      </c>
      <c r="AZ3394">
        <f t="shared" si="107"/>
        <v>3</v>
      </c>
    </row>
    <row r="3395" spans="1:52" ht="55.2">
      <c r="A3395" s="3" t="s">
        <v>3439</v>
      </c>
      <c r="B3395">
        <v>4</v>
      </c>
      <c r="J3395">
        <v>30</v>
      </c>
      <c r="AY3395">
        <f t="shared" si="106"/>
        <v>43</v>
      </c>
      <c r="AZ3395">
        <f t="shared" si="107"/>
        <v>3</v>
      </c>
    </row>
    <row r="3396" spans="1:52" ht="55.2">
      <c r="A3396" s="3" t="s">
        <v>3440</v>
      </c>
      <c r="B3396">
        <v>4</v>
      </c>
      <c r="J3396">
        <v>30</v>
      </c>
      <c r="AY3396">
        <f t="shared" si="106"/>
        <v>43</v>
      </c>
      <c r="AZ3396">
        <f t="shared" si="107"/>
        <v>3</v>
      </c>
    </row>
    <row r="3397" spans="1:52" ht="55.2">
      <c r="A3397" s="3" t="s">
        <v>3441</v>
      </c>
      <c r="B3397">
        <v>4</v>
      </c>
      <c r="J3397">
        <v>30</v>
      </c>
      <c r="AY3397">
        <f t="shared" si="106"/>
        <v>43</v>
      </c>
      <c r="AZ3397">
        <f t="shared" si="107"/>
        <v>3</v>
      </c>
    </row>
    <row r="3398" spans="1:52" ht="55.2">
      <c r="A3398" s="3" t="s">
        <v>3442</v>
      </c>
      <c r="B3398">
        <v>4</v>
      </c>
      <c r="J3398">
        <v>30</v>
      </c>
      <c r="AY3398">
        <f t="shared" si="106"/>
        <v>43</v>
      </c>
      <c r="AZ3398">
        <f t="shared" si="107"/>
        <v>3</v>
      </c>
    </row>
    <row r="3399" spans="1:52" ht="55.2">
      <c r="A3399" s="3" t="s">
        <v>3443</v>
      </c>
      <c r="B3399">
        <v>4</v>
      </c>
      <c r="J3399">
        <v>30</v>
      </c>
      <c r="AY3399">
        <f t="shared" si="106"/>
        <v>43</v>
      </c>
      <c r="AZ3399">
        <f t="shared" si="107"/>
        <v>3</v>
      </c>
    </row>
    <row r="3400" spans="1:52" ht="55.2">
      <c r="A3400" s="3" t="s">
        <v>3444</v>
      </c>
      <c r="B3400">
        <v>4</v>
      </c>
      <c r="J3400">
        <v>30</v>
      </c>
      <c r="AY3400">
        <f t="shared" si="106"/>
        <v>43</v>
      </c>
      <c r="AZ3400">
        <f t="shared" si="107"/>
        <v>3</v>
      </c>
    </row>
    <row r="3401" spans="1:52" ht="55.2">
      <c r="A3401" s="3" t="s">
        <v>3445</v>
      </c>
      <c r="B3401">
        <v>4</v>
      </c>
      <c r="J3401">
        <v>30</v>
      </c>
      <c r="AY3401">
        <f t="shared" si="106"/>
        <v>43</v>
      </c>
      <c r="AZ3401">
        <f t="shared" si="107"/>
        <v>3</v>
      </c>
    </row>
    <row r="3402" spans="1:52" ht="55.2">
      <c r="A3402" s="3" t="s">
        <v>3446</v>
      </c>
      <c r="B3402">
        <v>4</v>
      </c>
      <c r="J3402">
        <v>30</v>
      </c>
      <c r="AY3402">
        <f t="shared" si="106"/>
        <v>43</v>
      </c>
      <c r="AZ3402">
        <f t="shared" si="107"/>
        <v>3</v>
      </c>
    </row>
    <row r="3403" spans="1:52" ht="55.2">
      <c r="A3403" s="3" t="s">
        <v>3447</v>
      </c>
      <c r="B3403">
        <v>4</v>
      </c>
      <c r="J3403">
        <v>30</v>
      </c>
      <c r="AY3403">
        <f t="shared" si="106"/>
        <v>43</v>
      </c>
      <c r="AZ3403">
        <f t="shared" si="107"/>
        <v>3</v>
      </c>
    </row>
    <row r="3404" spans="1:52" ht="55.2">
      <c r="A3404" s="3" t="s">
        <v>3448</v>
      </c>
      <c r="B3404">
        <v>4</v>
      </c>
      <c r="J3404">
        <v>30</v>
      </c>
      <c r="AY3404">
        <f t="shared" si="106"/>
        <v>43</v>
      </c>
      <c r="AZ3404">
        <f t="shared" si="107"/>
        <v>3</v>
      </c>
    </row>
    <row r="3405" spans="1:52" ht="55.2">
      <c r="A3405" s="3" t="s">
        <v>3449</v>
      </c>
      <c r="B3405">
        <v>4</v>
      </c>
      <c r="P3405">
        <v>1</v>
      </c>
      <c r="AY3405">
        <f t="shared" si="106"/>
        <v>43</v>
      </c>
      <c r="AZ3405">
        <f t="shared" si="107"/>
        <v>3</v>
      </c>
    </row>
    <row r="3406" spans="1:52" ht="55.2">
      <c r="A3406" s="3" t="s">
        <v>3450</v>
      </c>
      <c r="B3406">
        <v>4</v>
      </c>
      <c r="P3406">
        <v>1</v>
      </c>
      <c r="AY3406">
        <f t="shared" si="106"/>
        <v>43</v>
      </c>
      <c r="AZ3406">
        <f t="shared" si="107"/>
        <v>3</v>
      </c>
    </row>
    <row r="3407" spans="1:52" ht="55.2">
      <c r="A3407" s="3" t="s">
        <v>3451</v>
      </c>
      <c r="B3407">
        <v>4</v>
      </c>
      <c r="P3407">
        <v>1</v>
      </c>
      <c r="AY3407">
        <f t="shared" si="106"/>
        <v>43</v>
      </c>
      <c r="AZ3407">
        <f t="shared" si="107"/>
        <v>3</v>
      </c>
    </row>
    <row r="3408" spans="1:52" ht="55.2">
      <c r="A3408" s="3" t="s">
        <v>3452</v>
      </c>
      <c r="B3408">
        <v>4</v>
      </c>
      <c r="P3408">
        <v>1</v>
      </c>
      <c r="AY3408">
        <f t="shared" si="106"/>
        <v>43</v>
      </c>
      <c r="AZ3408">
        <f t="shared" si="107"/>
        <v>3</v>
      </c>
    </row>
    <row r="3409" spans="1:52" ht="55.2">
      <c r="A3409" s="3" t="s">
        <v>3453</v>
      </c>
      <c r="B3409">
        <v>4</v>
      </c>
      <c r="P3409">
        <v>1</v>
      </c>
      <c r="AY3409">
        <f t="shared" si="106"/>
        <v>43</v>
      </c>
      <c r="AZ3409">
        <f t="shared" si="107"/>
        <v>3</v>
      </c>
    </row>
    <row r="3410" spans="1:52" ht="55.2">
      <c r="A3410" s="3" t="s">
        <v>3454</v>
      </c>
      <c r="B3410">
        <v>4</v>
      </c>
      <c r="P3410">
        <v>1</v>
      </c>
      <c r="AY3410">
        <f t="shared" si="106"/>
        <v>43</v>
      </c>
      <c r="AZ3410">
        <f t="shared" si="107"/>
        <v>3</v>
      </c>
    </row>
    <row r="3411" spans="1:52" ht="55.2">
      <c r="A3411" s="3" t="s">
        <v>3455</v>
      </c>
      <c r="B3411">
        <v>4</v>
      </c>
      <c r="P3411">
        <v>1</v>
      </c>
      <c r="AY3411">
        <f t="shared" si="106"/>
        <v>43</v>
      </c>
      <c r="AZ3411">
        <f t="shared" si="107"/>
        <v>3</v>
      </c>
    </row>
    <row r="3412" spans="1:52" ht="55.2">
      <c r="A3412" s="3" t="s">
        <v>3456</v>
      </c>
      <c r="B3412">
        <v>4</v>
      </c>
      <c r="P3412">
        <v>1</v>
      </c>
      <c r="AY3412">
        <f t="shared" si="106"/>
        <v>43</v>
      </c>
      <c r="AZ3412">
        <f t="shared" si="107"/>
        <v>3</v>
      </c>
    </row>
    <row r="3413" spans="1:52" ht="55.2">
      <c r="A3413" s="3" t="s">
        <v>3457</v>
      </c>
      <c r="B3413">
        <v>4</v>
      </c>
      <c r="P3413">
        <v>1</v>
      </c>
      <c r="AY3413">
        <f t="shared" si="106"/>
        <v>43</v>
      </c>
      <c r="AZ3413">
        <f t="shared" si="107"/>
        <v>3</v>
      </c>
    </row>
    <row r="3414" spans="1:52" ht="55.2">
      <c r="A3414" s="3" t="s">
        <v>3458</v>
      </c>
      <c r="B3414">
        <v>4</v>
      </c>
      <c r="P3414">
        <v>1</v>
      </c>
      <c r="AY3414">
        <f t="shared" si="106"/>
        <v>43</v>
      </c>
      <c r="AZ3414">
        <f t="shared" si="107"/>
        <v>3</v>
      </c>
    </row>
    <row r="3415" spans="1:52" ht="55.2">
      <c r="A3415" s="3" t="s">
        <v>3459</v>
      </c>
      <c r="B3415">
        <v>4</v>
      </c>
      <c r="P3415">
        <v>1</v>
      </c>
      <c r="AY3415">
        <f t="shared" si="106"/>
        <v>43</v>
      </c>
      <c r="AZ3415">
        <f t="shared" si="107"/>
        <v>3</v>
      </c>
    </row>
    <row r="3416" spans="1:52" ht="55.2">
      <c r="A3416" s="3" t="s">
        <v>3460</v>
      </c>
      <c r="B3416">
        <v>4</v>
      </c>
      <c r="P3416">
        <v>1</v>
      </c>
      <c r="AY3416">
        <f t="shared" si="106"/>
        <v>43</v>
      </c>
      <c r="AZ3416">
        <f t="shared" si="107"/>
        <v>3</v>
      </c>
    </row>
    <row r="3417" spans="1:52" ht="55.2">
      <c r="A3417" s="3" t="s">
        <v>3461</v>
      </c>
      <c r="B3417">
        <v>4</v>
      </c>
      <c r="P3417">
        <v>1</v>
      </c>
      <c r="AY3417">
        <f t="shared" si="106"/>
        <v>43</v>
      </c>
      <c r="AZ3417">
        <f t="shared" si="107"/>
        <v>3</v>
      </c>
    </row>
    <row r="3418" spans="1:52" ht="55.2">
      <c r="A3418" s="3" t="s">
        <v>3462</v>
      </c>
      <c r="B3418">
        <v>4</v>
      </c>
      <c r="P3418">
        <v>1</v>
      </c>
      <c r="AY3418">
        <f t="shared" si="106"/>
        <v>43</v>
      </c>
      <c r="AZ3418">
        <f t="shared" si="107"/>
        <v>3</v>
      </c>
    </row>
    <row r="3419" spans="1:52" ht="55.2">
      <c r="A3419" s="3" t="s">
        <v>3463</v>
      </c>
      <c r="B3419">
        <v>4</v>
      </c>
      <c r="P3419">
        <v>1</v>
      </c>
      <c r="AY3419">
        <f t="shared" si="106"/>
        <v>43</v>
      </c>
      <c r="AZ3419">
        <f t="shared" si="107"/>
        <v>3</v>
      </c>
    </row>
    <row r="3420" spans="1:52" ht="55.2">
      <c r="A3420" s="3" t="s">
        <v>3464</v>
      </c>
      <c r="B3420">
        <v>4</v>
      </c>
      <c r="P3420">
        <v>1</v>
      </c>
      <c r="AY3420">
        <f t="shared" si="106"/>
        <v>43</v>
      </c>
      <c r="AZ3420">
        <f t="shared" si="107"/>
        <v>3</v>
      </c>
    </row>
    <row r="3421" spans="1:52" ht="55.2">
      <c r="A3421" s="3" t="s">
        <v>3465</v>
      </c>
      <c r="B3421">
        <v>4</v>
      </c>
      <c r="P3421">
        <v>1</v>
      </c>
      <c r="AY3421">
        <f t="shared" si="106"/>
        <v>43</v>
      </c>
      <c r="AZ3421">
        <f t="shared" si="107"/>
        <v>3</v>
      </c>
    </row>
    <row r="3422" spans="1:52" ht="55.2">
      <c r="A3422" s="3" t="s">
        <v>3466</v>
      </c>
      <c r="B3422">
        <v>4</v>
      </c>
      <c r="P3422">
        <v>1</v>
      </c>
      <c r="AY3422">
        <f t="shared" si="106"/>
        <v>43</v>
      </c>
      <c r="AZ3422">
        <f t="shared" si="107"/>
        <v>3</v>
      </c>
    </row>
    <row r="3423" spans="1:52" ht="55.2">
      <c r="A3423" s="3" t="s">
        <v>3467</v>
      </c>
      <c r="B3423">
        <v>4</v>
      </c>
      <c r="P3423">
        <v>1</v>
      </c>
      <c r="AY3423">
        <f t="shared" si="106"/>
        <v>43</v>
      </c>
      <c r="AZ3423">
        <f t="shared" si="107"/>
        <v>3</v>
      </c>
    </row>
    <row r="3424" spans="1:52" ht="55.2">
      <c r="A3424" s="3" t="s">
        <v>3468</v>
      </c>
      <c r="B3424">
        <v>4</v>
      </c>
      <c r="P3424">
        <v>1</v>
      </c>
      <c r="AY3424">
        <f t="shared" si="106"/>
        <v>43</v>
      </c>
      <c r="AZ3424">
        <f t="shared" si="107"/>
        <v>3</v>
      </c>
    </row>
    <row r="3425" spans="1:52" ht="55.2">
      <c r="A3425" s="3" t="s">
        <v>3469</v>
      </c>
      <c r="B3425">
        <v>4</v>
      </c>
      <c r="P3425">
        <v>1</v>
      </c>
      <c r="AY3425">
        <f t="shared" ref="AY3425:AY3488" si="108">COUNTBLANK(F3425:AW3425)</f>
        <v>43</v>
      </c>
      <c r="AZ3425">
        <f t="shared" ref="AZ3425:AZ3488" si="109">COUNTBLANK(B3425:E3425)</f>
        <v>3</v>
      </c>
    </row>
    <row r="3426" spans="1:52" ht="55.2">
      <c r="A3426" s="3" t="s">
        <v>3470</v>
      </c>
      <c r="B3426">
        <v>4</v>
      </c>
      <c r="P3426">
        <v>1</v>
      </c>
      <c r="AY3426">
        <f t="shared" si="108"/>
        <v>43</v>
      </c>
      <c r="AZ3426">
        <f t="shared" si="109"/>
        <v>3</v>
      </c>
    </row>
    <row r="3427" spans="1:52" ht="55.2">
      <c r="A3427" s="3" t="s">
        <v>3471</v>
      </c>
      <c r="B3427">
        <v>4</v>
      </c>
      <c r="P3427">
        <v>1</v>
      </c>
      <c r="AY3427">
        <f t="shared" si="108"/>
        <v>43</v>
      </c>
      <c r="AZ3427">
        <f t="shared" si="109"/>
        <v>3</v>
      </c>
    </row>
    <row r="3428" spans="1:52" ht="55.2">
      <c r="A3428" s="3" t="s">
        <v>3472</v>
      </c>
      <c r="B3428">
        <v>4</v>
      </c>
      <c r="P3428">
        <v>1</v>
      </c>
      <c r="AY3428">
        <f t="shared" si="108"/>
        <v>43</v>
      </c>
      <c r="AZ3428">
        <f t="shared" si="109"/>
        <v>3</v>
      </c>
    </row>
    <row r="3429" spans="1:52" ht="55.2">
      <c r="A3429" s="3" t="s">
        <v>3473</v>
      </c>
      <c r="B3429">
        <v>4</v>
      </c>
      <c r="P3429">
        <v>1</v>
      </c>
      <c r="AY3429">
        <f t="shared" si="108"/>
        <v>43</v>
      </c>
      <c r="AZ3429">
        <f t="shared" si="109"/>
        <v>3</v>
      </c>
    </row>
    <row r="3430" spans="1:52" ht="55.2">
      <c r="A3430" s="3" t="s">
        <v>3474</v>
      </c>
      <c r="B3430">
        <v>4</v>
      </c>
      <c r="P3430">
        <v>1</v>
      </c>
      <c r="AY3430">
        <f t="shared" si="108"/>
        <v>43</v>
      </c>
      <c r="AZ3430">
        <f t="shared" si="109"/>
        <v>3</v>
      </c>
    </row>
    <row r="3431" spans="1:52" ht="55.2">
      <c r="A3431" s="3" t="s">
        <v>3475</v>
      </c>
      <c r="B3431">
        <v>4</v>
      </c>
      <c r="P3431">
        <v>1</v>
      </c>
      <c r="AY3431">
        <f t="shared" si="108"/>
        <v>43</v>
      </c>
      <c r="AZ3431">
        <f t="shared" si="109"/>
        <v>3</v>
      </c>
    </row>
    <row r="3432" spans="1:52" ht="55.2">
      <c r="A3432" s="3" t="s">
        <v>3476</v>
      </c>
      <c r="B3432">
        <v>4</v>
      </c>
      <c r="P3432">
        <v>1</v>
      </c>
      <c r="AY3432">
        <f t="shared" si="108"/>
        <v>43</v>
      </c>
      <c r="AZ3432">
        <f t="shared" si="109"/>
        <v>3</v>
      </c>
    </row>
    <row r="3433" spans="1:52" ht="55.2">
      <c r="A3433" s="3" t="s">
        <v>3477</v>
      </c>
      <c r="B3433">
        <v>4</v>
      </c>
      <c r="P3433">
        <v>1</v>
      </c>
      <c r="AY3433">
        <f t="shared" si="108"/>
        <v>43</v>
      </c>
      <c r="AZ3433">
        <f t="shared" si="109"/>
        <v>3</v>
      </c>
    </row>
    <row r="3434" spans="1:52" ht="55.2">
      <c r="A3434" s="3" t="s">
        <v>3478</v>
      </c>
      <c r="B3434">
        <v>4</v>
      </c>
      <c r="P3434">
        <v>1</v>
      </c>
      <c r="AY3434">
        <f t="shared" si="108"/>
        <v>43</v>
      </c>
      <c r="AZ3434">
        <f t="shared" si="109"/>
        <v>3</v>
      </c>
    </row>
    <row r="3435" spans="1:52" ht="55.2">
      <c r="A3435" s="3" t="s">
        <v>3479</v>
      </c>
      <c r="B3435">
        <v>4</v>
      </c>
      <c r="P3435">
        <v>1</v>
      </c>
      <c r="AY3435">
        <f t="shared" si="108"/>
        <v>43</v>
      </c>
      <c r="AZ3435">
        <f t="shared" si="109"/>
        <v>3</v>
      </c>
    </row>
    <row r="3436" spans="1:52" ht="55.2">
      <c r="A3436" s="3" t="s">
        <v>3480</v>
      </c>
      <c r="B3436">
        <v>4</v>
      </c>
      <c r="P3436">
        <v>1</v>
      </c>
      <c r="AY3436">
        <f t="shared" si="108"/>
        <v>43</v>
      </c>
      <c r="AZ3436">
        <f t="shared" si="109"/>
        <v>3</v>
      </c>
    </row>
    <row r="3437" spans="1:52" ht="55.2">
      <c r="A3437" s="3" t="s">
        <v>3481</v>
      </c>
      <c r="B3437">
        <v>4</v>
      </c>
      <c r="P3437">
        <v>1</v>
      </c>
      <c r="AY3437">
        <f t="shared" si="108"/>
        <v>43</v>
      </c>
      <c r="AZ3437">
        <f t="shared" si="109"/>
        <v>3</v>
      </c>
    </row>
    <row r="3438" spans="1:52" ht="55.2">
      <c r="A3438" s="3" t="s">
        <v>3482</v>
      </c>
      <c r="B3438">
        <v>4</v>
      </c>
      <c r="P3438">
        <v>1</v>
      </c>
      <c r="AY3438">
        <f t="shared" si="108"/>
        <v>43</v>
      </c>
      <c r="AZ3438">
        <f t="shared" si="109"/>
        <v>3</v>
      </c>
    </row>
    <row r="3439" spans="1:52" ht="55.2">
      <c r="A3439" s="3" t="s">
        <v>3483</v>
      </c>
      <c r="B3439">
        <v>4</v>
      </c>
      <c r="P3439">
        <v>1</v>
      </c>
      <c r="AY3439">
        <f t="shared" si="108"/>
        <v>43</v>
      </c>
      <c r="AZ3439">
        <f t="shared" si="109"/>
        <v>3</v>
      </c>
    </row>
    <row r="3440" spans="1:52" ht="55.2">
      <c r="A3440" s="3" t="s">
        <v>3484</v>
      </c>
      <c r="B3440">
        <v>4</v>
      </c>
      <c r="P3440">
        <v>1</v>
      </c>
      <c r="AY3440">
        <f t="shared" si="108"/>
        <v>43</v>
      </c>
      <c r="AZ3440">
        <f t="shared" si="109"/>
        <v>3</v>
      </c>
    </row>
    <row r="3441" spans="1:52" ht="55.2">
      <c r="A3441" s="3" t="s">
        <v>3485</v>
      </c>
      <c r="B3441">
        <v>4</v>
      </c>
      <c r="P3441">
        <v>1</v>
      </c>
      <c r="AY3441">
        <f t="shared" si="108"/>
        <v>43</v>
      </c>
      <c r="AZ3441">
        <f t="shared" si="109"/>
        <v>3</v>
      </c>
    </row>
    <row r="3442" spans="1:52" ht="55.2">
      <c r="A3442" s="3" t="s">
        <v>3486</v>
      </c>
      <c r="B3442">
        <v>4</v>
      </c>
      <c r="P3442">
        <v>1</v>
      </c>
      <c r="AY3442">
        <f t="shared" si="108"/>
        <v>43</v>
      </c>
      <c r="AZ3442">
        <f t="shared" si="109"/>
        <v>3</v>
      </c>
    </row>
    <row r="3443" spans="1:52" ht="55.2">
      <c r="A3443" s="3" t="s">
        <v>3487</v>
      </c>
      <c r="B3443">
        <v>4</v>
      </c>
      <c r="AW3443">
        <v>7</v>
      </c>
      <c r="AY3443">
        <f t="shared" si="108"/>
        <v>43</v>
      </c>
      <c r="AZ3443">
        <f t="shared" si="109"/>
        <v>3</v>
      </c>
    </row>
    <row r="3444" spans="1:52" ht="55.2">
      <c r="A3444" s="3" t="s">
        <v>3488</v>
      </c>
      <c r="B3444">
        <v>4</v>
      </c>
      <c r="J3444">
        <v>31</v>
      </c>
      <c r="AY3444">
        <f t="shared" si="108"/>
        <v>43</v>
      </c>
      <c r="AZ3444">
        <f t="shared" si="109"/>
        <v>3</v>
      </c>
    </row>
    <row r="3445" spans="1:52" ht="55.2">
      <c r="A3445" s="3" t="s">
        <v>3489</v>
      </c>
      <c r="B3445">
        <v>4</v>
      </c>
      <c r="J3445">
        <v>31</v>
      </c>
      <c r="AY3445">
        <f t="shared" si="108"/>
        <v>43</v>
      </c>
      <c r="AZ3445">
        <f t="shared" si="109"/>
        <v>3</v>
      </c>
    </row>
    <row r="3446" spans="1:52" ht="55.2">
      <c r="A3446" s="3" t="s">
        <v>3490</v>
      </c>
      <c r="B3446">
        <v>4</v>
      </c>
      <c r="J3446">
        <v>31</v>
      </c>
      <c r="AY3446">
        <f t="shared" si="108"/>
        <v>43</v>
      </c>
      <c r="AZ3446">
        <f t="shared" si="109"/>
        <v>3</v>
      </c>
    </row>
    <row r="3447" spans="1:52" ht="55.2">
      <c r="A3447" s="3" t="s">
        <v>3491</v>
      </c>
      <c r="B3447">
        <v>4</v>
      </c>
      <c r="J3447">
        <v>31</v>
      </c>
      <c r="AY3447">
        <f t="shared" si="108"/>
        <v>43</v>
      </c>
      <c r="AZ3447">
        <f t="shared" si="109"/>
        <v>3</v>
      </c>
    </row>
    <row r="3448" spans="1:52" ht="55.2">
      <c r="A3448" s="3" t="s">
        <v>3492</v>
      </c>
      <c r="B3448">
        <v>4</v>
      </c>
      <c r="J3448">
        <v>31</v>
      </c>
      <c r="AY3448">
        <f t="shared" si="108"/>
        <v>43</v>
      </c>
      <c r="AZ3448">
        <f t="shared" si="109"/>
        <v>3</v>
      </c>
    </row>
    <row r="3449" spans="1:52" ht="55.2">
      <c r="A3449" s="3" t="s">
        <v>3493</v>
      </c>
      <c r="B3449">
        <v>4</v>
      </c>
      <c r="J3449">
        <v>31</v>
      </c>
      <c r="AY3449">
        <f t="shared" si="108"/>
        <v>43</v>
      </c>
      <c r="AZ3449">
        <f t="shared" si="109"/>
        <v>3</v>
      </c>
    </row>
    <row r="3450" spans="1:52" ht="55.2">
      <c r="A3450" s="3" t="s">
        <v>3494</v>
      </c>
      <c r="B3450">
        <v>4</v>
      </c>
      <c r="J3450">
        <v>31</v>
      </c>
      <c r="AY3450">
        <f t="shared" si="108"/>
        <v>43</v>
      </c>
      <c r="AZ3450">
        <f t="shared" si="109"/>
        <v>3</v>
      </c>
    </row>
    <row r="3451" spans="1:52" ht="55.2">
      <c r="A3451" s="3" t="s">
        <v>3495</v>
      </c>
      <c r="B3451">
        <v>4</v>
      </c>
      <c r="C3451">
        <v>4</v>
      </c>
      <c r="J3451">
        <v>31</v>
      </c>
      <c r="AY3451">
        <f t="shared" si="108"/>
        <v>43</v>
      </c>
      <c r="AZ3451">
        <f t="shared" si="109"/>
        <v>2</v>
      </c>
    </row>
    <row r="3452" spans="1:52" ht="55.2">
      <c r="A3452" s="3" t="s">
        <v>3496</v>
      </c>
      <c r="B3452">
        <v>4</v>
      </c>
      <c r="C3452">
        <v>4</v>
      </c>
      <c r="J3452">
        <v>31</v>
      </c>
      <c r="AY3452">
        <f t="shared" si="108"/>
        <v>43</v>
      </c>
      <c r="AZ3452">
        <f t="shared" si="109"/>
        <v>2</v>
      </c>
    </row>
    <row r="3453" spans="1:52" ht="55.2">
      <c r="A3453" s="3" t="s">
        <v>3497</v>
      </c>
      <c r="B3453">
        <v>4</v>
      </c>
      <c r="C3453">
        <v>4</v>
      </c>
      <c r="J3453">
        <v>31</v>
      </c>
      <c r="AY3453">
        <f t="shared" si="108"/>
        <v>43</v>
      </c>
      <c r="AZ3453">
        <f t="shared" si="109"/>
        <v>2</v>
      </c>
    </row>
    <row r="3454" spans="1:52" ht="55.2">
      <c r="A3454" s="3" t="s">
        <v>3498</v>
      </c>
      <c r="B3454">
        <v>4</v>
      </c>
      <c r="C3454">
        <v>4</v>
      </c>
      <c r="J3454">
        <v>31</v>
      </c>
      <c r="AY3454">
        <f t="shared" si="108"/>
        <v>43</v>
      </c>
      <c r="AZ3454">
        <f t="shared" si="109"/>
        <v>2</v>
      </c>
    </row>
    <row r="3455" spans="1:52" ht="55.2">
      <c r="A3455" s="3" t="s">
        <v>3499</v>
      </c>
      <c r="B3455">
        <v>4</v>
      </c>
      <c r="C3455">
        <v>4</v>
      </c>
      <c r="J3455">
        <v>31</v>
      </c>
      <c r="AY3455">
        <f t="shared" si="108"/>
        <v>43</v>
      </c>
      <c r="AZ3455">
        <f t="shared" si="109"/>
        <v>2</v>
      </c>
    </row>
    <row r="3456" spans="1:52" ht="55.2">
      <c r="A3456" s="3" t="s">
        <v>3500</v>
      </c>
      <c r="B3456">
        <v>4</v>
      </c>
      <c r="C3456">
        <v>4</v>
      </c>
      <c r="J3456">
        <v>31</v>
      </c>
      <c r="AY3456">
        <f t="shared" si="108"/>
        <v>43</v>
      </c>
      <c r="AZ3456">
        <f t="shared" si="109"/>
        <v>2</v>
      </c>
    </row>
    <row r="3457" spans="1:52" ht="55.2">
      <c r="A3457" s="3" t="s">
        <v>3501</v>
      </c>
      <c r="B3457">
        <v>4</v>
      </c>
      <c r="C3457">
        <v>4</v>
      </c>
      <c r="Q3457">
        <v>1</v>
      </c>
      <c r="AY3457">
        <f t="shared" si="108"/>
        <v>43</v>
      </c>
      <c r="AZ3457">
        <f t="shared" si="109"/>
        <v>2</v>
      </c>
    </row>
    <row r="3458" spans="1:52" ht="55.2">
      <c r="A3458" s="3" t="s">
        <v>3502</v>
      </c>
      <c r="B3458">
        <v>4</v>
      </c>
      <c r="C3458">
        <v>4</v>
      </c>
      <c r="Q3458">
        <v>1</v>
      </c>
      <c r="AY3458">
        <f t="shared" si="108"/>
        <v>43</v>
      </c>
      <c r="AZ3458">
        <f t="shared" si="109"/>
        <v>2</v>
      </c>
    </row>
    <row r="3459" spans="1:52" ht="55.2">
      <c r="A3459" s="3" t="s">
        <v>3503</v>
      </c>
      <c r="B3459">
        <v>4</v>
      </c>
      <c r="C3459">
        <v>4</v>
      </c>
      <c r="Q3459">
        <v>1</v>
      </c>
      <c r="AY3459">
        <f t="shared" si="108"/>
        <v>43</v>
      </c>
      <c r="AZ3459">
        <f t="shared" si="109"/>
        <v>2</v>
      </c>
    </row>
    <row r="3460" spans="1:52" ht="55.2">
      <c r="A3460" s="3" t="s">
        <v>3504</v>
      </c>
      <c r="B3460">
        <v>4</v>
      </c>
      <c r="C3460">
        <v>4</v>
      </c>
      <c r="Q3460">
        <v>1</v>
      </c>
      <c r="AY3460">
        <f t="shared" si="108"/>
        <v>43</v>
      </c>
      <c r="AZ3460">
        <f t="shared" si="109"/>
        <v>2</v>
      </c>
    </row>
    <row r="3461" spans="1:52" ht="55.2">
      <c r="A3461" s="3" t="s">
        <v>3505</v>
      </c>
      <c r="B3461">
        <v>4</v>
      </c>
      <c r="C3461">
        <v>4</v>
      </c>
      <c r="Q3461">
        <v>1</v>
      </c>
      <c r="AY3461">
        <f t="shared" si="108"/>
        <v>43</v>
      </c>
      <c r="AZ3461">
        <f t="shared" si="109"/>
        <v>2</v>
      </c>
    </row>
    <row r="3462" spans="1:52" ht="55.2">
      <c r="A3462" s="3" t="s">
        <v>3506</v>
      </c>
      <c r="B3462">
        <v>4</v>
      </c>
      <c r="C3462">
        <v>4</v>
      </c>
      <c r="Q3462">
        <v>1</v>
      </c>
      <c r="AY3462">
        <f t="shared" si="108"/>
        <v>43</v>
      </c>
      <c r="AZ3462">
        <f t="shared" si="109"/>
        <v>2</v>
      </c>
    </row>
    <row r="3463" spans="1:52" ht="55.2">
      <c r="A3463" s="3" t="s">
        <v>3507</v>
      </c>
      <c r="B3463">
        <v>4</v>
      </c>
      <c r="C3463">
        <v>4</v>
      </c>
      <c r="Q3463">
        <v>1</v>
      </c>
      <c r="AY3463">
        <f t="shared" si="108"/>
        <v>43</v>
      </c>
      <c r="AZ3463">
        <f t="shared" si="109"/>
        <v>2</v>
      </c>
    </row>
    <row r="3464" spans="1:52" ht="55.2">
      <c r="A3464" s="3" t="s">
        <v>3508</v>
      </c>
      <c r="B3464">
        <v>4</v>
      </c>
      <c r="C3464">
        <v>4</v>
      </c>
      <c r="Q3464">
        <v>1</v>
      </c>
      <c r="AY3464">
        <f t="shared" si="108"/>
        <v>43</v>
      </c>
      <c r="AZ3464">
        <f t="shared" si="109"/>
        <v>2</v>
      </c>
    </row>
    <row r="3465" spans="1:52" ht="55.2">
      <c r="A3465" s="3" t="s">
        <v>3509</v>
      </c>
      <c r="B3465">
        <v>4</v>
      </c>
      <c r="C3465">
        <v>4</v>
      </c>
      <c r="Q3465">
        <v>1</v>
      </c>
      <c r="AY3465">
        <f t="shared" si="108"/>
        <v>43</v>
      </c>
      <c r="AZ3465">
        <f t="shared" si="109"/>
        <v>2</v>
      </c>
    </row>
    <row r="3466" spans="1:52" ht="55.2">
      <c r="A3466" s="3" t="s">
        <v>3510</v>
      </c>
      <c r="B3466">
        <v>4</v>
      </c>
      <c r="C3466">
        <v>4</v>
      </c>
      <c r="Q3466">
        <v>1</v>
      </c>
      <c r="AY3466">
        <f t="shared" si="108"/>
        <v>43</v>
      </c>
      <c r="AZ3466">
        <f t="shared" si="109"/>
        <v>2</v>
      </c>
    </row>
    <row r="3467" spans="1:52" ht="55.2">
      <c r="A3467" s="3" t="s">
        <v>3511</v>
      </c>
      <c r="B3467">
        <v>4</v>
      </c>
      <c r="C3467">
        <v>4</v>
      </c>
      <c r="Q3467">
        <v>1</v>
      </c>
      <c r="AY3467">
        <f t="shared" si="108"/>
        <v>43</v>
      </c>
      <c r="AZ3467">
        <f t="shared" si="109"/>
        <v>2</v>
      </c>
    </row>
    <row r="3468" spans="1:52" ht="55.2">
      <c r="A3468" s="3" t="s">
        <v>3512</v>
      </c>
      <c r="B3468">
        <v>4</v>
      </c>
      <c r="C3468">
        <v>4</v>
      </c>
      <c r="Q3468">
        <v>1</v>
      </c>
      <c r="AY3468">
        <f t="shared" si="108"/>
        <v>43</v>
      </c>
      <c r="AZ3468">
        <f t="shared" si="109"/>
        <v>2</v>
      </c>
    </row>
    <row r="3469" spans="1:52" ht="55.2">
      <c r="A3469" s="3" t="s">
        <v>3513</v>
      </c>
      <c r="B3469">
        <v>4</v>
      </c>
      <c r="C3469">
        <v>4</v>
      </c>
      <c r="Q3469">
        <v>1</v>
      </c>
      <c r="AY3469">
        <f t="shared" si="108"/>
        <v>43</v>
      </c>
      <c r="AZ3469">
        <f t="shared" si="109"/>
        <v>2</v>
      </c>
    </row>
    <row r="3470" spans="1:52" ht="55.2">
      <c r="A3470" s="3" t="s">
        <v>3514</v>
      </c>
      <c r="B3470">
        <v>4</v>
      </c>
      <c r="C3470">
        <v>4</v>
      </c>
      <c r="Q3470">
        <v>1</v>
      </c>
      <c r="AY3470">
        <f t="shared" si="108"/>
        <v>43</v>
      </c>
      <c r="AZ3470">
        <f t="shared" si="109"/>
        <v>2</v>
      </c>
    </row>
    <row r="3471" spans="1:52" ht="55.2">
      <c r="A3471" s="3" t="s">
        <v>3515</v>
      </c>
      <c r="B3471">
        <v>4</v>
      </c>
      <c r="C3471">
        <v>4</v>
      </c>
      <c r="Q3471">
        <v>1</v>
      </c>
      <c r="AY3471">
        <f t="shared" si="108"/>
        <v>43</v>
      </c>
      <c r="AZ3471">
        <f t="shared" si="109"/>
        <v>2</v>
      </c>
    </row>
    <row r="3472" spans="1:52" ht="55.2">
      <c r="A3472" s="3" t="s">
        <v>3516</v>
      </c>
      <c r="B3472">
        <v>4</v>
      </c>
      <c r="C3472">
        <v>4</v>
      </c>
      <c r="Q3472">
        <v>1</v>
      </c>
      <c r="AY3472">
        <f t="shared" si="108"/>
        <v>43</v>
      </c>
      <c r="AZ3472">
        <f t="shared" si="109"/>
        <v>2</v>
      </c>
    </row>
    <row r="3473" spans="1:52" ht="55.2">
      <c r="A3473" s="3" t="s">
        <v>3517</v>
      </c>
      <c r="B3473">
        <v>4</v>
      </c>
      <c r="C3473">
        <v>4</v>
      </c>
      <c r="Q3473">
        <v>1</v>
      </c>
      <c r="AY3473">
        <f t="shared" si="108"/>
        <v>43</v>
      </c>
      <c r="AZ3473">
        <f t="shared" si="109"/>
        <v>2</v>
      </c>
    </row>
    <row r="3474" spans="1:52" ht="55.2">
      <c r="A3474" s="3" t="s">
        <v>3518</v>
      </c>
      <c r="B3474">
        <v>4</v>
      </c>
      <c r="C3474">
        <v>4</v>
      </c>
      <c r="Q3474">
        <v>1</v>
      </c>
      <c r="AY3474">
        <f t="shared" si="108"/>
        <v>43</v>
      </c>
      <c r="AZ3474">
        <f t="shared" si="109"/>
        <v>2</v>
      </c>
    </row>
    <row r="3475" spans="1:52" ht="55.2">
      <c r="A3475" s="3" t="s">
        <v>3519</v>
      </c>
      <c r="B3475">
        <v>4</v>
      </c>
      <c r="C3475">
        <v>4</v>
      </c>
      <c r="Q3475">
        <v>1</v>
      </c>
      <c r="AY3475">
        <f t="shared" si="108"/>
        <v>43</v>
      </c>
      <c r="AZ3475">
        <f t="shared" si="109"/>
        <v>2</v>
      </c>
    </row>
    <row r="3476" spans="1:52" ht="55.2">
      <c r="A3476" s="3" t="s">
        <v>3520</v>
      </c>
      <c r="B3476">
        <v>4</v>
      </c>
      <c r="C3476">
        <v>4</v>
      </c>
      <c r="Q3476">
        <v>1</v>
      </c>
      <c r="AY3476">
        <f t="shared" si="108"/>
        <v>43</v>
      </c>
      <c r="AZ3476">
        <f t="shared" si="109"/>
        <v>2</v>
      </c>
    </row>
    <row r="3477" spans="1:52" ht="55.2">
      <c r="A3477" s="3" t="s">
        <v>3521</v>
      </c>
      <c r="B3477">
        <v>4</v>
      </c>
      <c r="C3477">
        <v>4</v>
      </c>
      <c r="Q3477">
        <v>1</v>
      </c>
      <c r="AY3477">
        <f t="shared" si="108"/>
        <v>43</v>
      </c>
      <c r="AZ3477">
        <f t="shared" si="109"/>
        <v>2</v>
      </c>
    </row>
    <row r="3478" spans="1:52" ht="55.2">
      <c r="A3478" s="3" t="s">
        <v>3522</v>
      </c>
      <c r="B3478">
        <v>4</v>
      </c>
      <c r="C3478">
        <v>4</v>
      </c>
      <c r="Q3478">
        <v>1</v>
      </c>
      <c r="AY3478">
        <f t="shared" si="108"/>
        <v>43</v>
      </c>
      <c r="AZ3478">
        <f t="shared" si="109"/>
        <v>2</v>
      </c>
    </row>
    <row r="3479" spans="1:52" ht="55.2">
      <c r="A3479" s="3" t="s">
        <v>3523</v>
      </c>
      <c r="B3479">
        <v>4</v>
      </c>
      <c r="C3479">
        <v>4</v>
      </c>
      <c r="Q3479">
        <v>1</v>
      </c>
      <c r="AY3479">
        <f t="shared" si="108"/>
        <v>43</v>
      </c>
      <c r="AZ3479">
        <f t="shared" si="109"/>
        <v>2</v>
      </c>
    </row>
    <row r="3480" spans="1:52" ht="55.2">
      <c r="A3480" s="3" t="s">
        <v>3524</v>
      </c>
      <c r="B3480">
        <v>4</v>
      </c>
      <c r="C3480">
        <v>4</v>
      </c>
      <c r="Q3480">
        <v>1</v>
      </c>
      <c r="AY3480">
        <f t="shared" si="108"/>
        <v>43</v>
      </c>
      <c r="AZ3480">
        <f t="shared" si="109"/>
        <v>2</v>
      </c>
    </row>
    <row r="3481" spans="1:52" ht="55.2">
      <c r="A3481" s="3" t="s">
        <v>3525</v>
      </c>
      <c r="B3481">
        <v>4</v>
      </c>
      <c r="C3481">
        <v>4</v>
      </c>
      <c r="Q3481">
        <v>1</v>
      </c>
      <c r="AY3481">
        <f t="shared" si="108"/>
        <v>43</v>
      </c>
      <c r="AZ3481">
        <f t="shared" si="109"/>
        <v>2</v>
      </c>
    </row>
    <row r="3482" spans="1:52" ht="55.2">
      <c r="A3482" s="3" t="s">
        <v>3526</v>
      </c>
      <c r="B3482">
        <v>4</v>
      </c>
      <c r="C3482">
        <v>4</v>
      </c>
      <c r="Q3482">
        <v>1</v>
      </c>
      <c r="AY3482">
        <f t="shared" si="108"/>
        <v>43</v>
      </c>
      <c r="AZ3482">
        <f t="shared" si="109"/>
        <v>2</v>
      </c>
    </row>
    <row r="3483" spans="1:52" ht="55.2">
      <c r="A3483" s="3" t="s">
        <v>3527</v>
      </c>
      <c r="B3483">
        <v>4</v>
      </c>
      <c r="C3483">
        <v>4</v>
      </c>
      <c r="Q3483">
        <v>1</v>
      </c>
      <c r="AY3483">
        <f t="shared" si="108"/>
        <v>43</v>
      </c>
      <c r="AZ3483">
        <f t="shared" si="109"/>
        <v>2</v>
      </c>
    </row>
    <row r="3484" spans="1:52" ht="55.2">
      <c r="A3484" s="3" t="s">
        <v>3528</v>
      </c>
      <c r="B3484">
        <v>4</v>
      </c>
      <c r="C3484">
        <v>4</v>
      </c>
      <c r="Q3484">
        <v>1</v>
      </c>
      <c r="AY3484">
        <f t="shared" si="108"/>
        <v>43</v>
      </c>
      <c r="AZ3484">
        <f t="shared" si="109"/>
        <v>2</v>
      </c>
    </row>
    <row r="3485" spans="1:52" ht="55.2">
      <c r="A3485" s="3" t="s">
        <v>3529</v>
      </c>
      <c r="B3485">
        <v>4</v>
      </c>
      <c r="C3485">
        <v>4</v>
      </c>
      <c r="Q3485">
        <v>1</v>
      </c>
      <c r="AY3485">
        <f t="shared" si="108"/>
        <v>43</v>
      </c>
      <c r="AZ3485">
        <f t="shared" si="109"/>
        <v>2</v>
      </c>
    </row>
    <row r="3486" spans="1:52" ht="55.2">
      <c r="A3486" s="3" t="s">
        <v>3530</v>
      </c>
      <c r="B3486">
        <v>4</v>
      </c>
      <c r="C3486">
        <v>4</v>
      </c>
      <c r="Q3486">
        <v>1</v>
      </c>
      <c r="AY3486">
        <f t="shared" si="108"/>
        <v>43</v>
      </c>
      <c r="AZ3486">
        <f t="shared" si="109"/>
        <v>2</v>
      </c>
    </row>
    <row r="3487" spans="1:52" ht="55.2">
      <c r="A3487" s="3" t="s">
        <v>3531</v>
      </c>
      <c r="B3487">
        <v>4</v>
      </c>
      <c r="C3487">
        <v>4</v>
      </c>
      <c r="Q3487">
        <v>1</v>
      </c>
      <c r="AY3487">
        <f t="shared" si="108"/>
        <v>43</v>
      </c>
      <c r="AZ3487">
        <f t="shared" si="109"/>
        <v>2</v>
      </c>
    </row>
    <row r="3488" spans="1:52" ht="55.2">
      <c r="A3488" s="3" t="s">
        <v>3532</v>
      </c>
      <c r="B3488">
        <v>4</v>
      </c>
      <c r="C3488">
        <v>4</v>
      </c>
      <c r="Q3488">
        <v>1</v>
      </c>
      <c r="AY3488">
        <f t="shared" si="108"/>
        <v>43</v>
      </c>
      <c r="AZ3488">
        <f t="shared" si="109"/>
        <v>2</v>
      </c>
    </row>
    <row r="3489" spans="1:52" ht="55.2">
      <c r="A3489" s="3" t="s">
        <v>3533</v>
      </c>
      <c r="B3489">
        <v>4</v>
      </c>
      <c r="C3489">
        <v>4</v>
      </c>
      <c r="Q3489">
        <v>1</v>
      </c>
      <c r="AY3489">
        <f t="shared" ref="AY3489:AY3552" si="110">COUNTBLANK(F3489:AW3489)</f>
        <v>43</v>
      </c>
      <c r="AZ3489">
        <f t="shared" ref="AZ3489:AZ3552" si="111">COUNTBLANK(B3489:E3489)</f>
        <v>2</v>
      </c>
    </row>
    <row r="3490" spans="1:52" ht="55.2">
      <c r="A3490" s="3" t="s">
        <v>3534</v>
      </c>
      <c r="B3490">
        <v>4</v>
      </c>
      <c r="C3490">
        <v>4</v>
      </c>
      <c r="Q3490">
        <v>1</v>
      </c>
      <c r="AY3490">
        <f t="shared" si="110"/>
        <v>43</v>
      </c>
      <c r="AZ3490">
        <f t="shared" si="111"/>
        <v>2</v>
      </c>
    </row>
    <row r="3491" spans="1:52" ht="55.2">
      <c r="A3491" s="3" t="s">
        <v>3535</v>
      </c>
      <c r="B3491">
        <v>4</v>
      </c>
      <c r="C3491">
        <v>4</v>
      </c>
      <c r="Q3491">
        <v>1</v>
      </c>
      <c r="AY3491">
        <f t="shared" si="110"/>
        <v>43</v>
      </c>
      <c r="AZ3491">
        <f t="shared" si="111"/>
        <v>2</v>
      </c>
    </row>
    <row r="3492" spans="1:52" ht="55.2">
      <c r="A3492" s="3" t="s">
        <v>3536</v>
      </c>
      <c r="B3492">
        <v>4</v>
      </c>
      <c r="C3492">
        <v>4</v>
      </c>
      <c r="Q3492">
        <v>1</v>
      </c>
      <c r="AY3492">
        <f t="shared" si="110"/>
        <v>43</v>
      </c>
      <c r="AZ3492">
        <f t="shared" si="111"/>
        <v>2</v>
      </c>
    </row>
    <row r="3493" spans="1:52" ht="55.2">
      <c r="A3493" s="3" t="s">
        <v>3537</v>
      </c>
      <c r="B3493">
        <v>4</v>
      </c>
      <c r="C3493">
        <v>4</v>
      </c>
      <c r="Q3493">
        <v>1</v>
      </c>
      <c r="AY3493">
        <f t="shared" si="110"/>
        <v>43</v>
      </c>
      <c r="AZ3493">
        <f t="shared" si="111"/>
        <v>2</v>
      </c>
    </row>
    <row r="3494" spans="1:52" ht="55.2">
      <c r="A3494" s="3" t="s">
        <v>3538</v>
      </c>
      <c r="B3494">
        <v>4</v>
      </c>
      <c r="C3494">
        <v>4</v>
      </c>
      <c r="Q3494">
        <v>1</v>
      </c>
      <c r="AY3494">
        <f t="shared" si="110"/>
        <v>43</v>
      </c>
      <c r="AZ3494">
        <f t="shared" si="111"/>
        <v>2</v>
      </c>
    </row>
    <row r="3495" spans="1:52" ht="55.2">
      <c r="A3495" s="3" t="s">
        <v>3539</v>
      </c>
      <c r="B3495">
        <v>4</v>
      </c>
      <c r="C3495">
        <v>4</v>
      </c>
      <c r="Q3495">
        <v>1</v>
      </c>
      <c r="AY3495">
        <f t="shared" si="110"/>
        <v>43</v>
      </c>
      <c r="AZ3495">
        <f t="shared" si="111"/>
        <v>2</v>
      </c>
    </row>
    <row r="3496" spans="1:52" ht="55.2">
      <c r="A3496" s="3" t="s">
        <v>3540</v>
      </c>
      <c r="B3496">
        <v>4</v>
      </c>
      <c r="C3496">
        <v>4</v>
      </c>
      <c r="Q3496">
        <v>1</v>
      </c>
      <c r="AY3496">
        <f t="shared" si="110"/>
        <v>43</v>
      </c>
      <c r="AZ3496">
        <f t="shared" si="111"/>
        <v>2</v>
      </c>
    </row>
    <row r="3497" spans="1:52" ht="55.2">
      <c r="A3497" s="3" t="s">
        <v>3541</v>
      </c>
      <c r="B3497">
        <v>4</v>
      </c>
      <c r="C3497">
        <v>4</v>
      </c>
      <c r="Q3497">
        <v>1</v>
      </c>
      <c r="AY3497">
        <f t="shared" si="110"/>
        <v>43</v>
      </c>
      <c r="AZ3497">
        <f t="shared" si="111"/>
        <v>2</v>
      </c>
    </row>
    <row r="3498" spans="1:52" ht="55.2">
      <c r="A3498" s="3" t="s">
        <v>3542</v>
      </c>
      <c r="B3498">
        <v>4</v>
      </c>
      <c r="C3498">
        <v>4</v>
      </c>
      <c r="Q3498">
        <v>1</v>
      </c>
      <c r="AY3498">
        <f t="shared" si="110"/>
        <v>43</v>
      </c>
      <c r="AZ3498">
        <f t="shared" si="111"/>
        <v>2</v>
      </c>
    </row>
    <row r="3499" spans="1:52" ht="55.2">
      <c r="A3499" s="3" t="s">
        <v>3543</v>
      </c>
      <c r="B3499">
        <v>4</v>
      </c>
      <c r="C3499">
        <v>4</v>
      </c>
      <c r="Q3499">
        <v>1</v>
      </c>
      <c r="AY3499">
        <f t="shared" si="110"/>
        <v>43</v>
      </c>
      <c r="AZ3499">
        <f t="shared" si="111"/>
        <v>2</v>
      </c>
    </row>
    <row r="3500" spans="1:52" ht="55.2">
      <c r="A3500" s="3" t="s">
        <v>3544</v>
      </c>
      <c r="B3500">
        <v>4</v>
      </c>
      <c r="C3500">
        <v>4</v>
      </c>
      <c r="Q3500">
        <v>1</v>
      </c>
      <c r="AY3500">
        <f t="shared" si="110"/>
        <v>43</v>
      </c>
      <c r="AZ3500">
        <f t="shared" si="111"/>
        <v>2</v>
      </c>
    </row>
    <row r="3501" spans="1:52" ht="55.2">
      <c r="A3501" s="3" t="s">
        <v>3545</v>
      </c>
      <c r="B3501">
        <v>4</v>
      </c>
      <c r="C3501">
        <v>4</v>
      </c>
      <c r="Q3501">
        <v>1</v>
      </c>
      <c r="AY3501">
        <f t="shared" si="110"/>
        <v>43</v>
      </c>
      <c r="AZ3501">
        <f t="shared" si="111"/>
        <v>2</v>
      </c>
    </row>
    <row r="3502" spans="1:52" ht="55.2">
      <c r="A3502" s="3" t="s">
        <v>3546</v>
      </c>
      <c r="B3502">
        <v>4</v>
      </c>
      <c r="C3502">
        <v>4</v>
      </c>
      <c r="Q3502">
        <v>1</v>
      </c>
      <c r="AY3502">
        <f t="shared" si="110"/>
        <v>43</v>
      </c>
      <c r="AZ3502">
        <f t="shared" si="111"/>
        <v>2</v>
      </c>
    </row>
    <row r="3503" spans="1:52" ht="55.2">
      <c r="A3503" s="3" t="s">
        <v>3547</v>
      </c>
      <c r="B3503">
        <v>4</v>
      </c>
      <c r="C3503">
        <v>4</v>
      </c>
      <c r="Q3503">
        <v>1</v>
      </c>
      <c r="AY3503">
        <f t="shared" si="110"/>
        <v>43</v>
      </c>
      <c r="AZ3503">
        <f t="shared" si="111"/>
        <v>2</v>
      </c>
    </row>
    <row r="3504" spans="1:52" ht="55.2">
      <c r="A3504" s="3" t="s">
        <v>3548</v>
      </c>
      <c r="B3504">
        <v>4</v>
      </c>
      <c r="C3504">
        <v>4</v>
      </c>
      <c r="Q3504">
        <v>1</v>
      </c>
      <c r="AY3504">
        <f t="shared" si="110"/>
        <v>43</v>
      </c>
      <c r="AZ3504">
        <f t="shared" si="111"/>
        <v>2</v>
      </c>
    </row>
    <row r="3505" spans="1:52" ht="55.2">
      <c r="A3505" s="3" t="s">
        <v>3549</v>
      </c>
      <c r="B3505">
        <v>4</v>
      </c>
      <c r="C3505">
        <v>4</v>
      </c>
      <c r="Q3505">
        <v>1</v>
      </c>
      <c r="AY3505">
        <f t="shared" si="110"/>
        <v>43</v>
      </c>
      <c r="AZ3505">
        <f t="shared" si="111"/>
        <v>2</v>
      </c>
    </row>
    <row r="3506" spans="1:52" ht="55.2">
      <c r="A3506" s="3" t="s">
        <v>3550</v>
      </c>
      <c r="B3506">
        <v>4</v>
      </c>
      <c r="C3506">
        <v>4</v>
      </c>
      <c r="Q3506">
        <v>1</v>
      </c>
      <c r="AY3506">
        <f t="shared" si="110"/>
        <v>43</v>
      </c>
      <c r="AZ3506">
        <f t="shared" si="111"/>
        <v>2</v>
      </c>
    </row>
    <row r="3507" spans="1:52" ht="55.2">
      <c r="A3507" s="3" t="s">
        <v>3551</v>
      </c>
      <c r="B3507">
        <v>4</v>
      </c>
      <c r="C3507">
        <v>4</v>
      </c>
      <c r="Q3507">
        <v>1</v>
      </c>
      <c r="AY3507">
        <f t="shared" si="110"/>
        <v>43</v>
      </c>
      <c r="AZ3507">
        <f t="shared" si="111"/>
        <v>2</v>
      </c>
    </row>
    <row r="3508" spans="1:52" ht="55.2">
      <c r="A3508" s="3" t="s">
        <v>3552</v>
      </c>
      <c r="B3508">
        <v>4</v>
      </c>
      <c r="C3508">
        <v>4</v>
      </c>
      <c r="Q3508">
        <v>1</v>
      </c>
      <c r="AY3508">
        <f t="shared" si="110"/>
        <v>43</v>
      </c>
      <c r="AZ3508">
        <f t="shared" si="111"/>
        <v>2</v>
      </c>
    </row>
    <row r="3509" spans="1:52" ht="55.2">
      <c r="A3509" s="3" t="s">
        <v>3553</v>
      </c>
      <c r="B3509">
        <v>4</v>
      </c>
      <c r="C3509">
        <v>4</v>
      </c>
      <c r="Q3509">
        <v>1</v>
      </c>
      <c r="AY3509">
        <f t="shared" si="110"/>
        <v>43</v>
      </c>
      <c r="AZ3509">
        <f t="shared" si="111"/>
        <v>2</v>
      </c>
    </row>
    <row r="3510" spans="1:52" ht="55.2">
      <c r="A3510" s="3" t="s">
        <v>3554</v>
      </c>
      <c r="B3510">
        <v>4</v>
      </c>
      <c r="C3510">
        <v>4</v>
      </c>
      <c r="Q3510">
        <v>1</v>
      </c>
      <c r="AY3510">
        <f t="shared" si="110"/>
        <v>43</v>
      </c>
      <c r="AZ3510">
        <f t="shared" si="111"/>
        <v>2</v>
      </c>
    </row>
    <row r="3511" spans="1:52" ht="55.2">
      <c r="A3511" s="3" t="s">
        <v>3555</v>
      </c>
      <c r="B3511">
        <v>4</v>
      </c>
      <c r="C3511">
        <v>4</v>
      </c>
      <c r="Q3511">
        <v>1</v>
      </c>
      <c r="AY3511">
        <f t="shared" si="110"/>
        <v>43</v>
      </c>
      <c r="AZ3511">
        <f t="shared" si="111"/>
        <v>2</v>
      </c>
    </row>
    <row r="3512" spans="1:52" ht="55.2">
      <c r="A3512" s="3" t="s">
        <v>3556</v>
      </c>
      <c r="B3512">
        <v>4</v>
      </c>
      <c r="C3512">
        <v>4</v>
      </c>
      <c r="Q3512">
        <v>1</v>
      </c>
      <c r="AY3512">
        <f t="shared" si="110"/>
        <v>43</v>
      </c>
      <c r="AZ3512">
        <f t="shared" si="111"/>
        <v>2</v>
      </c>
    </row>
    <row r="3513" spans="1:52" ht="55.2">
      <c r="A3513" s="3" t="s">
        <v>3557</v>
      </c>
      <c r="B3513">
        <v>4</v>
      </c>
      <c r="C3513">
        <v>4</v>
      </c>
      <c r="Q3513">
        <v>1</v>
      </c>
      <c r="AY3513">
        <f t="shared" si="110"/>
        <v>43</v>
      </c>
      <c r="AZ3513">
        <f t="shared" si="111"/>
        <v>2</v>
      </c>
    </row>
    <row r="3514" spans="1:52" ht="55.2">
      <c r="A3514" s="3" t="s">
        <v>3558</v>
      </c>
      <c r="B3514">
        <v>4</v>
      </c>
      <c r="C3514">
        <v>4</v>
      </c>
      <c r="Q3514">
        <v>1</v>
      </c>
      <c r="AY3514">
        <f t="shared" si="110"/>
        <v>43</v>
      </c>
      <c r="AZ3514">
        <f t="shared" si="111"/>
        <v>2</v>
      </c>
    </row>
    <row r="3515" spans="1:52" ht="55.2">
      <c r="A3515" s="3" t="s">
        <v>3559</v>
      </c>
      <c r="B3515">
        <v>4</v>
      </c>
      <c r="C3515">
        <v>4</v>
      </c>
      <c r="Q3515">
        <v>1</v>
      </c>
      <c r="AY3515">
        <f t="shared" si="110"/>
        <v>43</v>
      </c>
      <c r="AZ3515">
        <f t="shared" si="111"/>
        <v>2</v>
      </c>
    </row>
    <row r="3516" spans="1:52" ht="55.2">
      <c r="A3516" s="3" t="s">
        <v>3560</v>
      </c>
      <c r="B3516">
        <v>4</v>
      </c>
      <c r="C3516">
        <v>4</v>
      </c>
      <c r="Q3516">
        <v>1</v>
      </c>
      <c r="AY3516">
        <f t="shared" si="110"/>
        <v>43</v>
      </c>
      <c r="AZ3516">
        <f t="shared" si="111"/>
        <v>2</v>
      </c>
    </row>
    <row r="3517" spans="1:52" ht="55.2">
      <c r="A3517" s="3" t="s">
        <v>3561</v>
      </c>
      <c r="B3517">
        <v>4</v>
      </c>
      <c r="C3517">
        <v>4</v>
      </c>
      <c r="Q3517">
        <v>1</v>
      </c>
      <c r="AY3517">
        <f t="shared" si="110"/>
        <v>43</v>
      </c>
      <c r="AZ3517">
        <f t="shared" si="111"/>
        <v>2</v>
      </c>
    </row>
    <row r="3518" spans="1:52" ht="55.2">
      <c r="A3518" s="3" t="s">
        <v>3562</v>
      </c>
      <c r="B3518">
        <v>4</v>
      </c>
      <c r="C3518">
        <v>4</v>
      </c>
      <c r="Q3518">
        <v>1</v>
      </c>
      <c r="AY3518">
        <f t="shared" si="110"/>
        <v>43</v>
      </c>
      <c r="AZ3518">
        <f t="shared" si="111"/>
        <v>2</v>
      </c>
    </row>
    <row r="3519" spans="1:52" ht="55.2">
      <c r="A3519" s="3" t="s">
        <v>3563</v>
      </c>
      <c r="B3519">
        <v>4</v>
      </c>
      <c r="C3519">
        <v>4</v>
      </c>
      <c r="Q3519">
        <v>1</v>
      </c>
      <c r="AY3519">
        <f t="shared" si="110"/>
        <v>43</v>
      </c>
      <c r="AZ3519">
        <f t="shared" si="111"/>
        <v>2</v>
      </c>
    </row>
    <row r="3520" spans="1:52" ht="55.2">
      <c r="A3520" s="3" t="s">
        <v>3564</v>
      </c>
      <c r="B3520">
        <v>4</v>
      </c>
      <c r="C3520">
        <v>4</v>
      </c>
      <c r="Q3520">
        <v>1</v>
      </c>
      <c r="AY3520">
        <f t="shared" si="110"/>
        <v>43</v>
      </c>
      <c r="AZ3520">
        <f t="shared" si="111"/>
        <v>2</v>
      </c>
    </row>
    <row r="3521" spans="1:52" ht="55.2">
      <c r="A3521" s="3" t="s">
        <v>3565</v>
      </c>
      <c r="B3521">
        <v>4</v>
      </c>
      <c r="C3521">
        <v>4</v>
      </c>
      <c r="Q3521">
        <v>1</v>
      </c>
      <c r="AY3521">
        <f t="shared" si="110"/>
        <v>43</v>
      </c>
      <c r="AZ3521">
        <f t="shared" si="111"/>
        <v>2</v>
      </c>
    </row>
    <row r="3522" spans="1:52" ht="55.2">
      <c r="A3522" s="3" t="s">
        <v>3566</v>
      </c>
      <c r="B3522">
        <v>4</v>
      </c>
      <c r="C3522">
        <v>4</v>
      </c>
      <c r="Q3522">
        <v>1</v>
      </c>
      <c r="AY3522">
        <f t="shared" si="110"/>
        <v>43</v>
      </c>
      <c r="AZ3522">
        <f t="shared" si="111"/>
        <v>2</v>
      </c>
    </row>
    <row r="3523" spans="1:52" ht="55.2">
      <c r="A3523" s="3" t="s">
        <v>3567</v>
      </c>
      <c r="B3523">
        <v>4</v>
      </c>
      <c r="C3523">
        <v>4</v>
      </c>
      <c r="Q3523">
        <v>1</v>
      </c>
      <c r="AY3523">
        <f t="shared" si="110"/>
        <v>43</v>
      </c>
      <c r="AZ3523">
        <f t="shared" si="111"/>
        <v>2</v>
      </c>
    </row>
    <row r="3524" spans="1:52" ht="55.2">
      <c r="A3524" s="3" t="s">
        <v>3568</v>
      </c>
      <c r="B3524">
        <v>4</v>
      </c>
      <c r="C3524">
        <v>4</v>
      </c>
      <c r="Q3524">
        <v>1</v>
      </c>
      <c r="AY3524">
        <f t="shared" si="110"/>
        <v>43</v>
      </c>
      <c r="AZ3524">
        <f t="shared" si="111"/>
        <v>2</v>
      </c>
    </row>
    <row r="3525" spans="1:52" ht="55.2">
      <c r="A3525" s="3" t="s">
        <v>3569</v>
      </c>
      <c r="B3525">
        <v>4</v>
      </c>
      <c r="C3525">
        <v>4</v>
      </c>
      <c r="Q3525">
        <v>1</v>
      </c>
      <c r="AY3525">
        <f t="shared" si="110"/>
        <v>43</v>
      </c>
      <c r="AZ3525">
        <f t="shared" si="111"/>
        <v>2</v>
      </c>
    </row>
    <row r="3526" spans="1:52" ht="55.2">
      <c r="A3526" s="3" t="s">
        <v>3570</v>
      </c>
      <c r="B3526">
        <v>4</v>
      </c>
      <c r="C3526">
        <v>4</v>
      </c>
      <c r="Q3526">
        <v>1</v>
      </c>
      <c r="AY3526">
        <f t="shared" si="110"/>
        <v>43</v>
      </c>
      <c r="AZ3526">
        <f t="shared" si="111"/>
        <v>2</v>
      </c>
    </row>
    <row r="3527" spans="1:52" ht="55.2">
      <c r="A3527" s="3" t="s">
        <v>3571</v>
      </c>
      <c r="B3527">
        <v>4</v>
      </c>
      <c r="C3527">
        <v>4</v>
      </c>
      <c r="Q3527">
        <v>1</v>
      </c>
      <c r="AY3527">
        <f t="shared" si="110"/>
        <v>43</v>
      </c>
      <c r="AZ3527">
        <f t="shared" si="111"/>
        <v>2</v>
      </c>
    </row>
    <row r="3528" spans="1:52" ht="55.2">
      <c r="A3528" s="3" t="s">
        <v>3572</v>
      </c>
      <c r="B3528">
        <v>4</v>
      </c>
      <c r="C3528">
        <v>4</v>
      </c>
      <c r="Q3528">
        <v>1</v>
      </c>
      <c r="AY3528">
        <f t="shared" si="110"/>
        <v>43</v>
      </c>
      <c r="AZ3528">
        <f t="shared" si="111"/>
        <v>2</v>
      </c>
    </row>
    <row r="3529" spans="1:52" ht="55.2">
      <c r="A3529" s="3" t="s">
        <v>3573</v>
      </c>
      <c r="B3529">
        <v>4</v>
      </c>
      <c r="C3529">
        <v>4</v>
      </c>
      <c r="Q3529">
        <v>1</v>
      </c>
      <c r="AY3529">
        <f t="shared" si="110"/>
        <v>43</v>
      </c>
      <c r="AZ3529">
        <f t="shared" si="111"/>
        <v>2</v>
      </c>
    </row>
    <row r="3530" spans="1:52" ht="55.2">
      <c r="A3530" s="3" t="s">
        <v>3574</v>
      </c>
      <c r="B3530">
        <v>4</v>
      </c>
      <c r="C3530">
        <v>4</v>
      </c>
      <c r="Q3530">
        <v>1</v>
      </c>
      <c r="AY3530">
        <f t="shared" si="110"/>
        <v>43</v>
      </c>
      <c r="AZ3530">
        <f t="shared" si="111"/>
        <v>2</v>
      </c>
    </row>
    <row r="3531" spans="1:52" ht="55.2">
      <c r="A3531" s="3" t="s">
        <v>3575</v>
      </c>
      <c r="B3531">
        <v>4</v>
      </c>
      <c r="C3531">
        <v>4</v>
      </c>
      <c r="Q3531">
        <v>1</v>
      </c>
      <c r="AY3531">
        <f t="shared" si="110"/>
        <v>43</v>
      </c>
      <c r="AZ3531">
        <f t="shared" si="111"/>
        <v>2</v>
      </c>
    </row>
    <row r="3532" spans="1:52" ht="55.2">
      <c r="A3532" s="3" t="s">
        <v>3576</v>
      </c>
      <c r="B3532">
        <v>4</v>
      </c>
      <c r="C3532">
        <v>4</v>
      </c>
      <c r="Q3532">
        <v>1</v>
      </c>
      <c r="AY3532">
        <f t="shared" si="110"/>
        <v>43</v>
      </c>
      <c r="AZ3532">
        <f t="shared" si="111"/>
        <v>2</v>
      </c>
    </row>
    <row r="3533" spans="1:52" ht="55.2">
      <c r="A3533" s="3" t="s">
        <v>3577</v>
      </c>
      <c r="B3533">
        <v>4</v>
      </c>
      <c r="C3533">
        <v>4</v>
      </c>
      <c r="Q3533">
        <v>1</v>
      </c>
      <c r="AY3533">
        <f t="shared" si="110"/>
        <v>43</v>
      </c>
      <c r="AZ3533">
        <f t="shared" si="111"/>
        <v>2</v>
      </c>
    </row>
    <row r="3534" spans="1:52" ht="55.2">
      <c r="A3534" s="3" t="s">
        <v>3578</v>
      </c>
      <c r="B3534">
        <v>4</v>
      </c>
      <c r="C3534">
        <v>4</v>
      </c>
      <c r="Q3534">
        <v>1</v>
      </c>
      <c r="AY3534">
        <f t="shared" si="110"/>
        <v>43</v>
      </c>
      <c r="AZ3534">
        <f t="shared" si="111"/>
        <v>2</v>
      </c>
    </row>
    <row r="3535" spans="1:52" ht="55.2">
      <c r="A3535" s="3" t="s">
        <v>3579</v>
      </c>
      <c r="B3535">
        <v>4</v>
      </c>
      <c r="C3535">
        <v>4</v>
      </c>
      <c r="Q3535">
        <v>1</v>
      </c>
      <c r="AY3535">
        <f t="shared" si="110"/>
        <v>43</v>
      </c>
      <c r="AZ3535">
        <f t="shared" si="111"/>
        <v>2</v>
      </c>
    </row>
    <row r="3536" spans="1:52" ht="55.2">
      <c r="A3536" s="3" t="s">
        <v>3580</v>
      </c>
      <c r="B3536">
        <v>4</v>
      </c>
      <c r="C3536">
        <v>4</v>
      </c>
      <c r="Q3536">
        <v>1</v>
      </c>
      <c r="AY3536">
        <f t="shared" si="110"/>
        <v>43</v>
      </c>
      <c r="AZ3536">
        <f t="shared" si="111"/>
        <v>2</v>
      </c>
    </row>
    <row r="3537" spans="1:52" ht="55.2">
      <c r="A3537" s="3" t="s">
        <v>3581</v>
      </c>
      <c r="B3537">
        <v>4</v>
      </c>
      <c r="C3537">
        <v>4</v>
      </c>
      <c r="Q3537">
        <v>1</v>
      </c>
      <c r="AY3537">
        <f t="shared" si="110"/>
        <v>43</v>
      </c>
      <c r="AZ3537">
        <f t="shared" si="111"/>
        <v>2</v>
      </c>
    </row>
    <row r="3538" spans="1:52" ht="55.2">
      <c r="A3538" s="3" t="s">
        <v>3582</v>
      </c>
      <c r="B3538">
        <v>4</v>
      </c>
      <c r="C3538">
        <v>4</v>
      </c>
      <c r="Q3538">
        <v>1</v>
      </c>
      <c r="AY3538">
        <f t="shared" si="110"/>
        <v>43</v>
      </c>
      <c r="AZ3538">
        <f t="shared" si="111"/>
        <v>2</v>
      </c>
    </row>
    <row r="3539" spans="1:52" ht="55.2">
      <c r="A3539" s="3" t="s">
        <v>3583</v>
      </c>
      <c r="B3539">
        <v>4</v>
      </c>
      <c r="C3539">
        <v>4</v>
      </c>
      <c r="Q3539">
        <v>1</v>
      </c>
      <c r="AY3539">
        <f t="shared" si="110"/>
        <v>43</v>
      </c>
      <c r="AZ3539">
        <f t="shared" si="111"/>
        <v>2</v>
      </c>
    </row>
    <row r="3540" spans="1:52" ht="55.2">
      <c r="A3540" s="3" t="s">
        <v>3584</v>
      </c>
      <c r="B3540">
        <v>4</v>
      </c>
      <c r="C3540">
        <v>4</v>
      </c>
      <c r="Q3540">
        <v>1</v>
      </c>
      <c r="AY3540">
        <f t="shared" si="110"/>
        <v>43</v>
      </c>
      <c r="AZ3540">
        <f t="shared" si="111"/>
        <v>2</v>
      </c>
    </row>
    <row r="3541" spans="1:52" ht="55.2">
      <c r="A3541" s="3" t="s">
        <v>3585</v>
      </c>
      <c r="B3541">
        <v>4</v>
      </c>
      <c r="C3541">
        <v>4</v>
      </c>
      <c r="Q3541">
        <v>1</v>
      </c>
      <c r="AY3541">
        <f t="shared" si="110"/>
        <v>43</v>
      </c>
      <c r="AZ3541">
        <f t="shared" si="111"/>
        <v>2</v>
      </c>
    </row>
    <row r="3542" spans="1:52" ht="55.2">
      <c r="A3542" s="3" t="s">
        <v>3586</v>
      </c>
      <c r="B3542">
        <v>4</v>
      </c>
      <c r="C3542">
        <v>4</v>
      </c>
      <c r="Q3542">
        <v>1</v>
      </c>
      <c r="AY3542">
        <f t="shared" si="110"/>
        <v>43</v>
      </c>
      <c r="AZ3542">
        <f t="shared" si="111"/>
        <v>2</v>
      </c>
    </row>
    <row r="3543" spans="1:52" ht="55.2">
      <c r="A3543" s="3" t="s">
        <v>3587</v>
      </c>
      <c r="B3543">
        <v>4</v>
      </c>
      <c r="C3543">
        <v>4</v>
      </c>
      <c r="Q3543">
        <v>1</v>
      </c>
      <c r="AY3543">
        <f t="shared" si="110"/>
        <v>43</v>
      </c>
      <c r="AZ3543">
        <f t="shared" si="111"/>
        <v>2</v>
      </c>
    </row>
    <row r="3544" spans="1:52" ht="55.2">
      <c r="A3544" s="3" t="s">
        <v>3588</v>
      </c>
      <c r="B3544">
        <v>4</v>
      </c>
      <c r="C3544">
        <v>4</v>
      </c>
      <c r="Q3544">
        <v>1</v>
      </c>
      <c r="AY3544">
        <f t="shared" si="110"/>
        <v>43</v>
      </c>
      <c r="AZ3544">
        <f t="shared" si="111"/>
        <v>2</v>
      </c>
    </row>
    <row r="3545" spans="1:52" ht="55.2">
      <c r="A3545" s="3" t="s">
        <v>3589</v>
      </c>
      <c r="B3545">
        <v>4</v>
      </c>
      <c r="C3545">
        <v>4</v>
      </c>
      <c r="Q3545">
        <v>1</v>
      </c>
      <c r="AY3545">
        <f t="shared" si="110"/>
        <v>43</v>
      </c>
      <c r="AZ3545">
        <f t="shared" si="111"/>
        <v>2</v>
      </c>
    </row>
    <row r="3546" spans="1:52" ht="55.2">
      <c r="A3546" s="3" t="s">
        <v>3590</v>
      </c>
      <c r="B3546">
        <v>4</v>
      </c>
      <c r="C3546">
        <v>4</v>
      </c>
      <c r="Q3546">
        <v>1</v>
      </c>
      <c r="AY3546">
        <f t="shared" si="110"/>
        <v>43</v>
      </c>
      <c r="AZ3546">
        <f t="shared" si="111"/>
        <v>2</v>
      </c>
    </row>
    <row r="3547" spans="1:52" ht="55.2">
      <c r="A3547" s="3" t="s">
        <v>3591</v>
      </c>
      <c r="B3547">
        <v>4</v>
      </c>
      <c r="C3547">
        <v>4</v>
      </c>
      <c r="Q3547">
        <v>1</v>
      </c>
      <c r="AY3547">
        <f t="shared" si="110"/>
        <v>43</v>
      </c>
      <c r="AZ3547">
        <f t="shared" si="111"/>
        <v>2</v>
      </c>
    </row>
    <row r="3548" spans="1:52" ht="55.2">
      <c r="A3548" s="3" t="s">
        <v>3592</v>
      </c>
      <c r="B3548">
        <v>4</v>
      </c>
      <c r="C3548">
        <v>4</v>
      </c>
      <c r="Q3548">
        <v>1</v>
      </c>
      <c r="AY3548">
        <f t="shared" si="110"/>
        <v>43</v>
      </c>
      <c r="AZ3548">
        <f t="shared" si="111"/>
        <v>2</v>
      </c>
    </row>
    <row r="3549" spans="1:52" ht="55.2">
      <c r="A3549" s="3" t="s">
        <v>3593</v>
      </c>
      <c r="B3549">
        <v>4</v>
      </c>
      <c r="C3549">
        <v>4</v>
      </c>
      <c r="Q3549">
        <v>1</v>
      </c>
      <c r="AY3549">
        <f t="shared" si="110"/>
        <v>43</v>
      </c>
      <c r="AZ3549">
        <f t="shared" si="111"/>
        <v>2</v>
      </c>
    </row>
    <row r="3550" spans="1:52" ht="55.2">
      <c r="A3550" s="3" t="s">
        <v>3594</v>
      </c>
      <c r="B3550">
        <v>4</v>
      </c>
      <c r="C3550">
        <v>4</v>
      </c>
      <c r="Q3550">
        <v>1</v>
      </c>
      <c r="AY3550">
        <f t="shared" si="110"/>
        <v>43</v>
      </c>
      <c r="AZ3550">
        <f t="shared" si="111"/>
        <v>2</v>
      </c>
    </row>
    <row r="3551" spans="1:52" ht="55.2">
      <c r="A3551" s="3" t="s">
        <v>3595</v>
      </c>
      <c r="B3551">
        <v>4</v>
      </c>
      <c r="C3551">
        <v>4</v>
      </c>
      <c r="Q3551">
        <v>1</v>
      </c>
      <c r="AY3551">
        <f t="shared" si="110"/>
        <v>43</v>
      </c>
      <c r="AZ3551">
        <f t="shared" si="111"/>
        <v>2</v>
      </c>
    </row>
    <row r="3552" spans="1:52" ht="55.2">
      <c r="A3552" s="3" t="s">
        <v>3596</v>
      </c>
      <c r="B3552">
        <v>4</v>
      </c>
      <c r="C3552">
        <v>4</v>
      </c>
      <c r="Q3552">
        <v>1</v>
      </c>
      <c r="AY3552">
        <f t="shared" si="110"/>
        <v>43</v>
      </c>
      <c r="AZ3552">
        <f t="shared" si="111"/>
        <v>2</v>
      </c>
    </row>
    <row r="3553" spans="1:52" ht="55.2">
      <c r="A3553" s="3" t="s">
        <v>3597</v>
      </c>
      <c r="B3553">
        <v>4</v>
      </c>
      <c r="C3553">
        <v>4</v>
      </c>
      <c r="Q3553">
        <v>1</v>
      </c>
      <c r="AY3553">
        <f t="shared" ref="AY3553:AY3616" si="112">COUNTBLANK(F3553:AW3553)</f>
        <v>43</v>
      </c>
      <c r="AZ3553">
        <f t="shared" ref="AZ3553:AZ3616" si="113">COUNTBLANK(B3553:E3553)</f>
        <v>2</v>
      </c>
    </row>
    <row r="3554" spans="1:52" ht="55.2">
      <c r="A3554" s="3" t="s">
        <v>3598</v>
      </c>
      <c r="B3554">
        <v>4</v>
      </c>
      <c r="C3554">
        <v>4</v>
      </c>
      <c r="Q3554">
        <v>1</v>
      </c>
      <c r="AY3554">
        <f t="shared" si="112"/>
        <v>43</v>
      </c>
      <c r="AZ3554">
        <f t="shared" si="113"/>
        <v>2</v>
      </c>
    </row>
    <row r="3555" spans="1:52" ht="55.2">
      <c r="A3555" s="3" t="s">
        <v>3599</v>
      </c>
      <c r="B3555">
        <v>4</v>
      </c>
      <c r="C3555">
        <v>4</v>
      </c>
      <c r="Q3555">
        <v>1</v>
      </c>
      <c r="AY3555">
        <f t="shared" si="112"/>
        <v>43</v>
      </c>
      <c r="AZ3555">
        <f t="shared" si="113"/>
        <v>2</v>
      </c>
    </row>
    <row r="3556" spans="1:52" ht="55.2">
      <c r="A3556" s="3" t="s">
        <v>3600</v>
      </c>
      <c r="B3556">
        <v>4</v>
      </c>
      <c r="C3556">
        <v>4</v>
      </c>
      <c r="Q3556">
        <v>1</v>
      </c>
      <c r="AY3556">
        <f t="shared" si="112"/>
        <v>43</v>
      </c>
      <c r="AZ3556">
        <f t="shared" si="113"/>
        <v>2</v>
      </c>
    </row>
    <row r="3557" spans="1:52" ht="55.2">
      <c r="A3557" s="3" t="s">
        <v>3601</v>
      </c>
      <c r="B3557">
        <v>4</v>
      </c>
      <c r="C3557">
        <v>4</v>
      </c>
      <c r="Q3557">
        <v>1</v>
      </c>
      <c r="AY3557">
        <f t="shared" si="112"/>
        <v>43</v>
      </c>
      <c r="AZ3557">
        <f t="shared" si="113"/>
        <v>2</v>
      </c>
    </row>
    <row r="3558" spans="1:52" ht="55.2">
      <c r="A3558" s="3" t="s">
        <v>3602</v>
      </c>
      <c r="B3558">
        <v>4</v>
      </c>
      <c r="C3558">
        <v>4</v>
      </c>
      <c r="Q3558">
        <v>1</v>
      </c>
      <c r="AY3558">
        <f t="shared" si="112"/>
        <v>43</v>
      </c>
      <c r="AZ3558">
        <f t="shared" si="113"/>
        <v>2</v>
      </c>
    </row>
    <row r="3559" spans="1:52" ht="55.2">
      <c r="A3559" s="3" t="s">
        <v>3603</v>
      </c>
      <c r="B3559">
        <v>4</v>
      </c>
      <c r="C3559">
        <v>4</v>
      </c>
      <c r="Q3559">
        <v>1</v>
      </c>
      <c r="AY3559">
        <f t="shared" si="112"/>
        <v>43</v>
      </c>
      <c r="AZ3559">
        <f t="shared" si="113"/>
        <v>2</v>
      </c>
    </row>
    <row r="3560" spans="1:52" ht="55.2">
      <c r="A3560" s="3" t="s">
        <v>3604</v>
      </c>
      <c r="B3560">
        <v>4</v>
      </c>
      <c r="C3560">
        <v>4</v>
      </c>
      <c r="Q3560">
        <v>1</v>
      </c>
      <c r="AY3560">
        <f t="shared" si="112"/>
        <v>43</v>
      </c>
      <c r="AZ3560">
        <f t="shared" si="113"/>
        <v>2</v>
      </c>
    </row>
    <row r="3561" spans="1:52" ht="55.2">
      <c r="A3561" s="3" t="s">
        <v>3605</v>
      </c>
      <c r="B3561">
        <v>4</v>
      </c>
      <c r="C3561">
        <v>4</v>
      </c>
      <c r="Q3561">
        <v>1</v>
      </c>
      <c r="AY3561">
        <f t="shared" si="112"/>
        <v>43</v>
      </c>
      <c r="AZ3561">
        <f t="shared" si="113"/>
        <v>2</v>
      </c>
    </row>
    <row r="3562" spans="1:52" ht="55.2">
      <c r="A3562" s="3" t="s">
        <v>3606</v>
      </c>
      <c r="B3562">
        <v>4</v>
      </c>
      <c r="C3562">
        <v>4</v>
      </c>
      <c r="Q3562">
        <v>1</v>
      </c>
      <c r="AY3562">
        <f t="shared" si="112"/>
        <v>43</v>
      </c>
      <c r="AZ3562">
        <f t="shared" si="113"/>
        <v>2</v>
      </c>
    </row>
    <row r="3563" spans="1:52" ht="55.2">
      <c r="A3563" s="3" t="s">
        <v>3607</v>
      </c>
      <c r="B3563">
        <v>4</v>
      </c>
      <c r="C3563">
        <v>4</v>
      </c>
      <c r="Q3563">
        <v>1</v>
      </c>
      <c r="AY3563">
        <f t="shared" si="112"/>
        <v>43</v>
      </c>
      <c r="AZ3563">
        <f t="shared" si="113"/>
        <v>2</v>
      </c>
    </row>
    <row r="3564" spans="1:52" ht="55.2">
      <c r="A3564" s="3" t="s">
        <v>3608</v>
      </c>
      <c r="B3564">
        <v>4</v>
      </c>
      <c r="C3564">
        <v>4</v>
      </c>
      <c r="Q3564">
        <v>1</v>
      </c>
      <c r="AY3564">
        <f t="shared" si="112"/>
        <v>43</v>
      </c>
      <c r="AZ3564">
        <f t="shared" si="113"/>
        <v>2</v>
      </c>
    </row>
    <row r="3565" spans="1:52" ht="55.2">
      <c r="A3565" s="3" t="s">
        <v>3609</v>
      </c>
      <c r="B3565">
        <v>4</v>
      </c>
      <c r="C3565">
        <v>4</v>
      </c>
      <c r="Q3565">
        <v>1</v>
      </c>
      <c r="AY3565">
        <f t="shared" si="112"/>
        <v>43</v>
      </c>
      <c r="AZ3565">
        <f t="shared" si="113"/>
        <v>2</v>
      </c>
    </row>
    <row r="3566" spans="1:52" ht="55.2">
      <c r="A3566" s="3" t="s">
        <v>3610</v>
      </c>
      <c r="B3566">
        <v>4</v>
      </c>
      <c r="C3566">
        <v>4</v>
      </c>
      <c r="Q3566">
        <v>1</v>
      </c>
      <c r="AY3566">
        <f t="shared" si="112"/>
        <v>43</v>
      </c>
      <c r="AZ3566">
        <f t="shared" si="113"/>
        <v>2</v>
      </c>
    </row>
    <row r="3567" spans="1:52" ht="55.2">
      <c r="A3567" s="3" t="s">
        <v>3611</v>
      </c>
      <c r="B3567">
        <v>4</v>
      </c>
      <c r="C3567">
        <v>4</v>
      </c>
      <c r="Q3567">
        <v>1</v>
      </c>
      <c r="AY3567">
        <f t="shared" si="112"/>
        <v>43</v>
      </c>
      <c r="AZ3567">
        <f t="shared" si="113"/>
        <v>2</v>
      </c>
    </row>
    <row r="3568" spans="1:52" ht="55.2">
      <c r="A3568" s="3" t="s">
        <v>3612</v>
      </c>
      <c r="B3568">
        <v>4</v>
      </c>
      <c r="C3568">
        <v>4</v>
      </c>
      <c r="Q3568">
        <v>1</v>
      </c>
      <c r="AY3568">
        <f t="shared" si="112"/>
        <v>43</v>
      </c>
      <c r="AZ3568">
        <f t="shared" si="113"/>
        <v>2</v>
      </c>
    </row>
    <row r="3569" spans="1:52" ht="55.2">
      <c r="A3569" s="3" t="s">
        <v>3613</v>
      </c>
      <c r="B3569">
        <v>4</v>
      </c>
      <c r="C3569">
        <v>4</v>
      </c>
      <c r="Q3569">
        <v>1</v>
      </c>
      <c r="AY3569">
        <f t="shared" si="112"/>
        <v>43</v>
      </c>
      <c r="AZ3569">
        <f t="shared" si="113"/>
        <v>2</v>
      </c>
    </row>
    <row r="3570" spans="1:52" ht="55.2">
      <c r="A3570" s="3" t="s">
        <v>3614</v>
      </c>
      <c r="B3570">
        <v>4</v>
      </c>
      <c r="C3570">
        <v>4</v>
      </c>
      <c r="Q3570">
        <v>1</v>
      </c>
      <c r="AY3570">
        <f t="shared" si="112"/>
        <v>43</v>
      </c>
      <c r="AZ3570">
        <f t="shared" si="113"/>
        <v>2</v>
      </c>
    </row>
    <row r="3571" spans="1:52" ht="55.2">
      <c r="A3571" s="3" t="s">
        <v>3615</v>
      </c>
      <c r="B3571">
        <v>4</v>
      </c>
      <c r="C3571">
        <v>4</v>
      </c>
      <c r="Q3571">
        <v>1</v>
      </c>
      <c r="AY3571">
        <f t="shared" si="112"/>
        <v>43</v>
      </c>
      <c r="AZ3571">
        <f t="shared" si="113"/>
        <v>2</v>
      </c>
    </row>
    <row r="3572" spans="1:52" ht="55.2">
      <c r="A3572" s="3" t="s">
        <v>3616</v>
      </c>
      <c r="B3572">
        <v>4</v>
      </c>
      <c r="C3572">
        <v>4</v>
      </c>
      <c r="Q3572">
        <v>1</v>
      </c>
      <c r="AY3572">
        <f t="shared" si="112"/>
        <v>43</v>
      </c>
      <c r="AZ3572">
        <f t="shared" si="113"/>
        <v>2</v>
      </c>
    </row>
    <row r="3573" spans="1:52" ht="55.2">
      <c r="A3573" s="3" t="s">
        <v>3617</v>
      </c>
      <c r="B3573">
        <v>4</v>
      </c>
      <c r="C3573">
        <v>4</v>
      </c>
      <c r="Q3573">
        <v>1</v>
      </c>
      <c r="AY3573">
        <f t="shared" si="112"/>
        <v>43</v>
      </c>
      <c r="AZ3573">
        <f t="shared" si="113"/>
        <v>2</v>
      </c>
    </row>
    <row r="3574" spans="1:52" ht="55.2">
      <c r="A3574" s="3" t="s">
        <v>3618</v>
      </c>
      <c r="B3574">
        <v>4</v>
      </c>
      <c r="C3574">
        <v>4</v>
      </c>
      <c r="Q3574">
        <v>1</v>
      </c>
      <c r="AY3574">
        <f t="shared" si="112"/>
        <v>43</v>
      </c>
      <c r="AZ3574">
        <f t="shared" si="113"/>
        <v>2</v>
      </c>
    </row>
    <row r="3575" spans="1:52" ht="55.2">
      <c r="A3575" s="3" t="s">
        <v>3619</v>
      </c>
      <c r="B3575">
        <v>4</v>
      </c>
      <c r="C3575">
        <v>4</v>
      </c>
      <c r="Q3575">
        <v>1</v>
      </c>
      <c r="AY3575">
        <f t="shared" si="112"/>
        <v>43</v>
      </c>
      <c r="AZ3575">
        <f t="shared" si="113"/>
        <v>2</v>
      </c>
    </row>
    <row r="3576" spans="1:52" ht="55.2">
      <c r="A3576" s="3" t="s">
        <v>3620</v>
      </c>
      <c r="B3576">
        <v>4</v>
      </c>
      <c r="C3576">
        <v>4</v>
      </c>
      <c r="Q3576">
        <v>1</v>
      </c>
      <c r="AY3576">
        <f t="shared" si="112"/>
        <v>43</v>
      </c>
      <c r="AZ3576">
        <f t="shared" si="113"/>
        <v>2</v>
      </c>
    </row>
    <row r="3577" spans="1:52" ht="55.2">
      <c r="A3577" s="3" t="s">
        <v>3621</v>
      </c>
      <c r="B3577">
        <v>4</v>
      </c>
      <c r="C3577">
        <v>4</v>
      </c>
      <c r="Q3577">
        <v>1</v>
      </c>
      <c r="AY3577">
        <f t="shared" si="112"/>
        <v>43</v>
      </c>
      <c r="AZ3577">
        <f t="shared" si="113"/>
        <v>2</v>
      </c>
    </row>
    <row r="3578" spans="1:52" ht="55.2">
      <c r="A3578" s="3" t="s">
        <v>3622</v>
      </c>
      <c r="B3578">
        <v>4</v>
      </c>
      <c r="C3578">
        <v>4</v>
      </c>
      <c r="Q3578">
        <v>1</v>
      </c>
      <c r="AY3578">
        <f t="shared" si="112"/>
        <v>43</v>
      </c>
      <c r="AZ3578">
        <f t="shared" si="113"/>
        <v>2</v>
      </c>
    </row>
    <row r="3579" spans="1:52" ht="55.2">
      <c r="A3579" s="3" t="s">
        <v>3623</v>
      </c>
      <c r="B3579">
        <v>4</v>
      </c>
      <c r="C3579">
        <v>4</v>
      </c>
      <c r="Q3579">
        <v>1</v>
      </c>
      <c r="AY3579">
        <f t="shared" si="112"/>
        <v>43</v>
      </c>
      <c r="AZ3579">
        <f t="shared" si="113"/>
        <v>2</v>
      </c>
    </row>
    <row r="3580" spans="1:52" ht="55.2">
      <c r="A3580" s="3" t="s">
        <v>3624</v>
      </c>
      <c r="B3580">
        <v>4</v>
      </c>
      <c r="C3580">
        <v>4</v>
      </c>
      <c r="Q3580">
        <v>1</v>
      </c>
      <c r="AY3580">
        <f t="shared" si="112"/>
        <v>43</v>
      </c>
      <c r="AZ3580">
        <f t="shared" si="113"/>
        <v>2</v>
      </c>
    </row>
    <row r="3581" spans="1:52" ht="55.2">
      <c r="A3581" s="3" t="s">
        <v>3625</v>
      </c>
      <c r="B3581">
        <v>4</v>
      </c>
      <c r="C3581">
        <v>4</v>
      </c>
      <c r="Q3581">
        <v>1</v>
      </c>
      <c r="AY3581">
        <f t="shared" si="112"/>
        <v>43</v>
      </c>
      <c r="AZ3581">
        <f t="shared" si="113"/>
        <v>2</v>
      </c>
    </row>
    <row r="3582" spans="1:52" ht="55.2">
      <c r="A3582" s="3" t="s">
        <v>3626</v>
      </c>
      <c r="B3582">
        <v>4</v>
      </c>
      <c r="C3582">
        <v>4</v>
      </c>
      <c r="Q3582">
        <v>1</v>
      </c>
      <c r="AY3582">
        <f t="shared" si="112"/>
        <v>43</v>
      </c>
      <c r="AZ3582">
        <f t="shared" si="113"/>
        <v>2</v>
      </c>
    </row>
    <row r="3583" spans="1:52" ht="55.2">
      <c r="A3583" s="3" t="s">
        <v>3627</v>
      </c>
      <c r="B3583">
        <v>4</v>
      </c>
      <c r="C3583">
        <v>4</v>
      </c>
      <c r="Q3583">
        <v>1</v>
      </c>
      <c r="AY3583">
        <f t="shared" si="112"/>
        <v>43</v>
      </c>
      <c r="AZ3583">
        <f t="shared" si="113"/>
        <v>2</v>
      </c>
    </row>
    <row r="3584" spans="1:52" ht="55.2">
      <c r="A3584" s="3" t="s">
        <v>3628</v>
      </c>
      <c r="B3584">
        <v>4</v>
      </c>
      <c r="C3584">
        <v>4</v>
      </c>
      <c r="Q3584">
        <v>1</v>
      </c>
      <c r="AY3584">
        <f t="shared" si="112"/>
        <v>43</v>
      </c>
      <c r="AZ3584">
        <f t="shared" si="113"/>
        <v>2</v>
      </c>
    </row>
    <row r="3585" spans="1:52" ht="55.2">
      <c r="A3585" s="3" t="s">
        <v>3629</v>
      </c>
      <c r="B3585">
        <v>4</v>
      </c>
      <c r="C3585">
        <v>4</v>
      </c>
      <c r="Q3585">
        <v>1</v>
      </c>
      <c r="AY3585">
        <f t="shared" si="112"/>
        <v>43</v>
      </c>
      <c r="AZ3585">
        <f t="shared" si="113"/>
        <v>2</v>
      </c>
    </row>
    <row r="3586" spans="1:52" ht="55.2">
      <c r="A3586" s="3" t="s">
        <v>3630</v>
      </c>
      <c r="B3586">
        <v>4</v>
      </c>
      <c r="C3586">
        <v>4</v>
      </c>
      <c r="Q3586">
        <v>1</v>
      </c>
      <c r="AY3586">
        <f t="shared" si="112"/>
        <v>43</v>
      </c>
      <c r="AZ3586">
        <f t="shared" si="113"/>
        <v>2</v>
      </c>
    </row>
    <row r="3587" spans="1:52" ht="55.2">
      <c r="A3587" s="3" t="s">
        <v>3631</v>
      </c>
      <c r="B3587">
        <v>4</v>
      </c>
      <c r="C3587">
        <v>4</v>
      </c>
      <c r="Q3587">
        <v>1</v>
      </c>
      <c r="AY3587">
        <f t="shared" si="112"/>
        <v>43</v>
      </c>
      <c r="AZ3587">
        <f t="shared" si="113"/>
        <v>2</v>
      </c>
    </row>
    <row r="3588" spans="1:52" ht="55.2">
      <c r="A3588" s="3" t="s">
        <v>3632</v>
      </c>
      <c r="B3588">
        <v>4</v>
      </c>
      <c r="C3588">
        <v>4</v>
      </c>
      <c r="Q3588">
        <v>1</v>
      </c>
      <c r="AY3588">
        <f t="shared" si="112"/>
        <v>43</v>
      </c>
      <c r="AZ3588">
        <f t="shared" si="113"/>
        <v>2</v>
      </c>
    </row>
    <row r="3589" spans="1:52" ht="55.2">
      <c r="A3589" s="3" t="s">
        <v>3633</v>
      </c>
      <c r="B3589">
        <v>4</v>
      </c>
      <c r="C3589">
        <v>4</v>
      </c>
      <c r="Q3589">
        <v>1</v>
      </c>
      <c r="AY3589">
        <f t="shared" si="112"/>
        <v>43</v>
      </c>
      <c r="AZ3589">
        <f t="shared" si="113"/>
        <v>2</v>
      </c>
    </row>
    <row r="3590" spans="1:52" ht="55.2">
      <c r="A3590" s="3" t="s">
        <v>3634</v>
      </c>
      <c r="B3590">
        <v>4</v>
      </c>
      <c r="C3590">
        <v>4</v>
      </c>
      <c r="Q3590">
        <v>1</v>
      </c>
      <c r="AY3590">
        <f t="shared" si="112"/>
        <v>43</v>
      </c>
      <c r="AZ3590">
        <f t="shared" si="113"/>
        <v>2</v>
      </c>
    </row>
    <row r="3591" spans="1:52" ht="55.2">
      <c r="A3591" s="3" t="s">
        <v>3635</v>
      </c>
      <c r="B3591">
        <v>4</v>
      </c>
      <c r="C3591">
        <v>4</v>
      </c>
      <c r="Q3591">
        <v>1</v>
      </c>
      <c r="AY3591">
        <f t="shared" si="112"/>
        <v>43</v>
      </c>
      <c r="AZ3591">
        <f t="shared" si="113"/>
        <v>2</v>
      </c>
    </row>
    <row r="3592" spans="1:52" ht="55.2">
      <c r="A3592" s="3" t="s">
        <v>3636</v>
      </c>
      <c r="B3592">
        <v>4</v>
      </c>
      <c r="C3592">
        <v>4</v>
      </c>
      <c r="Q3592">
        <v>1</v>
      </c>
      <c r="AY3592">
        <f t="shared" si="112"/>
        <v>43</v>
      </c>
      <c r="AZ3592">
        <f t="shared" si="113"/>
        <v>2</v>
      </c>
    </row>
    <row r="3593" spans="1:52" ht="55.2">
      <c r="A3593" s="3" t="s">
        <v>3637</v>
      </c>
      <c r="B3593">
        <v>4</v>
      </c>
      <c r="C3593">
        <v>4</v>
      </c>
      <c r="Q3593">
        <v>1</v>
      </c>
      <c r="AY3593">
        <f t="shared" si="112"/>
        <v>43</v>
      </c>
      <c r="AZ3593">
        <f t="shared" si="113"/>
        <v>2</v>
      </c>
    </row>
    <row r="3594" spans="1:52" ht="55.2">
      <c r="A3594" s="3" t="s">
        <v>3638</v>
      </c>
      <c r="B3594">
        <v>4</v>
      </c>
      <c r="C3594">
        <v>4</v>
      </c>
      <c r="Q3594">
        <v>1</v>
      </c>
      <c r="AY3594">
        <f t="shared" si="112"/>
        <v>43</v>
      </c>
      <c r="AZ3594">
        <f t="shared" si="113"/>
        <v>2</v>
      </c>
    </row>
    <row r="3595" spans="1:52" ht="55.2">
      <c r="A3595" s="3" t="s">
        <v>3639</v>
      </c>
      <c r="B3595">
        <v>4</v>
      </c>
      <c r="C3595">
        <v>4</v>
      </c>
      <c r="Q3595">
        <v>1</v>
      </c>
      <c r="AY3595">
        <f t="shared" si="112"/>
        <v>43</v>
      </c>
      <c r="AZ3595">
        <f t="shared" si="113"/>
        <v>2</v>
      </c>
    </row>
    <row r="3596" spans="1:52" ht="55.2">
      <c r="A3596" s="3" t="s">
        <v>3640</v>
      </c>
      <c r="B3596">
        <v>4</v>
      </c>
      <c r="C3596">
        <v>4</v>
      </c>
      <c r="Q3596">
        <v>1</v>
      </c>
      <c r="AY3596">
        <f t="shared" si="112"/>
        <v>43</v>
      </c>
      <c r="AZ3596">
        <f t="shared" si="113"/>
        <v>2</v>
      </c>
    </row>
    <row r="3597" spans="1:52" ht="55.2">
      <c r="A3597" s="3" t="s">
        <v>3641</v>
      </c>
      <c r="B3597">
        <v>4</v>
      </c>
      <c r="C3597">
        <v>4</v>
      </c>
      <c r="Q3597">
        <v>1</v>
      </c>
      <c r="AY3597">
        <f t="shared" si="112"/>
        <v>43</v>
      </c>
      <c r="AZ3597">
        <f t="shared" si="113"/>
        <v>2</v>
      </c>
    </row>
    <row r="3598" spans="1:52" ht="55.2">
      <c r="A3598" s="3" t="s">
        <v>3642</v>
      </c>
      <c r="B3598">
        <v>4</v>
      </c>
      <c r="C3598">
        <v>4</v>
      </c>
      <c r="Q3598">
        <v>1</v>
      </c>
      <c r="AY3598">
        <f t="shared" si="112"/>
        <v>43</v>
      </c>
      <c r="AZ3598">
        <f t="shared" si="113"/>
        <v>2</v>
      </c>
    </row>
    <row r="3599" spans="1:52" ht="55.2">
      <c r="A3599" s="3" t="s">
        <v>3643</v>
      </c>
      <c r="B3599">
        <v>4</v>
      </c>
      <c r="C3599">
        <v>4</v>
      </c>
      <c r="Q3599">
        <v>1</v>
      </c>
      <c r="AY3599">
        <f t="shared" si="112"/>
        <v>43</v>
      </c>
      <c r="AZ3599">
        <f t="shared" si="113"/>
        <v>2</v>
      </c>
    </row>
    <row r="3600" spans="1:52" ht="55.2">
      <c r="A3600" s="3" t="s">
        <v>3644</v>
      </c>
      <c r="B3600">
        <v>4</v>
      </c>
      <c r="C3600">
        <v>4</v>
      </c>
      <c r="Q3600">
        <v>1</v>
      </c>
      <c r="AY3600">
        <f t="shared" si="112"/>
        <v>43</v>
      </c>
      <c r="AZ3600">
        <f t="shared" si="113"/>
        <v>2</v>
      </c>
    </row>
    <row r="3601" spans="1:52" ht="55.2">
      <c r="A3601" s="3" t="s">
        <v>3645</v>
      </c>
      <c r="B3601">
        <v>4</v>
      </c>
      <c r="C3601">
        <v>4</v>
      </c>
      <c r="Q3601">
        <v>1</v>
      </c>
      <c r="AY3601">
        <f t="shared" si="112"/>
        <v>43</v>
      </c>
      <c r="AZ3601">
        <f t="shared" si="113"/>
        <v>2</v>
      </c>
    </row>
    <row r="3602" spans="1:52" ht="55.2">
      <c r="A3602" s="3" t="s">
        <v>3646</v>
      </c>
      <c r="B3602">
        <v>4</v>
      </c>
      <c r="C3602">
        <v>4</v>
      </c>
      <c r="Q3602">
        <v>1</v>
      </c>
      <c r="AY3602">
        <f t="shared" si="112"/>
        <v>43</v>
      </c>
      <c r="AZ3602">
        <f t="shared" si="113"/>
        <v>2</v>
      </c>
    </row>
    <row r="3603" spans="1:52" ht="55.2">
      <c r="A3603" s="3" t="s">
        <v>3647</v>
      </c>
      <c r="B3603">
        <v>4</v>
      </c>
      <c r="C3603">
        <v>4</v>
      </c>
      <c r="Q3603">
        <v>1</v>
      </c>
      <c r="AY3603">
        <f t="shared" si="112"/>
        <v>43</v>
      </c>
      <c r="AZ3603">
        <f t="shared" si="113"/>
        <v>2</v>
      </c>
    </row>
    <row r="3604" spans="1:52" ht="55.2">
      <c r="A3604" s="3" t="s">
        <v>3648</v>
      </c>
      <c r="B3604">
        <v>4</v>
      </c>
      <c r="C3604">
        <v>4</v>
      </c>
      <c r="Q3604">
        <v>1</v>
      </c>
      <c r="AY3604">
        <f t="shared" si="112"/>
        <v>43</v>
      </c>
      <c r="AZ3604">
        <f t="shared" si="113"/>
        <v>2</v>
      </c>
    </row>
    <row r="3605" spans="1:52" ht="55.2">
      <c r="A3605" s="3" t="s">
        <v>3649</v>
      </c>
      <c r="B3605">
        <v>4</v>
      </c>
      <c r="C3605">
        <v>4</v>
      </c>
      <c r="Q3605">
        <v>1</v>
      </c>
      <c r="AY3605">
        <f t="shared" si="112"/>
        <v>43</v>
      </c>
      <c r="AZ3605">
        <f t="shared" si="113"/>
        <v>2</v>
      </c>
    </row>
    <row r="3606" spans="1:52" ht="55.2">
      <c r="A3606" s="3" t="s">
        <v>3650</v>
      </c>
      <c r="B3606">
        <v>4</v>
      </c>
      <c r="C3606">
        <v>4</v>
      </c>
      <c r="AU3606">
        <v>3</v>
      </c>
      <c r="AY3606">
        <f t="shared" si="112"/>
        <v>43</v>
      </c>
      <c r="AZ3606">
        <f t="shared" si="113"/>
        <v>2</v>
      </c>
    </row>
    <row r="3607" spans="1:52" ht="55.2">
      <c r="A3607" s="3" t="s">
        <v>3651</v>
      </c>
      <c r="B3607">
        <v>4</v>
      </c>
      <c r="C3607">
        <v>4</v>
      </c>
      <c r="AU3607">
        <v>3</v>
      </c>
      <c r="AY3607">
        <f t="shared" si="112"/>
        <v>43</v>
      </c>
      <c r="AZ3607">
        <f t="shared" si="113"/>
        <v>2</v>
      </c>
    </row>
    <row r="3608" spans="1:52" ht="55.2">
      <c r="A3608" s="3" t="s">
        <v>3652</v>
      </c>
      <c r="B3608">
        <v>4</v>
      </c>
      <c r="C3608">
        <v>4</v>
      </c>
      <c r="AU3608">
        <v>3</v>
      </c>
      <c r="AY3608">
        <f t="shared" si="112"/>
        <v>43</v>
      </c>
      <c r="AZ3608">
        <f t="shared" si="113"/>
        <v>2</v>
      </c>
    </row>
    <row r="3609" spans="1:52" ht="55.2">
      <c r="A3609" s="3" t="s">
        <v>3653</v>
      </c>
      <c r="B3609">
        <v>4</v>
      </c>
      <c r="C3609">
        <v>4</v>
      </c>
      <c r="AU3609">
        <v>3</v>
      </c>
      <c r="AY3609">
        <f t="shared" si="112"/>
        <v>43</v>
      </c>
      <c r="AZ3609">
        <f t="shared" si="113"/>
        <v>2</v>
      </c>
    </row>
    <row r="3610" spans="1:52" ht="55.2">
      <c r="A3610" s="3" t="s">
        <v>3654</v>
      </c>
      <c r="B3610">
        <v>4</v>
      </c>
      <c r="C3610">
        <v>4</v>
      </c>
      <c r="AU3610">
        <v>3</v>
      </c>
      <c r="AY3610">
        <f t="shared" si="112"/>
        <v>43</v>
      </c>
      <c r="AZ3610">
        <f t="shared" si="113"/>
        <v>2</v>
      </c>
    </row>
    <row r="3611" spans="1:52" ht="55.2">
      <c r="A3611" s="3" t="s">
        <v>3655</v>
      </c>
      <c r="B3611">
        <v>4</v>
      </c>
      <c r="C3611">
        <v>4</v>
      </c>
      <c r="AU3611">
        <v>3</v>
      </c>
      <c r="AY3611">
        <f t="shared" si="112"/>
        <v>43</v>
      </c>
      <c r="AZ3611">
        <f t="shared" si="113"/>
        <v>2</v>
      </c>
    </row>
    <row r="3612" spans="1:52" ht="55.2">
      <c r="A3612" s="3" t="s">
        <v>3656</v>
      </c>
      <c r="B3612">
        <v>4</v>
      </c>
      <c r="C3612">
        <v>4</v>
      </c>
      <c r="AU3612">
        <v>3</v>
      </c>
      <c r="AY3612">
        <f t="shared" si="112"/>
        <v>43</v>
      </c>
      <c r="AZ3612">
        <f t="shared" si="113"/>
        <v>2</v>
      </c>
    </row>
    <row r="3613" spans="1:52" ht="55.2">
      <c r="A3613" s="3" t="s">
        <v>3657</v>
      </c>
      <c r="B3613">
        <v>4</v>
      </c>
      <c r="C3613">
        <v>4</v>
      </c>
      <c r="AU3613">
        <v>3</v>
      </c>
      <c r="AY3613">
        <f t="shared" si="112"/>
        <v>43</v>
      </c>
      <c r="AZ3613">
        <f t="shared" si="113"/>
        <v>2</v>
      </c>
    </row>
    <row r="3614" spans="1:52" ht="55.2">
      <c r="A3614" s="3" t="s">
        <v>3658</v>
      </c>
      <c r="B3614">
        <v>4</v>
      </c>
      <c r="C3614">
        <v>4</v>
      </c>
      <c r="AU3614">
        <v>3</v>
      </c>
      <c r="AY3614">
        <f t="shared" si="112"/>
        <v>43</v>
      </c>
      <c r="AZ3614">
        <f t="shared" si="113"/>
        <v>2</v>
      </c>
    </row>
    <row r="3615" spans="1:52" ht="55.2">
      <c r="A3615" s="3" t="s">
        <v>3659</v>
      </c>
      <c r="B3615">
        <v>4</v>
      </c>
      <c r="C3615">
        <v>4</v>
      </c>
      <c r="AU3615">
        <v>3</v>
      </c>
      <c r="AY3615">
        <f t="shared" si="112"/>
        <v>43</v>
      </c>
      <c r="AZ3615">
        <f t="shared" si="113"/>
        <v>2</v>
      </c>
    </row>
    <row r="3616" spans="1:52" ht="55.2">
      <c r="A3616" s="3" t="s">
        <v>3660</v>
      </c>
      <c r="B3616">
        <v>4</v>
      </c>
      <c r="C3616">
        <v>4</v>
      </c>
      <c r="AU3616">
        <v>3</v>
      </c>
      <c r="AY3616">
        <f t="shared" si="112"/>
        <v>43</v>
      </c>
      <c r="AZ3616">
        <f t="shared" si="113"/>
        <v>2</v>
      </c>
    </row>
    <row r="3617" spans="1:52" ht="55.2">
      <c r="A3617" s="3" t="s">
        <v>3661</v>
      </c>
      <c r="B3617">
        <v>4</v>
      </c>
      <c r="C3617">
        <v>4</v>
      </c>
      <c r="M3617">
        <v>7</v>
      </c>
      <c r="AY3617">
        <f t="shared" ref="AY3617:AY3680" si="114">COUNTBLANK(F3617:AW3617)</f>
        <v>43</v>
      </c>
      <c r="AZ3617">
        <f t="shared" ref="AZ3617:AZ3680" si="115">COUNTBLANK(B3617:E3617)</f>
        <v>2</v>
      </c>
    </row>
    <row r="3618" spans="1:52" ht="55.2">
      <c r="A3618" s="3" t="s">
        <v>3662</v>
      </c>
      <c r="B3618">
        <v>4</v>
      </c>
      <c r="C3618">
        <v>4</v>
      </c>
      <c r="M3618">
        <v>7</v>
      </c>
      <c r="AY3618">
        <f t="shared" si="114"/>
        <v>43</v>
      </c>
      <c r="AZ3618">
        <f t="shared" si="115"/>
        <v>2</v>
      </c>
    </row>
    <row r="3619" spans="1:52" ht="55.2">
      <c r="A3619" s="3" t="s">
        <v>3663</v>
      </c>
      <c r="B3619">
        <v>4</v>
      </c>
      <c r="C3619">
        <v>4</v>
      </c>
      <c r="M3619">
        <v>7</v>
      </c>
      <c r="AY3619">
        <f t="shared" si="114"/>
        <v>43</v>
      </c>
      <c r="AZ3619">
        <f t="shared" si="115"/>
        <v>2</v>
      </c>
    </row>
    <row r="3620" spans="1:52" ht="55.2">
      <c r="A3620" s="3" t="s">
        <v>3664</v>
      </c>
      <c r="B3620">
        <v>4</v>
      </c>
      <c r="C3620">
        <v>4</v>
      </c>
      <c r="M3620">
        <v>7</v>
      </c>
      <c r="AY3620">
        <f t="shared" si="114"/>
        <v>43</v>
      </c>
      <c r="AZ3620">
        <f t="shared" si="115"/>
        <v>2</v>
      </c>
    </row>
    <row r="3621" spans="1:52" ht="55.2">
      <c r="A3621" s="3" t="s">
        <v>3665</v>
      </c>
      <c r="B3621">
        <v>4</v>
      </c>
      <c r="C3621">
        <v>4</v>
      </c>
      <c r="M3621">
        <v>7</v>
      </c>
      <c r="AY3621">
        <f t="shared" si="114"/>
        <v>43</v>
      </c>
      <c r="AZ3621">
        <f t="shared" si="115"/>
        <v>2</v>
      </c>
    </row>
    <row r="3622" spans="1:52" ht="55.2">
      <c r="A3622" s="3" t="s">
        <v>3666</v>
      </c>
      <c r="B3622">
        <v>4</v>
      </c>
      <c r="C3622">
        <v>4</v>
      </c>
      <c r="M3622">
        <v>7</v>
      </c>
      <c r="AY3622">
        <f t="shared" si="114"/>
        <v>43</v>
      </c>
      <c r="AZ3622">
        <f t="shared" si="115"/>
        <v>2</v>
      </c>
    </row>
    <row r="3623" spans="1:52" ht="55.2">
      <c r="A3623" s="3" t="s">
        <v>3667</v>
      </c>
      <c r="B3623">
        <v>4</v>
      </c>
      <c r="C3623">
        <v>4</v>
      </c>
      <c r="M3623">
        <v>7</v>
      </c>
      <c r="AY3623">
        <f t="shared" si="114"/>
        <v>43</v>
      </c>
      <c r="AZ3623">
        <f t="shared" si="115"/>
        <v>2</v>
      </c>
    </row>
    <row r="3624" spans="1:52" ht="55.2">
      <c r="A3624" s="3" t="s">
        <v>3668</v>
      </c>
      <c r="B3624">
        <v>4</v>
      </c>
      <c r="C3624">
        <v>4</v>
      </c>
      <c r="M3624">
        <v>7</v>
      </c>
      <c r="AY3624">
        <f t="shared" si="114"/>
        <v>43</v>
      </c>
      <c r="AZ3624">
        <f t="shared" si="115"/>
        <v>2</v>
      </c>
    </row>
    <row r="3625" spans="1:52" ht="55.2">
      <c r="A3625" s="3" t="s">
        <v>3669</v>
      </c>
      <c r="B3625">
        <v>4</v>
      </c>
      <c r="C3625">
        <v>4</v>
      </c>
      <c r="M3625">
        <v>7</v>
      </c>
      <c r="AY3625">
        <f t="shared" si="114"/>
        <v>43</v>
      </c>
      <c r="AZ3625">
        <f t="shared" si="115"/>
        <v>2</v>
      </c>
    </row>
    <row r="3626" spans="1:52" ht="55.2">
      <c r="A3626" s="3" t="s">
        <v>3670</v>
      </c>
      <c r="B3626">
        <v>4</v>
      </c>
      <c r="C3626">
        <v>4</v>
      </c>
      <c r="M3626">
        <v>7</v>
      </c>
      <c r="AY3626">
        <f t="shared" si="114"/>
        <v>43</v>
      </c>
      <c r="AZ3626">
        <f t="shared" si="115"/>
        <v>2</v>
      </c>
    </row>
    <row r="3627" spans="1:52" ht="55.2">
      <c r="A3627" s="3" t="s">
        <v>3671</v>
      </c>
      <c r="B3627">
        <v>4</v>
      </c>
      <c r="C3627">
        <v>4</v>
      </c>
      <c r="M3627">
        <v>7</v>
      </c>
      <c r="AY3627">
        <f t="shared" si="114"/>
        <v>43</v>
      </c>
      <c r="AZ3627">
        <f t="shared" si="115"/>
        <v>2</v>
      </c>
    </row>
    <row r="3628" spans="1:52" ht="55.2">
      <c r="A3628" s="3" t="s">
        <v>3672</v>
      </c>
      <c r="B3628">
        <v>4</v>
      </c>
      <c r="C3628">
        <v>4</v>
      </c>
      <c r="M3628">
        <v>7</v>
      </c>
      <c r="AY3628">
        <f t="shared" si="114"/>
        <v>43</v>
      </c>
      <c r="AZ3628">
        <f t="shared" si="115"/>
        <v>2</v>
      </c>
    </row>
    <row r="3629" spans="1:52" ht="55.2">
      <c r="A3629" s="3" t="s">
        <v>3673</v>
      </c>
      <c r="B3629">
        <v>4</v>
      </c>
      <c r="C3629">
        <v>4</v>
      </c>
      <c r="M3629">
        <v>7</v>
      </c>
      <c r="AY3629">
        <f t="shared" si="114"/>
        <v>43</v>
      </c>
      <c r="AZ3629">
        <f t="shared" si="115"/>
        <v>2</v>
      </c>
    </row>
    <row r="3630" spans="1:52" ht="55.2">
      <c r="A3630" s="3" t="s">
        <v>3674</v>
      </c>
      <c r="B3630">
        <v>4</v>
      </c>
      <c r="C3630">
        <v>4</v>
      </c>
      <c r="M3630">
        <v>7</v>
      </c>
      <c r="AY3630">
        <f t="shared" si="114"/>
        <v>43</v>
      </c>
      <c r="AZ3630">
        <f t="shared" si="115"/>
        <v>2</v>
      </c>
    </row>
    <row r="3631" spans="1:52" ht="55.2">
      <c r="A3631" s="3" t="s">
        <v>3675</v>
      </c>
      <c r="B3631">
        <v>4</v>
      </c>
      <c r="C3631">
        <v>4</v>
      </c>
      <c r="M3631">
        <v>7</v>
      </c>
      <c r="AY3631">
        <f t="shared" si="114"/>
        <v>43</v>
      </c>
      <c r="AZ3631">
        <f t="shared" si="115"/>
        <v>2</v>
      </c>
    </row>
    <row r="3632" spans="1:52" ht="55.2">
      <c r="A3632" s="3" t="s">
        <v>3676</v>
      </c>
      <c r="B3632">
        <v>4</v>
      </c>
      <c r="C3632">
        <v>4</v>
      </c>
      <c r="M3632">
        <v>7</v>
      </c>
      <c r="AY3632">
        <f t="shared" si="114"/>
        <v>43</v>
      </c>
      <c r="AZ3632">
        <f t="shared" si="115"/>
        <v>2</v>
      </c>
    </row>
    <row r="3633" spans="1:52" ht="55.2">
      <c r="A3633" s="3" t="s">
        <v>3677</v>
      </c>
      <c r="B3633">
        <v>4</v>
      </c>
      <c r="C3633">
        <v>4</v>
      </c>
      <c r="M3633">
        <v>7</v>
      </c>
      <c r="AY3633">
        <f t="shared" si="114"/>
        <v>43</v>
      </c>
      <c r="AZ3633">
        <f t="shared" si="115"/>
        <v>2</v>
      </c>
    </row>
    <row r="3634" spans="1:52" ht="55.2">
      <c r="A3634" s="3" t="s">
        <v>3678</v>
      </c>
      <c r="B3634">
        <v>4</v>
      </c>
      <c r="C3634">
        <v>4</v>
      </c>
      <c r="M3634">
        <v>7</v>
      </c>
      <c r="AY3634">
        <f t="shared" si="114"/>
        <v>43</v>
      </c>
      <c r="AZ3634">
        <f t="shared" si="115"/>
        <v>2</v>
      </c>
    </row>
    <row r="3635" spans="1:52" ht="55.2">
      <c r="A3635" s="3" t="s">
        <v>3679</v>
      </c>
      <c r="B3635">
        <v>4</v>
      </c>
      <c r="C3635">
        <v>4</v>
      </c>
      <c r="M3635">
        <v>7</v>
      </c>
      <c r="AY3635">
        <f t="shared" si="114"/>
        <v>43</v>
      </c>
      <c r="AZ3635">
        <f t="shared" si="115"/>
        <v>2</v>
      </c>
    </row>
    <row r="3636" spans="1:52" ht="55.2">
      <c r="A3636" s="3" t="s">
        <v>3680</v>
      </c>
      <c r="B3636">
        <v>4</v>
      </c>
      <c r="C3636">
        <v>4</v>
      </c>
      <c r="M3636">
        <v>7</v>
      </c>
      <c r="AY3636">
        <f t="shared" si="114"/>
        <v>43</v>
      </c>
      <c r="AZ3636">
        <f t="shared" si="115"/>
        <v>2</v>
      </c>
    </row>
    <row r="3637" spans="1:52" ht="55.2">
      <c r="A3637" s="3" t="s">
        <v>3681</v>
      </c>
      <c r="B3637">
        <v>4</v>
      </c>
      <c r="C3637">
        <v>4</v>
      </c>
      <c r="M3637">
        <v>7</v>
      </c>
      <c r="AY3637">
        <f t="shared" si="114"/>
        <v>43</v>
      </c>
      <c r="AZ3637">
        <f t="shared" si="115"/>
        <v>2</v>
      </c>
    </row>
    <row r="3638" spans="1:52" ht="55.2">
      <c r="A3638" s="3" t="s">
        <v>3682</v>
      </c>
      <c r="B3638">
        <v>4</v>
      </c>
      <c r="C3638">
        <v>4</v>
      </c>
      <c r="M3638">
        <v>7</v>
      </c>
      <c r="AY3638">
        <f t="shared" si="114"/>
        <v>43</v>
      </c>
      <c r="AZ3638">
        <f t="shared" si="115"/>
        <v>2</v>
      </c>
    </row>
    <row r="3639" spans="1:52" ht="55.2">
      <c r="A3639" s="3" t="s">
        <v>3683</v>
      </c>
      <c r="B3639">
        <v>4</v>
      </c>
      <c r="C3639">
        <v>4</v>
      </c>
      <c r="M3639">
        <v>7</v>
      </c>
      <c r="AY3639">
        <f t="shared" si="114"/>
        <v>43</v>
      </c>
      <c r="AZ3639">
        <f t="shared" si="115"/>
        <v>2</v>
      </c>
    </row>
    <row r="3640" spans="1:52" ht="55.2">
      <c r="A3640" s="3" t="s">
        <v>3684</v>
      </c>
      <c r="B3640">
        <v>4</v>
      </c>
      <c r="C3640">
        <v>4</v>
      </c>
      <c r="M3640">
        <v>7</v>
      </c>
      <c r="AY3640">
        <f t="shared" si="114"/>
        <v>43</v>
      </c>
      <c r="AZ3640">
        <f t="shared" si="115"/>
        <v>2</v>
      </c>
    </row>
    <row r="3641" spans="1:52" ht="55.2">
      <c r="A3641" s="3" t="s">
        <v>3685</v>
      </c>
      <c r="B3641">
        <v>4</v>
      </c>
      <c r="C3641">
        <v>4</v>
      </c>
      <c r="M3641">
        <v>7</v>
      </c>
      <c r="AY3641">
        <f t="shared" si="114"/>
        <v>43</v>
      </c>
      <c r="AZ3641">
        <f t="shared" si="115"/>
        <v>2</v>
      </c>
    </row>
    <row r="3642" spans="1:52" ht="55.2">
      <c r="A3642" s="3" t="s">
        <v>3686</v>
      </c>
      <c r="B3642">
        <v>4</v>
      </c>
      <c r="C3642">
        <v>4</v>
      </c>
      <c r="M3642">
        <v>7</v>
      </c>
      <c r="AY3642">
        <f t="shared" si="114"/>
        <v>43</v>
      </c>
      <c r="AZ3642">
        <f t="shared" si="115"/>
        <v>2</v>
      </c>
    </row>
    <row r="3643" spans="1:52" ht="55.2">
      <c r="A3643" s="3" t="s">
        <v>3687</v>
      </c>
      <c r="B3643">
        <v>4</v>
      </c>
      <c r="C3643">
        <v>4</v>
      </c>
      <c r="M3643">
        <v>7</v>
      </c>
      <c r="AY3643">
        <f t="shared" si="114"/>
        <v>43</v>
      </c>
      <c r="AZ3643">
        <f t="shared" si="115"/>
        <v>2</v>
      </c>
    </row>
    <row r="3644" spans="1:52" ht="55.2">
      <c r="A3644" s="3" t="s">
        <v>3688</v>
      </c>
      <c r="B3644">
        <v>4</v>
      </c>
      <c r="C3644">
        <v>4</v>
      </c>
      <c r="M3644">
        <v>7</v>
      </c>
      <c r="AY3644">
        <f t="shared" si="114"/>
        <v>43</v>
      </c>
      <c r="AZ3644">
        <f t="shared" si="115"/>
        <v>2</v>
      </c>
    </row>
    <row r="3645" spans="1:52" ht="55.2">
      <c r="A3645" s="3" t="s">
        <v>3689</v>
      </c>
      <c r="B3645">
        <v>4</v>
      </c>
      <c r="C3645">
        <v>4</v>
      </c>
      <c r="M3645">
        <v>7</v>
      </c>
      <c r="AY3645">
        <f t="shared" si="114"/>
        <v>43</v>
      </c>
      <c r="AZ3645">
        <f t="shared" si="115"/>
        <v>2</v>
      </c>
    </row>
    <row r="3646" spans="1:52" ht="55.2">
      <c r="A3646" s="3" t="s">
        <v>3690</v>
      </c>
      <c r="B3646">
        <v>4</v>
      </c>
      <c r="C3646">
        <v>4</v>
      </c>
      <c r="M3646">
        <v>7</v>
      </c>
      <c r="AY3646">
        <f t="shared" si="114"/>
        <v>43</v>
      </c>
      <c r="AZ3646">
        <f t="shared" si="115"/>
        <v>2</v>
      </c>
    </row>
    <row r="3647" spans="1:52" ht="55.2">
      <c r="A3647" s="3" t="s">
        <v>3691</v>
      </c>
      <c r="B3647">
        <v>4</v>
      </c>
      <c r="C3647">
        <v>4</v>
      </c>
      <c r="M3647">
        <v>7</v>
      </c>
      <c r="AY3647">
        <f t="shared" si="114"/>
        <v>43</v>
      </c>
      <c r="AZ3647">
        <f t="shared" si="115"/>
        <v>2</v>
      </c>
    </row>
    <row r="3648" spans="1:52" ht="55.2">
      <c r="A3648" s="3" t="s">
        <v>3692</v>
      </c>
      <c r="B3648">
        <v>4</v>
      </c>
      <c r="C3648">
        <v>4</v>
      </c>
      <c r="M3648">
        <v>7</v>
      </c>
      <c r="AY3648">
        <f t="shared" si="114"/>
        <v>43</v>
      </c>
      <c r="AZ3648">
        <f t="shared" si="115"/>
        <v>2</v>
      </c>
    </row>
    <row r="3649" spans="1:52" ht="55.2">
      <c r="A3649" s="3" t="s">
        <v>3693</v>
      </c>
      <c r="B3649">
        <v>4</v>
      </c>
      <c r="C3649">
        <v>4</v>
      </c>
      <c r="M3649">
        <v>7</v>
      </c>
      <c r="AY3649">
        <f t="shared" si="114"/>
        <v>43</v>
      </c>
      <c r="AZ3649">
        <f t="shared" si="115"/>
        <v>2</v>
      </c>
    </row>
    <row r="3650" spans="1:52" ht="55.2">
      <c r="A3650" s="3" t="s">
        <v>3694</v>
      </c>
      <c r="B3650">
        <v>4</v>
      </c>
      <c r="C3650">
        <v>4</v>
      </c>
      <c r="M3650">
        <v>7</v>
      </c>
      <c r="AY3650">
        <f t="shared" si="114"/>
        <v>43</v>
      </c>
      <c r="AZ3650">
        <f t="shared" si="115"/>
        <v>2</v>
      </c>
    </row>
    <row r="3651" spans="1:52" ht="55.2">
      <c r="A3651" s="3" t="s">
        <v>3695</v>
      </c>
      <c r="B3651">
        <v>4</v>
      </c>
      <c r="C3651">
        <v>4</v>
      </c>
      <c r="M3651">
        <v>7</v>
      </c>
      <c r="AY3651">
        <f t="shared" si="114"/>
        <v>43</v>
      </c>
      <c r="AZ3651">
        <f t="shared" si="115"/>
        <v>2</v>
      </c>
    </row>
    <row r="3652" spans="1:52" ht="55.2">
      <c r="A3652" s="3" t="s">
        <v>3696</v>
      </c>
      <c r="B3652">
        <v>4</v>
      </c>
      <c r="C3652">
        <v>4</v>
      </c>
      <c r="M3652">
        <v>7</v>
      </c>
      <c r="AY3652">
        <f t="shared" si="114"/>
        <v>43</v>
      </c>
      <c r="AZ3652">
        <f t="shared" si="115"/>
        <v>2</v>
      </c>
    </row>
    <row r="3653" spans="1:52" ht="55.2">
      <c r="A3653" s="3" t="s">
        <v>3697</v>
      </c>
      <c r="B3653">
        <v>4</v>
      </c>
      <c r="C3653">
        <v>4</v>
      </c>
      <c r="M3653">
        <v>7</v>
      </c>
      <c r="AY3653">
        <f t="shared" si="114"/>
        <v>43</v>
      </c>
      <c r="AZ3653">
        <f t="shared" si="115"/>
        <v>2</v>
      </c>
    </row>
    <row r="3654" spans="1:52" ht="55.2">
      <c r="A3654" s="3" t="s">
        <v>3698</v>
      </c>
      <c r="B3654">
        <v>4</v>
      </c>
      <c r="C3654">
        <v>4</v>
      </c>
      <c r="M3654">
        <v>7</v>
      </c>
      <c r="AY3654">
        <f t="shared" si="114"/>
        <v>43</v>
      </c>
      <c r="AZ3654">
        <f t="shared" si="115"/>
        <v>2</v>
      </c>
    </row>
    <row r="3655" spans="1:52" ht="55.2">
      <c r="A3655" s="3" t="s">
        <v>3699</v>
      </c>
      <c r="B3655">
        <v>4</v>
      </c>
      <c r="C3655">
        <v>4</v>
      </c>
      <c r="M3655">
        <v>7</v>
      </c>
      <c r="AY3655">
        <f t="shared" si="114"/>
        <v>43</v>
      </c>
      <c r="AZ3655">
        <f t="shared" si="115"/>
        <v>2</v>
      </c>
    </row>
    <row r="3656" spans="1:52" ht="55.2">
      <c r="A3656" s="3" t="s">
        <v>3700</v>
      </c>
      <c r="B3656">
        <v>4</v>
      </c>
      <c r="C3656">
        <v>4</v>
      </c>
      <c r="M3656">
        <v>7</v>
      </c>
      <c r="AY3656">
        <f t="shared" si="114"/>
        <v>43</v>
      </c>
      <c r="AZ3656">
        <f t="shared" si="115"/>
        <v>2</v>
      </c>
    </row>
    <row r="3657" spans="1:52" ht="55.2">
      <c r="A3657" s="3" t="s">
        <v>3701</v>
      </c>
      <c r="B3657">
        <v>4</v>
      </c>
      <c r="C3657">
        <v>4</v>
      </c>
      <c r="M3657">
        <v>7</v>
      </c>
      <c r="AY3657">
        <f t="shared" si="114"/>
        <v>43</v>
      </c>
      <c r="AZ3657">
        <f t="shared" si="115"/>
        <v>2</v>
      </c>
    </row>
    <row r="3658" spans="1:52" ht="55.2">
      <c r="A3658" s="3" t="s">
        <v>3702</v>
      </c>
      <c r="B3658">
        <v>4</v>
      </c>
      <c r="C3658">
        <v>4</v>
      </c>
      <c r="M3658">
        <v>7</v>
      </c>
      <c r="AY3658">
        <f t="shared" si="114"/>
        <v>43</v>
      </c>
      <c r="AZ3658">
        <f t="shared" si="115"/>
        <v>2</v>
      </c>
    </row>
    <row r="3659" spans="1:52" ht="55.2">
      <c r="A3659" s="3" t="s">
        <v>3703</v>
      </c>
      <c r="B3659">
        <v>4</v>
      </c>
      <c r="C3659">
        <v>4</v>
      </c>
      <c r="M3659">
        <v>7</v>
      </c>
      <c r="AY3659">
        <f t="shared" si="114"/>
        <v>43</v>
      </c>
      <c r="AZ3659">
        <f t="shared" si="115"/>
        <v>2</v>
      </c>
    </row>
    <row r="3660" spans="1:52" ht="55.2">
      <c r="A3660" s="3" t="s">
        <v>3704</v>
      </c>
      <c r="B3660">
        <v>4</v>
      </c>
      <c r="C3660">
        <v>4</v>
      </c>
      <c r="M3660">
        <v>7</v>
      </c>
      <c r="AY3660">
        <f t="shared" si="114"/>
        <v>43</v>
      </c>
      <c r="AZ3660">
        <f t="shared" si="115"/>
        <v>2</v>
      </c>
    </row>
    <row r="3661" spans="1:52" ht="55.2">
      <c r="A3661" s="3" t="s">
        <v>3705</v>
      </c>
      <c r="B3661">
        <v>4</v>
      </c>
      <c r="C3661">
        <v>4</v>
      </c>
      <c r="AW3661">
        <v>8</v>
      </c>
      <c r="AY3661">
        <f t="shared" si="114"/>
        <v>43</v>
      </c>
      <c r="AZ3661">
        <f t="shared" si="115"/>
        <v>2</v>
      </c>
    </row>
    <row r="3662" spans="1:52" ht="55.2">
      <c r="A3662" s="3" t="s">
        <v>3706</v>
      </c>
      <c r="B3662">
        <v>4</v>
      </c>
      <c r="C3662">
        <v>4</v>
      </c>
      <c r="AW3662">
        <v>8</v>
      </c>
      <c r="AY3662">
        <f t="shared" si="114"/>
        <v>43</v>
      </c>
      <c r="AZ3662">
        <f t="shared" si="115"/>
        <v>2</v>
      </c>
    </row>
    <row r="3663" spans="1:52" ht="55.2">
      <c r="A3663" s="3" t="s">
        <v>3707</v>
      </c>
      <c r="B3663">
        <v>4</v>
      </c>
      <c r="C3663">
        <v>4</v>
      </c>
      <c r="J3663">
        <v>32</v>
      </c>
      <c r="AY3663">
        <f t="shared" si="114"/>
        <v>43</v>
      </c>
      <c r="AZ3663">
        <f t="shared" si="115"/>
        <v>2</v>
      </c>
    </row>
    <row r="3664" spans="1:52" ht="55.2">
      <c r="A3664" s="3" t="s">
        <v>3708</v>
      </c>
      <c r="B3664">
        <v>4</v>
      </c>
      <c r="C3664">
        <v>4</v>
      </c>
      <c r="J3664">
        <v>32</v>
      </c>
      <c r="AY3664">
        <f t="shared" si="114"/>
        <v>43</v>
      </c>
      <c r="AZ3664">
        <f t="shared" si="115"/>
        <v>2</v>
      </c>
    </row>
    <row r="3665" spans="1:52" ht="55.2">
      <c r="A3665" s="3" t="s">
        <v>3709</v>
      </c>
      <c r="B3665">
        <v>4</v>
      </c>
      <c r="C3665">
        <v>4</v>
      </c>
      <c r="J3665">
        <v>32</v>
      </c>
      <c r="AY3665">
        <f t="shared" si="114"/>
        <v>43</v>
      </c>
      <c r="AZ3665">
        <f t="shared" si="115"/>
        <v>2</v>
      </c>
    </row>
    <row r="3666" spans="1:52" ht="55.2">
      <c r="A3666" s="3" t="s">
        <v>3710</v>
      </c>
      <c r="B3666">
        <v>4</v>
      </c>
      <c r="C3666">
        <v>4</v>
      </c>
      <c r="J3666">
        <v>32</v>
      </c>
      <c r="AY3666">
        <f t="shared" si="114"/>
        <v>43</v>
      </c>
      <c r="AZ3666">
        <f t="shared" si="115"/>
        <v>2</v>
      </c>
    </row>
    <row r="3667" spans="1:52" ht="55.2">
      <c r="A3667" s="3" t="s">
        <v>3711</v>
      </c>
      <c r="B3667">
        <v>4</v>
      </c>
      <c r="C3667">
        <v>4</v>
      </c>
      <c r="J3667">
        <v>32</v>
      </c>
      <c r="AY3667">
        <f t="shared" si="114"/>
        <v>43</v>
      </c>
      <c r="AZ3667">
        <f t="shared" si="115"/>
        <v>2</v>
      </c>
    </row>
    <row r="3668" spans="1:52" ht="55.2">
      <c r="A3668" s="3" t="s">
        <v>3712</v>
      </c>
      <c r="B3668">
        <v>4</v>
      </c>
      <c r="C3668">
        <v>4</v>
      </c>
      <c r="J3668">
        <v>32</v>
      </c>
      <c r="AY3668">
        <f t="shared" si="114"/>
        <v>43</v>
      </c>
      <c r="AZ3668">
        <f t="shared" si="115"/>
        <v>2</v>
      </c>
    </row>
    <row r="3669" spans="1:52" ht="55.2">
      <c r="A3669" s="3" t="s">
        <v>3713</v>
      </c>
      <c r="B3669">
        <v>4</v>
      </c>
      <c r="C3669">
        <v>4</v>
      </c>
      <c r="J3669">
        <v>32</v>
      </c>
      <c r="AY3669">
        <f t="shared" si="114"/>
        <v>43</v>
      </c>
      <c r="AZ3669">
        <f t="shared" si="115"/>
        <v>2</v>
      </c>
    </row>
    <row r="3670" spans="1:52" ht="55.2">
      <c r="A3670" s="3" t="s">
        <v>3714</v>
      </c>
      <c r="B3670">
        <v>4</v>
      </c>
      <c r="C3670">
        <v>4</v>
      </c>
      <c r="J3670">
        <v>32</v>
      </c>
      <c r="AY3670">
        <f t="shared" si="114"/>
        <v>43</v>
      </c>
      <c r="AZ3670">
        <f t="shared" si="115"/>
        <v>2</v>
      </c>
    </row>
    <row r="3671" spans="1:52" ht="55.2">
      <c r="A3671" s="3" t="s">
        <v>3715</v>
      </c>
      <c r="C3671">
        <v>4</v>
      </c>
      <c r="J3671">
        <v>32</v>
      </c>
      <c r="AY3671">
        <f t="shared" si="114"/>
        <v>43</v>
      </c>
      <c r="AZ3671">
        <f t="shared" si="115"/>
        <v>3</v>
      </c>
    </row>
    <row r="3672" spans="1:52" ht="55.2">
      <c r="A3672" s="3" t="s">
        <v>3716</v>
      </c>
      <c r="C3672">
        <v>4</v>
      </c>
      <c r="J3672">
        <v>32</v>
      </c>
      <c r="AY3672">
        <f t="shared" si="114"/>
        <v>43</v>
      </c>
      <c r="AZ3672">
        <f t="shared" si="115"/>
        <v>3</v>
      </c>
    </row>
    <row r="3673" spans="1:52" ht="55.2">
      <c r="A3673" s="3" t="s">
        <v>3717</v>
      </c>
      <c r="C3673">
        <v>4</v>
      </c>
      <c r="T3673">
        <v>1</v>
      </c>
      <c r="AY3673">
        <f t="shared" si="114"/>
        <v>43</v>
      </c>
      <c r="AZ3673">
        <f t="shared" si="115"/>
        <v>3</v>
      </c>
    </row>
    <row r="3674" spans="1:52" ht="55.2">
      <c r="A3674" s="3" t="s">
        <v>3718</v>
      </c>
      <c r="C3674">
        <v>4</v>
      </c>
      <c r="T3674">
        <v>1</v>
      </c>
      <c r="AY3674">
        <f t="shared" si="114"/>
        <v>43</v>
      </c>
      <c r="AZ3674">
        <f t="shared" si="115"/>
        <v>3</v>
      </c>
    </row>
    <row r="3675" spans="1:52" ht="55.2">
      <c r="A3675" s="3" t="s">
        <v>3719</v>
      </c>
      <c r="C3675">
        <v>4</v>
      </c>
      <c r="T3675">
        <v>1</v>
      </c>
      <c r="AY3675">
        <f t="shared" si="114"/>
        <v>43</v>
      </c>
      <c r="AZ3675">
        <f t="shared" si="115"/>
        <v>3</v>
      </c>
    </row>
    <row r="3676" spans="1:52" ht="55.2">
      <c r="A3676" s="3" t="s">
        <v>3720</v>
      </c>
      <c r="C3676">
        <v>4</v>
      </c>
      <c r="T3676">
        <v>1</v>
      </c>
      <c r="AY3676">
        <f t="shared" si="114"/>
        <v>43</v>
      </c>
      <c r="AZ3676">
        <f t="shared" si="115"/>
        <v>3</v>
      </c>
    </row>
    <row r="3677" spans="1:52" ht="55.2">
      <c r="A3677" s="3" t="s">
        <v>3721</v>
      </c>
      <c r="C3677">
        <v>4</v>
      </c>
      <c r="T3677">
        <v>1</v>
      </c>
      <c r="AY3677">
        <f t="shared" si="114"/>
        <v>43</v>
      </c>
      <c r="AZ3677">
        <f t="shared" si="115"/>
        <v>3</v>
      </c>
    </row>
    <row r="3678" spans="1:52" ht="55.2">
      <c r="A3678" s="3" t="s">
        <v>3722</v>
      </c>
      <c r="C3678">
        <v>4</v>
      </c>
      <c r="T3678">
        <v>1</v>
      </c>
      <c r="AY3678">
        <f t="shared" si="114"/>
        <v>43</v>
      </c>
      <c r="AZ3678">
        <f t="shared" si="115"/>
        <v>3</v>
      </c>
    </row>
    <row r="3679" spans="1:52" ht="55.2">
      <c r="A3679" s="3" t="s">
        <v>3723</v>
      </c>
      <c r="C3679">
        <v>4</v>
      </c>
      <c r="T3679">
        <v>1</v>
      </c>
      <c r="AY3679">
        <f t="shared" si="114"/>
        <v>43</v>
      </c>
      <c r="AZ3679">
        <f t="shared" si="115"/>
        <v>3</v>
      </c>
    </row>
    <row r="3680" spans="1:52" ht="55.2">
      <c r="A3680" s="3" t="s">
        <v>3724</v>
      </c>
      <c r="C3680">
        <v>4</v>
      </c>
      <c r="T3680">
        <v>1</v>
      </c>
      <c r="AY3680">
        <f t="shared" si="114"/>
        <v>43</v>
      </c>
      <c r="AZ3680">
        <f t="shared" si="115"/>
        <v>3</v>
      </c>
    </row>
    <row r="3681" spans="1:52" ht="55.2">
      <c r="A3681" s="3" t="s">
        <v>3725</v>
      </c>
      <c r="C3681">
        <v>4</v>
      </c>
      <c r="T3681">
        <v>1</v>
      </c>
      <c r="AY3681">
        <f t="shared" ref="AY3681:AY3744" si="116">COUNTBLANK(F3681:AW3681)</f>
        <v>43</v>
      </c>
      <c r="AZ3681">
        <f t="shared" ref="AZ3681:AZ3744" si="117">COUNTBLANK(B3681:E3681)</f>
        <v>3</v>
      </c>
    </row>
    <row r="3682" spans="1:52" ht="55.2">
      <c r="A3682" s="3" t="s">
        <v>3726</v>
      </c>
      <c r="C3682">
        <v>4</v>
      </c>
      <c r="T3682">
        <v>1</v>
      </c>
      <c r="AY3682">
        <f t="shared" si="116"/>
        <v>43</v>
      </c>
      <c r="AZ3682">
        <f t="shared" si="117"/>
        <v>3</v>
      </c>
    </row>
    <row r="3683" spans="1:52" ht="55.2">
      <c r="A3683" s="3" t="s">
        <v>3727</v>
      </c>
      <c r="C3683">
        <v>4</v>
      </c>
      <c r="T3683">
        <v>1</v>
      </c>
      <c r="AY3683">
        <f t="shared" si="116"/>
        <v>43</v>
      </c>
      <c r="AZ3683">
        <f t="shared" si="117"/>
        <v>3</v>
      </c>
    </row>
    <row r="3684" spans="1:52" ht="55.2">
      <c r="A3684" s="3" t="s">
        <v>3728</v>
      </c>
      <c r="C3684">
        <v>4</v>
      </c>
      <c r="T3684">
        <v>1</v>
      </c>
      <c r="AY3684">
        <f t="shared" si="116"/>
        <v>43</v>
      </c>
      <c r="AZ3684">
        <f t="shared" si="117"/>
        <v>3</v>
      </c>
    </row>
    <row r="3685" spans="1:52" ht="55.2">
      <c r="A3685" s="3" t="s">
        <v>3729</v>
      </c>
      <c r="C3685">
        <v>4</v>
      </c>
      <c r="T3685">
        <v>1</v>
      </c>
      <c r="AY3685">
        <f t="shared" si="116"/>
        <v>43</v>
      </c>
      <c r="AZ3685">
        <f t="shared" si="117"/>
        <v>3</v>
      </c>
    </row>
    <row r="3686" spans="1:52" ht="55.2">
      <c r="A3686" s="3" t="s">
        <v>3730</v>
      </c>
      <c r="C3686">
        <v>4</v>
      </c>
      <c r="T3686">
        <v>1</v>
      </c>
      <c r="AY3686">
        <f t="shared" si="116"/>
        <v>43</v>
      </c>
      <c r="AZ3686">
        <f t="shared" si="117"/>
        <v>3</v>
      </c>
    </row>
    <row r="3687" spans="1:52" ht="55.2">
      <c r="A3687" s="3" t="s">
        <v>3731</v>
      </c>
      <c r="C3687">
        <v>4</v>
      </c>
      <c r="T3687">
        <v>1</v>
      </c>
      <c r="AY3687">
        <f t="shared" si="116"/>
        <v>43</v>
      </c>
      <c r="AZ3687">
        <f t="shared" si="117"/>
        <v>3</v>
      </c>
    </row>
    <row r="3688" spans="1:52" ht="55.2">
      <c r="A3688" s="3" t="s">
        <v>3732</v>
      </c>
      <c r="C3688">
        <v>4</v>
      </c>
      <c r="T3688">
        <v>1</v>
      </c>
      <c r="AY3688">
        <f t="shared" si="116"/>
        <v>43</v>
      </c>
      <c r="AZ3688">
        <f t="shared" si="117"/>
        <v>3</v>
      </c>
    </row>
    <row r="3689" spans="1:52" ht="55.2">
      <c r="A3689" s="3" t="s">
        <v>3733</v>
      </c>
      <c r="C3689">
        <v>4</v>
      </c>
      <c r="J3689">
        <v>33</v>
      </c>
      <c r="AY3689">
        <f t="shared" si="116"/>
        <v>43</v>
      </c>
      <c r="AZ3689">
        <f t="shared" si="117"/>
        <v>3</v>
      </c>
    </row>
    <row r="3690" spans="1:52" ht="55.2">
      <c r="A3690" s="3" t="s">
        <v>3734</v>
      </c>
      <c r="C3690">
        <v>4</v>
      </c>
      <c r="J3690">
        <v>33</v>
      </c>
      <c r="AY3690">
        <f t="shared" si="116"/>
        <v>43</v>
      </c>
      <c r="AZ3690">
        <f t="shared" si="117"/>
        <v>3</v>
      </c>
    </row>
    <row r="3691" spans="1:52" ht="55.2">
      <c r="A3691" s="3" t="s">
        <v>3735</v>
      </c>
      <c r="C3691">
        <v>4</v>
      </c>
      <c r="J3691">
        <v>33</v>
      </c>
      <c r="AY3691">
        <f t="shared" si="116"/>
        <v>43</v>
      </c>
      <c r="AZ3691">
        <f t="shared" si="117"/>
        <v>3</v>
      </c>
    </row>
    <row r="3692" spans="1:52" ht="55.2">
      <c r="A3692" s="3" t="s">
        <v>3736</v>
      </c>
      <c r="C3692">
        <v>4</v>
      </c>
      <c r="J3692">
        <v>33</v>
      </c>
      <c r="AY3692">
        <f t="shared" si="116"/>
        <v>43</v>
      </c>
      <c r="AZ3692">
        <f t="shared" si="117"/>
        <v>3</v>
      </c>
    </row>
    <row r="3693" spans="1:52" ht="55.2">
      <c r="A3693" s="3" t="s">
        <v>3737</v>
      </c>
      <c r="C3693">
        <v>4</v>
      </c>
      <c r="J3693">
        <v>33</v>
      </c>
      <c r="AY3693">
        <f t="shared" si="116"/>
        <v>43</v>
      </c>
      <c r="AZ3693">
        <f t="shared" si="117"/>
        <v>3</v>
      </c>
    </row>
    <row r="3694" spans="1:52" ht="55.2">
      <c r="A3694" s="3" t="s">
        <v>3738</v>
      </c>
      <c r="C3694">
        <v>4</v>
      </c>
      <c r="J3694">
        <v>33</v>
      </c>
      <c r="AY3694">
        <f t="shared" si="116"/>
        <v>43</v>
      </c>
      <c r="AZ3694">
        <f t="shared" si="117"/>
        <v>3</v>
      </c>
    </row>
    <row r="3695" spans="1:52" ht="55.2">
      <c r="A3695" s="3" t="s">
        <v>3739</v>
      </c>
      <c r="C3695">
        <v>4</v>
      </c>
      <c r="J3695">
        <v>33</v>
      </c>
      <c r="AY3695">
        <f t="shared" si="116"/>
        <v>43</v>
      </c>
      <c r="AZ3695">
        <f t="shared" si="117"/>
        <v>3</v>
      </c>
    </row>
    <row r="3696" spans="1:52" ht="55.2">
      <c r="A3696" s="3" t="s">
        <v>3740</v>
      </c>
      <c r="C3696">
        <v>4</v>
      </c>
      <c r="J3696">
        <v>33</v>
      </c>
      <c r="AY3696">
        <f t="shared" si="116"/>
        <v>43</v>
      </c>
      <c r="AZ3696">
        <f t="shared" si="117"/>
        <v>3</v>
      </c>
    </row>
    <row r="3697" spans="1:52" ht="55.2">
      <c r="A3697" s="3" t="s">
        <v>3741</v>
      </c>
      <c r="C3697">
        <v>4</v>
      </c>
      <c r="J3697">
        <v>33</v>
      </c>
      <c r="AY3697">
        <f t="shared" si="116"/>
        <v>43</v>
      </c>
      <c r="AZ3697">
        <f t="shared" si="117"/>
        <v>3</v>
      </c>
    </row>
    <row r="3698" spans="1:52" ht="55.2">
      <c r="A3698" s="3" t="s">
        <v>3742</v>
      </c>
      <c r="C3698">
        <v>4</v>
      </c>
      <c r="J3698">
        <v>33</v>
      </c>
      <c r="AY3698">
        <f t="shared" si="116"/>
        <v>43</v>
      </c>
      <c r="AZ3698">
        <f t="shared" si="117"/>
        <v>3</v>
      </c>
    </row>
    <row r="3699" spans="1:52" ht="55.2">
      <c r="A3699" s="3" t="s">
        <v>3743</v>
      </c>
      <c r="C3699">
        <v>4</v>
      </c>
      <c r="J3699">
        <v>33</v>
      </c>
      <c r="AY3699">
        <f t="shared" si="116"/>
        <v>43</v>
      </c>
      <c r="AZ3699">
        <f t="shared" si="117"/>
        <v>3</v>
      </c>
    </row>
    <row r="3700" spans="1:52" ht="55.2">
      <c r="A3700" s="3" t="s">
        <v>3744</v>
      </c>
      <c r="C3700">
        <v>4</v>
      </c>
      <c r="J3700">
        <v>33</v>
      </c>
      <c r="AY3700">
        <f t="shared" si="116"/>
        <v>43</v>
      </c>
      <c r="AZ3700">
        <f t="shared" si="117"/>
        <v>3</v>
      </c>
    </row>
    <row r="3701" spans="1:52" ht="55.2">
      <c r="A3701" s="3" t="s">
        <v>3745</v>
      </c>
      <c r="C3701">
        <v>4</v>
      </c>
      <c r="J3701">
        <v>33</v>
      </c>
      <c r="AY3701">
        <f t="shared" si="116"/>
        <v>43</v>
      </c>
      <c r="AZ3701">
        <f t="shared" si="117"/>
        <v>3</v>
      </c>
    </row>
    <row r="3702" spans="1:52" ht="55.2">
      <c r="A3702" s="3" t="s">
        <v>3746</v>
      </c>
      <c r="C3702">
        <v>4</v>
      </c>
      <c r="J3702">
        <v>33</v>
      </c>
      <c r="AY3702">
        <f t="shared" si="116"/>
        <v>43</v>
      </c>
      <c r="AZ3702">
        <f t="shared" si="117"/>
        <v>3</v>
      </c>
    </row>
    <row r="3703" spans="1:52" ht="55.2">
      <c r="A3703" s="3" t="s">
        <v>3747</v>
      </c>
      <c r="C3703">
        <v>4</v>
      </c>
      <c r="J3703">
        <v>33</v>
      </c>
      <c r="AY3703">
        <f t="shared" si="116"/>
        <v>43</v>
      </c>
      <c r="AZ3703">
        <f t="shared" si="117"/>
        <v>3</v>
      </c>
    </row>
    <row r="3704" spans="1:52" ht="55.2">
      <c r="A3704" s="3" t="s">
        <v>3748</v>
      </c>
      <c r="C3704">
        <v>4</v>
      </c>
      <c r="J3704">
        <v>33</v>
      </c>
      <c r="AY3704">
        <f t="shared" si="116"/>
        <v>43</v>
      </c>
      <c r="AZ3704">
        <f t="shared" si="117"/>
        <v>3</v>
      </c>
    </row>
    <row r="3705" spans="1:52" ht="55.2">
      <c r="A3705" s="3" t="s">
        <v>3749</v>
      </c>
      <c r="C3705">
        <v>4</v>
      </c>
      <c r="J3705">
        <v>33</v>
      </c>
      <c r="AY3705">
        <f t="shared" si="116"/>
        <v>43</v>
      </c>
      <c r="AZ3705">
        <f t="shared" si="117"/>
        <v>3</v>
      </c>
    </row>
    <row r="3706" spans="1:52" ht="55.2">
      <c r="A3706" s="3" t="s">
        <v>3750</v>
      </c>
      <c r="C3706">
        <v>4</v>
      </c>
      <c r="J3706">
        <v>33</v>
      </c>
      <c r="AY3706">
        <f t="shared" si="116"/>
        <v>43</v>
      </c>
      <c r="AZ3706">
        <f t="shared" si="117"/>
        <v>3</v>
      </c>
    </row>
    <row r="3707" spans="1:52" ht="55.2">
      <c r="A3707" s="3" t="s">
        <v>3751</v>
      </c>
      <c r="C3707">
        <v>4</v>
      </c>
      <c r="J3707">
        <v>33</v>
      </c>
      <c r="AY3707">
        <f t="shared" si="116"/>
        <v>43</v>
      </c>
      <c r="AZ3707">
        <f t="shared" si="117"/>
        <v>3</v>
      </c>
    </row>
    <row r="3708" spans="1:52" ht="55.2">
      <c r="A3708" s="3" t="s">
        <v>3752</v>
      </c>
      <c r="C3708">
        <v>4</v>
      </c>
      <c r="J3708">
        <v>33</v>
      </c>
      <c r="AY3708">
        <f t="shared" si="116"/>
        <v>43</v>
      </c>
      <c r="AZ3708">
        <f t="shared" si="117"/>
        <v>3</v>
      </c>
    </row>
    <row r="3709" spans="1:52" ht="55.2">
      <c r="A3709" s="3" t="s">
        <v>3753</v>
      </c>
      <c r="C3709">
        <v>4</v>
      </c>
      <c r="J3709">
        <v>33</v>
      </c>
      <c r="AY3709">
        <f t="shared" si="116"/>
        <v>43</v>
      </c>
      <c r="AZ3709">
        <f t="shared" si="117"/>
        <v>3</v>
      </c>
    </row>
    <row r="3710" spans="1:52" ht="55.2">
      <c r="A3710" s="3" t="s">
        <v>3754</v>
      </c>
      <c r="C3710">
        <v>4</v>
      </c>
      <c r="J3710">
        <v>33</v>
      </c>
      <c r="AY3710">
        <f t="shared" si="116"/>
        <v>43</v>
      </c>
      <c r="AZ3710">
        <f t="shared" si="117"/>
        <v>3</v>
      </c>
    </row>
    <row r="3711" spans="1:52" ht="55.2">
      <c r="A3711" s="3" t="s">
        <v>3755</v>
      </c>
      <c r="C3711">
        <v>4</v>
      </c>
      <c r="J3711">
        <v>33</v>
      </c>
      <c r="AY3711">
        <f t="shared" si="116"/>
        <v>43</v>
      </c>
      <c r="AZ3711">
        <f t="shared" si="117"/>
        <v>3</v>
      </c>
    </row>
    <row r="3712" spans="1:52" ht="55.2">
      <c r="A3712" s="3" t="s">
        <v>3756</v>
      </c>
      <c r="C3712">
        <v>4</v>
      </c>
      <c r="J3712">
        <v>33</v>
      </c>
      <c r="AY3712">
        <f t="shared" si="116"/>
        <v>43</v>
      </c>
      <c r="AZ3712">
        <f t="shared" si="117"/>
        <v>3</v>
      </c>
    </row>
    <row r="3713" spans="1:52" ht="55.2">
      <c r="A3713" s="3" t="s">
        <v>3757</v>
      </c>
      <c r="C3713">
        <v>4</v>
      </c>
      <c r="J3713">
        <v>33</v>
      </c>
      <c r="AY3713">
        <f t="shared" si="116"/>
        <v>43</v>
      </c>
      <c r="AZ3713">
        <f t="shared" si="117"/>
        <v>3</v>
      </c>
    </row>
    <row r="3714" spans="1:52" ht="55.2">
      <c r="A3714" s="3" t="s">
        <v>3758</v>
      </c>
      <c r="C3714">
        <v>4</v>
      </c>
      <c r="J3714">
        <v>33</v>
      </c>
      <c r="AY3714">
        <f t="shared" si="116"/>
        <v>43</v>
      </c>
      <c r="AZ3714">
        <f t="shared" si="117"/>
        <v>3</v>
      </c>
    </row>
    <row r="3715" spans="1:52" ht="55.2">
      <c r="A3715" s="3" t="s">
        <v>3759</v>
      </c>
      <c r="C3715">
        <v>4</v>
      </c>
      <c r="J3715">
        <v>33</v>
      </c>
      <c r="AY3715">
        <f t="shared" si="116"/>
        <v>43</v>
      </c>
      <c r="AZ3715">
        <f t="shared" si="117"/>
        <v>3</v>
      </c>
    </row>
    <row r="3716" spans="1:52" ht="55.2">
      <c r="A3716" s="3" t="s">
        <v>3760</v>
      </c>
      <c r="C3716">
        <v>4</v>
      </c>
      <c r="J3716">
        <v>33</v>
      </c>
      <c r="AY3716">
        <f t="shared" si="116"/>
        <v>43</v>
      </c>
      <c r="AZ3716">
        <f t="shared" si="117"/>
        <v>3</v>
      </c>
    </row>
    <row r="3717" spans="1:52" ht="55.2">
      <c r="A3717" s="3" t="s">
        <v>3761</v>
      </c>
      <c r="C3717">
        <v>4</v>
      </c>
      <c r="J3717">
        <v>33</v>
      </c>
      <c r="AY3717">
        <f t="shared" si="116"/>
        <v>43</v>
      </c>
      <c r="AZ3717">
        <f t="shared" si="117"/>
        <v>3</v>
      </c>
    </row>
    <row r="3718" spans="1:52" ht="55.2">
      <c r="A3718" s="3" t="s">
        <v>3762</v>
      </c>
      <c r="C3718">
        <v>4</v>
      </c>
      <c r="J3718">
        <v>33</v>
      </c>
      <c r="AY3718">
        <f t="shared" si="116"/>
        <v>43</v>
      </c>
      <c r="AZ3718">
        <f t="shared" si="117"/>
        <v>3</v>
      </c>
    </row>
    <row r="3719" spans="1:52" ht="55.2">
      <c r="A3719" s="3" t="s">
        <v>3763</v>
      </c>
      <c r="C3719">
        <v>4</v>
      </c>
      <c r="J3719">
        <v>33</v>
      </c>
      <c r="AY3719">
        <f t="shared" si="116"/>
        <v>43</v>
      </c>
      <c r="AZ3719">
        <f t="shared" si="117"/>
        <v>3</v>
      </c>
    </row>
    <row r="3720" spans="1:52" ht="55.2">
      <c r="A3720" s="3" t="s">
        <v>3764</v>
      </c>
      <c r="C3720">
        <v>4</v>
      </c>
      <c r="J3720">
        <v>33</v>
      </c>
      <c r="AY3720">
        <f t="shared" si="116"/>
        <v>43</v>
      </c>
      <c r="AZ3720">
        <f t="shared" si="117"/>
        <v>3</v>
      </c>
    </row>
    <row r="3721" spans="1:52" ht="55.2">
      <c r="A3721" s="3" t="s">
        <v>3765</v>
      </c>
      <c r="C3721">
        <v>4</v>
      </c>
      <c r="J3721">
        <v>33</v>
      </c>
      <c r="AY3721">
        <f t="shared" si="116"/>
        <v>43</v>
      </c>
      <c r="AZ3721">
        <f t="shared" si="117"/>
        <v>3</v>
      </c>
    </row>
    <row r="3722" spans="1:52" ht="55.2">
      <c r="A3722" s="3" t="s">
        <v>3766</v>
      </c>
      <c r="C3722">
        <v>4</v>
      </c>
      <c r="J3722">
        <v>33</v>
      </c>
      <c r="AY3722">
        <f t="shared" si="116"/>
        <v>43</v>
      </c>
      <c r="AZ3722">
        <f t="shared" si="117"/>
        <v>3</v>
      </c>
    </row>
    <row r="3723" spans="1:52" ht="55.2">
      <c r="A3723" s="3" t="s">
        <v>3767</v>
      </c>
      <c r="C3723">
        <v>4</v>
      </c>
      <c r="J3723">
        <v>33</v>
      </c>
      <c r="AY3723">
        <f t="shared" si="116"/>
        <v>43</v>
      </c>
      <c r="AZ3723">
        <f t="shared" si="117"/>
        <v>3</v>
      </c>
    </row>
    <row r="3724" spans="1:52" ht="55.2">
      <c r="A3724" s="3" t="s">
        <v>3768</v>
      </c>
      <c r="C3724">
        <v>4</v>
      </c>
      <c r="J3724">
        <v>33</v>
      </c>
      <c r="AY3724">
        <f t="shared" si="116"/>
        <v>43</v>
      </c>
      <c r="AZ3724">
        <f t="shared" si="117"/>
        <v>3</v>
      </c>
    </row>
    <row r="3725" spans="1:52" ht="55.2">
      <c r="A3725" s="3" t="s">
        <v>3769</v>
      </c>
      <c r="C3725">
        <v>4</v>
      </c>
      <c r="J3725">
        <v>33</v>
      </c>
      <c r="AY3725">
        <f t="shared" si="116"/>
        <v>43</v>
      </c>
      <c r="AZ3725">
        <f t="shared" si="117"/>
        <v>3</v>
      </c>
    </row>
    <row r="3726" spans="1:52" ht="55.2">
      <c r="A3726" s="3" t="s">
        <v>3770</v>
      </c>
      <c r="C3726">
        <v>4</v>
      </c>
      <c r="J3726">
        <v>33</v>
      </c>
      <c r="AY3726">
        <f t="shared" si="116"/>
        <v>43</v>
      </c>
      <c r="AZ3726">
        <f t="shared" si="117"/>
        <v>3</v>
      </c>
    </row>
    <row r="3727" spans="1:52" ht="55.2">
      <c r="A3727" s="3" t="s">
        <v>3771</v>
      </c>
      <c r="C3727">
        <v>4</v>
      </c>
      <c r="J3727">
        <v>33</v>
      </c>
      <c r="AY3727">
        <f t="shared" si="116"/>
        <v>43</v>
      </c>
      <c r="AZ3727">
        <f t="shared" si="117"/>
        <v>3</v>
      </c>
    </row>
    <row r="3728" spans="1:52" ht="55.2">
      <c r="A3728" s="3" t="s">
        <v>3772</v>
      </c>
      <c r="C3728">
        <v>4</v>
      </c>
      <c r="J3728">
        <v>33</v>
      </c>
      <c r="AY3728">
        <f t="shared" si="116"/>
        <v>43</v>
      </c>
      <c r="AZ3728">
        <f t="shared" si="117"/>
        <v>3</v>
      </c>
    </row>
    <row r="3729" spans="1:52" ht="55.2">
      <c r="A3729" s="3" t="s">
        <v>3773</v>
      </c>
      <c r="C3729">
        <v>4</v>
      </c>
      <c r="J3729">
        <v>33</v>
      </c>
      <c r="AY3729">
        <f t="shared" si="116"/>
        <v>43</v>
      </c>
      <c r="AZ3729">
        <f t="shared" si="117"/>
        <v>3</v>
      </c>
    </row>
    <row r="3730" spans="1:52" ht="55.2">
      <c r="A3730" s="3" t="s">
        <v>3774</v>
      </c>
      <c r="C3730">
        <v>4</v>
      </c>
      <c r="J3730">
        <v>33</v>
      </c>
      <c r="AY3730">
        <f t="shared" si="116"/>
        <v>43</v>
      </c>
      <c r="AZ3730">
        <f t="shared" si="117"/>
        <v>3</v>
      </c>
    </row>
    <row r="3731" spans="1:52" ht="55.2">
      <c r="A3731" s="3" t="s">
        <v>3775</v>
      </c>
      <c r="C3731">
        <v>4</v>
      </c>
      <c r="AV3731">
        <v>8</v>
      </c>
      <c r="AY3731">
        <f t="shared" si="116"/>
        <v>43</v>
      </c>
      <c r="AZ3731">
        <f t="shared" si="117"/>
        <v>3</v>
      </c>
    </row>
    <row r="3732" spans="1:52" ht="55.2">
      <c r="A3732" s="3" t="s">
        <v>3776</v>
      </c>
      <c r="C3732">
        <v>4</v>
      </c>
      <c r="AV3732">
        <v>8</v>
      </c>
      <c r="AY3732">
        <f t="shared" si="116"/>
        <v>43</v>
      </c>
      <c r="AZ3732">
        <f t="shared" si="117"/>
        <v>3</v>
      </c>
    </row>
    <row r="3733" spans="1:52" ht="55.2">
      <c r="A3733" s="3" t="s">
        <v>3777</v>
      </c>
      <c r="C3733">
        <v>4</v>
      </c>
      <c r="AV3733">
        <v>8</v>
      </c>
      <c r="AY3733">
        <f t="shared" si="116"/>
        <v>43</v>
      </c>
      <c r="AZ3733">
        <f t="shared" si="117"/>
        <v>3</v>
      </c>
    </row>
    <row r="3734" spans="1:52" ht="55.2">
      <c r="A3734" s="3" t="s">
        <v>3778</v>
      </c>
      <c r="C3734">
        <v>4</v>
      </c>
      <c r="AV3734">
        <v>8</v>
      </c>
      <c r="AY3734">
        <f t="shared" si="116"/>
        <v>43</v>
      </c>
      <c r="AZ3734">
        <f t="shared" si="117"/>
        <v>3</v>
      </c>
    </row>
    <row r="3735" spans="1:52" ht="55.2">
      <c r="A3735" s="3" t="s">
        <v>3779</v>
      </c>
      <c r="C3735">
        <v>4</v>
      </c>
      <c r="AV3735">
        <v>8</v>
      </c>
      <c r="AY3735">
        <f t="shared" si="116"/>
        <v>43</v>
      </c>
      <c r="AZ3735">
        <f t="shared" si="117"/>
        <v>3</v>
      </c>
    </row>
    <row r="3736" spans="1:52" ht="55.2">
      <c r="A3736" s="3" t="s">
        <v>3780</v>
      </c>
      <c r="C3736">
        <v>4</v>
      </c>
      <c r="AV3736">
        <v>8</v>
      </c>
      <c r="AY3736">
        <f t="shared" si="116"/>
        <v>43</v>
      </c>
      <c r="AZ3736">
        <f t="shared" si="117"/>
        <v>3</v>
      </c>
    </row>
    <row r="3737" spans="1:52" ht="55.2">
      <c r="A3737" s="3" t="s">
        <v>3781</v>
      </c>
      <c r="C3737">
        <v>4</v>
      </c>
      <c r="AV3737">
        <v>8</v>
      </c>
      <c r="AY3737">
        <f t="shared" si="116"/>
        <v>43</v>
      </c>
      <c r="AZ3737">
        <f t="shared" si="117"/>
        <v>3</v>
      </c>
    </row>
    <row r="3738" spans="1:52" ht="55.2">
      <c r="A3738" s="3" t="s">
        <v>3782</v>
      </c>
      <c r="C3738">
        <v>4</v>
      </c>
      <c r="AV3738">
        <v>8</v>
      </c>
      <c r="AY3738">
        <f t="shared" si="116"/>
        <v>43</v>
      </c>
      <c r="AZ3738">
        <f t="shared" si="117"/>
        <v>3</v>
      </c>
    </row>
    <row r="3739" spans="1:52" ht="55.2">
      <c r="A3739" s="3" t="s">
        <v>3783</v>
      </c>
      <c r="C3739">
        <v>4</v>
      </c>
      <c r="AV3739">
        <v>8</v>
      </c>
      <c r="AY3739">
        <f t="shared" si="116"/>
        <v>43</v>
      </c>
      <c r="AZ3739">
        <f t="shared" si="117"/>
        <v>3</v>
      </c>
    </row>
    <row r="3740" spans="1:52" ht="55.2">
      <c r="A3740" s="3" t="s">
        <v>3784</v>
      </c>
      <c r="C3740">
        <v>4</v>
      </c>
      <c r="AV3740">
        <v>8</v>
      </c>
      <c r="AY3740">
        <f t="shared" si="116"/>
        <v>43</v>
      </c>
      <c r="AZ3740">
        <f t="shared" si="117"/>
        <v>3</v>
      </c>
    </row>
    <row r="3741" spans="1:52" ht="55.2">
      <c r="A3741" s="3" t="s">
        <v>3785</v>
      </c>
      <c r="C3741">
        <v>4</v>
      </c>
      <c r="AV3741">
        <v>8</v>
      </c>
      <c r="AY3741">
        <f t="shared" si="116"/>
        <v>43</v>
      </c>
      <c r="AZ3741">
        <f t="shared" si="117"/>
        <v>3</v>
      </c>
    </row>
    <row r="3742" spans="1:52" ht="55.2">
      <c r="A3742" s="3" t="s">
        <v>3786</v>
      </c>
      <c r="C3742">
        <v>4</v>
      </c>
      <c r="AV3742">
        <v>8</v>
      </c>
      <c r="AY3742">
        <f t="shared" si="116"/>
        <v>43</v>
      </c>
      <c r="AZ3742">
        <f t="shared" si="117"/>
        <v>3</v>
      </c>
    </row>
    <row r="3743" spans="1:52" ht="55.2">
      <c r="A3743" s="3" t="s">
        <v>3787</v>
      </c>
      <c r="C3743">
        <v>4</v>
      </c>
      <c r="AV3743">
        <v>8</v>
      </c>
      <c r="AY3743">
        <f t="shared" si="116"/>
        <v>43</v>
      </c>
      <c r="AZ3743">
        <f t="shared" si="117"/>
        <v>3</v>
      </c>
    </row>
    <row r="3744" spans="1:52" ht="55.2">
      <c r="A3744" s="3" t="s">
        <v>3788</v>
      </c>
      <c r="C3744">
        <v>4</v>
      </c>
      <c r="AV3744">
        <v>8</v>
      </c>
      <c r="AY3744">
        <f t="shared" si="116"/>
        <v>43</v>
      </c>
      <c r="AZ3744">
        <f t="shared" si="117"/>
        <v>3</v>
      </c>
    </row>
    <row r="3745" spans="1:52" ht="55.2">
      <c r="A3745" s="3" t="s">
        <v>3789</v>
      </c>
      <c r="C3745">
        <v>4</v>
      </c>
      <c r="AV3745">
        <v>8</v>
      </c>
      <c r="AY3745">
        <f t="shared" ref="AY3745:AY3808" si="118">COUNTBLANK(F3745:AW3745)</f>
        <v>43</v>
      </c>
      <c r="AZ3745">
        <f t="shared" ref="AZ3745:AZ3808" si="119">COUNTBLANK(B3745:E3745)</f>
        <v>3</v>
      </c>
    </row>
    <row r="3746" spans="1:52" ht="55.2">
      <c r="A3746" s="3" t="s">
        <v>3790</v>
      </c>
      <c r="C3746">
        <v>4</v>
      </c>
      <c r="AV3746">
        <v>8</v>
      </c>
      <c r="AY3746">
        <f t="shared" si="118"/>
        <v>43</v>
      </c>
      <c r="AZ3746">
        <f t="shared" si="119"/>
        <v>3</v>
      </c>
    </row>
    <row r="3747" spans="1:52" ht="55.2">
      <c r="A3747" s="3" t="s">
        <v>3791</v>
      </c>
      <c r="C3747">
        <v>4</v>
      </c>
      <c r="AV3747">
        <v>8</v>
      </c>
      <c r="AY3747">
        <f t="shared" si="118"/>
        <v>43</v>
      </c>
      <c r="AZ3747">
        <f t="shared" si="119"/>
        <v>3</v>
      </c>
    </row>
    <row r="3748" spans="1:52" ht="55.2">
      <c r="A3748" s="3" t="s">
        <v>3792</v>
      </c>
      <c r="C3748">
        <v>4</v>
      </c>
      <c r="AV3748">
        <v>8</v>
      </c>
      <c r="AY3748">
        <f t="shared" si="118"/>
        <v>43</v>
      </c>
      <c r="AZ3748">
        <f t="shared" si="119"/>
        <v>3</v>
      </c>
    </row>
    <row r="3749" spans="1:52" ht="55.2">
      <c r="A3749" s="3" t="s">
        <v>3793</v>
      </c>
      <c r="C3749">
        <v>4</v>
      </c>
      <c r="AV3749">
        <v>8</v>
      </c>
      <c r="AY3749">
        <f t="shared" si="118"/>
        <v>43</v>
      </c>
      <c r="AZ3749">
        <f t="shared" si="119"/>
        <v>3</v>
      </c>
    </row>
    <row r="3750" spans="1:52" ht="55.2">
      <c r="A3750" s="3" t="s">
        <v>3794</v>
      </c>
      <c r="C3750">
        <v>4</v>
      </c>
      <c r="AV3750">
        <v>8</v>
      </c>
      <c r="AY3750">
        <f t="shared" si="118"/>
        <v>43</v>
      </c>
      <c r="AZ3750">
        <f t="shared" si="119"/>
        <v>3</v>
      </c>
    </row>
    <row r="3751" spans="1:52" ht="55.2">
      <c r="A3751" s="3" t="s">
        <v>3795</v>
      </c>
      <c r="C3751">
        <v>4</v>
      </c>
      <c r="AV3751">
        <v>8</v>
      </c>
      <c r="AY3751">
        <f t="shared" si="118"/>
        <v>43</v>
      </c>
      <c r="AZ3751">
        <f t="shared" si="119"/>
        <v>3</v>
      </c>
    </row>
    <row r="3752" spans="1:52" ht="55.2">
      <c r="A3752" s="3" t="s">
        <v>3796</v>
      </c>
      <c r="C3752">
        <v>4</v>
      </c>
      <c r="AV3752">
        <v>8</v>
      </c>
      <c r="AY3752">
        <f t="shared" si="118"/>
        <v>43</v>
      </c>
      <c r="AZ3752">
        <f t="shared" si="119"/>
        <v>3</v>
      </c>
    </row>
    <row r="3753" spans="1:52" ht="55.2">
      <c r="A3753" s="3" t="s">
        <v>3797</v>
      </c>
      <c r="C3753">
        <v>4</v>
      </c>
      <c r="AV3753">
        <v>8</v>
      </c>
      <c r="AY3753">
        <f t="shared" si="118"/>
        <v>43</v>
      </c>
      <c r="AZ3753">
        <f t="shared" si="119"/>
        <v>3</v>
      </c>
    </row>
    <row r="3754" spans="1:52" ht="55.2">
      <c r="A3754" s="3" t="s">
        <v>3798</v>
      </c>
      <c r="C3754">
        <v>4</v>
      </c>
      <c r="AV3754">
        <v>8</v>
      </c>
      <c r="AY3754">
        <f t="shared" si="118"/>
        <v>43</v>
      </c>
      <c r="AZ3754">
        <f t="shared" si="119"/>
        <v>3</v>
      </c>
    </row>
    <row r="3755" spans="1:52" ht="55.2">
      <c r="A3755" s="3" t="s">
        <v>3799</v>
      </c>
      <c r="C3755">
        <v>4</v>
      </c>
      <c r="AV3755">
        <v>8</v>
      </c>
      <c r="AY3755">
        <f t="shared" si="118"/>
        <v>43</v>
      </c>
      <c r="AZ3755">
        <f t="shared" si="119"/>
        <v>3</v>
      </c>
    </row>
    <row r="3756" spans="1:52" ht="55.2">
      <c r="A3756" s="3" t="s">
        <v>3800</v>
      </c>
      <c r="C3756">
        <v>4</v>
      </c>
      <c r="AV3756">
        <v>8</v>
      </c>
      <c r="AY3756">
        <f t="shared" si="118"/>
        <v>43</v>
      </c>
      <c r="AZ3756">
        <f t="shared" si="119"/>
        <v>3</v>
      </c>
    </row>
    <row r="3757" spans="1:52" ht="55.2">
      <c r="A3757" s="3" t="s">
        <v>3801</v>
      </c>
      <c r="C3757">
        <v>4</v>
      </c>
      <c r="AV3757">
        <v>8</v>
      </c>
      <c r="AY3757">
        <f t="shared" si="118"/>
        <v>43</v>
      </c>
      <c r="AZ3757">
        <f t="shared" si="119"/>
        <v>3</v>
      </c>
    </row>
    <row r="3758" spans="1:52" ht="55.2">
      <c r="A3758" s="3" t="s">
        <v>3802</v>
      </c>
      <c r="C3758">
        <v>4</v>
      </c>
      <c r="AV3758">
        <v>8</v>
      </c>
      <c r="AY3758">
        <f t="shared" si="118"/>
        <v>43</v>
      </c>
      <c r="AZ3758">
        <f t="shared" si="119"/>
        <v>3</v>
      </c>
    </row>
    <row r="3759" spans="1:52" ht="55.2">
      <c r="A3759" s="3" t="s">
        <v>3803</v>
      </c>
      <c r="C3759">
        <v>4</v>
      </c>
      <c r="AV3759">
        <v>8</v>
      </c>
      <c r="AY3759">
        <f t="shared" si="118"/>
        <v>43</v>
      </c>
      <c r="AZ3759">
        <f t="shared" si="119"/>
        <v>3</v>
      </c>
    </row>
    <row r="3760" spans="1:52" ht="55.2">
      <c r="A3760" s="3" t="s">
        <v>3804</v>
      </c>
      <c r="C3760">
        <v>4</v>
      </c>
      <c r="AV3760">
        <v>8</v>
      </c>
      <c r="AY3760">
        <f t="shared" si="118"/>
        <v>43</v>
      </c>
      <c r="AZ3760">
        <f t="shared" si="119"/>
        <v>3</v>
      </c>
    </row>
    <row r="3761" spans="1:52" ht="55.2">
      <c r="A3761" s="3" t="s">
        <v>3805</v>
      </c>
      <c r="C3761">
        <v>4</v>
      </c>
      <c r="AV3761">
        <v>8</v>
      </c>
      <c r="AY3761">
        <f t="shared" si="118"/>
        <v>43</v>
      </c>
      <c r="AZ3761">
        <f t="shared" si="119"/>
        <v>3</v>
      </c>
    </row>
    <row r="3762" spans="1:52" ht="55.2">
      <c r="A3762" s="3" t="s">
        <v>3806</v>
      </c>
      <c r="C3762">
        <v>4</v>
      </c>
      <c r="AV3762">
        <v>8</v>
      </c>
      <c r="AY3762">
        <f t="shared" si="118"/>
        <v>43</v>
      </c>
      <c r="AZ3762">
        <f t="shared" si="119"/>
        <v>3</v>
      </c>
    </row>
    <row r="3763" spans="1:52" ht="55.2">
      <c r="A3763" s="3" t="s">
        <v>3807</v>
      </c>
      <c r="C3763">
        <v>4</v>
      </c>
      <c r="J3763">
        <v>34</v>
      </c>
      <c r="AY3763">
        <f t="shared" si="118"/>
        <v>43</v>
      </c>
      <c r="AZ3763">
        <f t="shared" si="119"/>
        <v>3</v>
      </c>
    </row>
    <row r="3764" spans="1:52" ht="55.2">
      <c r="A3764" s="3" t="s">
        <v>3808</v>
      </c>
      <c r="C3764">
        <v>4</v>
      </c>
      <c r="J3764">
        <v>34</v>
      </c>
      <c r="AY3764">
        <f t="shared" si="118"/>
        <v>43</v>
      </c>
      <c r="AZ3764">
        <f t="shared" si="119"/>
        <v>3</v>
      </c>
    </row>
    <row r="3765" spans="1:52" ht="55.2">
      <c r="A3765" s="3" t="s">
        <v>3809</v>
      </c>
      <c r="C3765">
        <v>4</v>
      </c>
      <c r="J3765">
        <v>34</v>
      </c>
      <c r="AY3765">
        <f t="shared" si="118"/>
        <v>43</v>
      </c>
      <c r="AZ3765">
        <f t="shared" si="119"/>
        <v>3</v>
      </c>
    </row>
    <row r="3766" spans="1:52" ht="55.2">
      <c r="A3766" s="3" t="s">
        <v>3810</v>
      </c>
      <c r="C3766">
        <v>4</v>
      </c>
      <c r="J3766">
        <v>34</v>
      </c>
      <c r="AY3766">
        <f t="shared" si="118"/>
        <v>43</v>
      </c>
      <c r="AZ3766">
        <f t="shared" si="119"/>
        <v>3</v>
      </c>
    </row>
    <row r="3767" spans="1:52" ht="55.2">
      <c r="A3767" s="3" t="s">
        <v>3811</v>
      </c>
      <c r="C3767">
        <v>4</v>
      </c>
      <c r="J3767">
        <v>34</v>
      </c>
      <c r="AY3767">
        <f t="shared" si="118"/>
        <v>43</v>
      </c>
      <c r="AZ3767">
        <f t="shared" si="119"/>
        <v>3</v>
      </c>
    </row>
    <row r="3768" spans="1:52" ht="55.2">
      <c r="A3768" s="3" t="s">
        <v>3812</v>
      </c>
      <c r="C3768">
        <v>4</v>
      </c>
      <c r="D3768">
        <v>4</v>
      </c>
      <c r="J3768">
        <v>34</v>
      </c>
      <c r="AY3768">
        <f t="shared" si="118"/>
        <v>43</v>
      </c>
      <c r="AZ3768">
        <f t="shared" si="119"/>
        <v>2</v>
      </c>
    </row>
    <row r="3769" spans="1:52" ht="55.2">
      <c r="A3769" s="3" t="s">
        <v>3813</v>
      </c>
      <c r="C3769">
        <v>4</v>
      </c>
      <c r="D3769">
        <v>4</v>
      </c>
      <c r="J3769">
        <v>34</v>
      </c>
      <c r="AY3769">
        <f t="shared" si="118"/>
        <v>43</v>
      </c>
      <c r="AZ3769">
        <f t="shared" si="119"/>
        <v>2</v>
      </c>
    </row>
    <row r="3770" spans="1:52" ht="55.2">
      <c r="A3770" s="3" t="s">
        <v>3814</v>
      </c>
      <c r="C3770">
        <v>4</v>
      </c>
      <c r="D3770">
        <v>4</v>
      </c>
      <c r="J3770">
        <v>34</v>
      </c>
      <c r="AY3770">
        <f t="shared" si="118"/>
        <v>43</v>
      </c>
      <c r="AZ3770">
        <f t="shared" si="119"/>
        <v>2</v>
      </c>
    </row>
    <row r="3771" spans="1:52" ht="55.2">
      <c r="A3771" s="3" t="s">
        <v>3815</v>
      </c>
      <c r="C3771">
        <v>4</v>
      </c>
      <c r="D3771">
        <v>4</v>
      </c>
      <c r="J3771">
        <v>34</v>
      </c>
      <c r="AY3771">
        <f t="shared" si="118"/>
        <v>43</v>
      </c>
      <c r="AZ3771">
        <f t="shared" si="119"/>
        <v>2</v>
      </c>
    </row>
    <row r="3772" spans="1:52" ht="55.2">
      <c r="A3772" s="3" t="s">
        <v>3816</v>
      </c>
      <c r="C3772">
        <v>4</v>
      </c>
      <c r="D3772">
        <v>4</v>
      </c>
      <c r="J3772">
        <v>34</v>
      </c>
      <c r="AY3772">
        <f t="shared" si="118"/>
        <v>43</v>
      </c>
      <c r="AZ3772">
        <f t="shared" si="119"/>
        <v>2</v>
      </c>
    </row>
    <row r="3773" spans="1:52" ht="55.2">
      <c r="A3773" s="3" t="s">
        <v>3817</v>
      </c>
      <c r="C3773">
        <v>4</v>
      </c>
      <c r="D3773">
        <v>4</v>
      </c>
      <c r="J3773">
        <v>34</v>
      </c>
      <c r="AY3773">
        <f t="shared" si="118"/>
        <v>43</v>
      </c>
      <c r="AZ3773">
        <f t="shared" si="119"/>
        <v>2</v>
      </c>
    </row>
    <row r="3774" spans="1:52" ht="55.2">
      <c r="A3774" s="3" t="s">
        <v>3818</v>
      </c>
      <c r="C3774">
        <v>4</v>
      </c>
      <c r="D3774">
        <v>4</v>
      </c>
      <c r="J3774">
        <v>34</v>
      </c>
      <c r="AY3774">
        <f t="shared" si="118"/>
        <v>43</v>
      </c>
      <c r="AZ3774">
        <f t="shared" si="119"/>
        <v>2</v>
      </c>
    </row>
    <row r="3775" spans="1:52" ht="55.2">
      <c r="A3775" s="3" t="s">
        <v>3819</v>
      </c>
      <c r="C3775">
        <v>4</v>
      </c>
      <c r="D3775">
        <v>4</v>
      </c>
      <c r="J3775">
        <v>34</v>
      </c>
      <c r="AY3775">
        <f t="shared" si="118"/>
        <v>43</v>
      </c>
      <c r="AZ3775">
        <f t="shared" si="119"/>
        <v>2</v>
      </c>
    </row>
    <row r="3776" spans="1:52" ht="55.2">
      <c r="A3776" s="3" t="s">
        <v>3820</v>
      </c>
      <c r="C3776">
        <v>4</v>
      </c>
      <c r="D3776">
        <v>4</v>
      </c>
      <c r="J3776">
        <v>34</v>
      </c>
      <c r="AY3776">
        <f t="shared" si="118"/>
        <v>43</v>
      </c>
      <c r="AZ3776">
        <f t="shared" si="119"/>
        <v>2</v>
      </c>
    </row>
    <row r="3777" spans="1:52" ht="55.2">
      <c r="A3777" s="3" t="s">
        <v>3821</v>
      </c>
      <c r="C3777">
        <v>4</v>
      </c>
      <c r="D3777">
        <v>4</v>
      </c>
      <c r="J3777">
        <v>34</v>
      </c>
      <c r="AY3777">
        <f t="shared" si="118"/>
        <v>43</v>
      </c>
      <c r="AZ3777">
        <f t="shared" si="119"/>
        <v>2</v>
      </c>
    </row>
    <row r="3778" spans="1:52" ht="55.2">
      <c r="A3778" s="3" t="s">
        <v>3822</v>
      </c>
      <c r="C3778">
        <v>4</v>
      </c>
      <c r="D3778">
        <v>4</v>
      </c>
      <c r="J3778">
        <v>34</v>
      </c>
      <c r="AY3778">
        <f t="shared" si="118"/>
        <v>43</v>
      </c>
      <c r="AZ3778">
        <f t="shared" si="119"/>
        <v>2</v>
      </c>
    </row>
    <row r="3779" spans="1:52" ht="55.2">
      <c r="A3779" s="3" t="s">
        <v>3823</v>
      </c>
      <c r="C3779">
        <v>4</v>
      </c>
      <c r="D3779">
        <v>4</v>
      </c>
      <c r="J3779">
        <v>34</v>
      </c>
      <c r="AY3779">
        <f t="shared" si="118"/>
        <v>43</v>
      </c>
      <c r="AZ3779">
        <f t="shared" si="119"/>
        <v>2</v>
      </c>
    </row>
    <row r="3780" spans="1:52" ht="55.2">
      <c r="A3780" s="3" t="s">
        <v>3824</v>
      </c>
      <c r="C3780">
        <v>4</v>
      </c>
      <c r="D3780">
        <v>4</v>
      </c>
      <c r="AT3780">
        <v>9</v>
      </c>
      <c r="AY3780">
        <f t="shared" si="118"/>
        <v>43</v>
      </c>
      <c r="AZ3780">
        <f t="shared" si="119"/>
        <v>2</v>
      </c>
    </row>
    <row r="3781" spans="1:52" ht="55.2">
      <c r="A3781" s="3" t="s">
        <v>3825</v>
      </c>
      <c r="C3781">
        <v>4</v>
      </c>
      <c r="D3781">
        <v>4</v>
      </c>
      <c r="AT3781">
        <v>9</v>
      </c>
      <c r="AY3781">
        <f t="shared" si="118"/>
        <v>43</v>
      </c>
      <c r="AZ3781">
        <f t="shared" si="119"/>
        <v>2</v>
      </c>
    </row>
    <row r="3782" spans="1:52" ht="55.2">
      <c r="A3782" s="3" t="s">
        <v>3826</v>
      </c>
      <c r="C3782">
        <v>4</v>
      </c>
      <c r="D3782">
        <v>4</v>
      </c>
      <c r="AT3782">
        <v>9</v>
      </c>
      <c r="AY3782">
        <f t="shared" si="118"/>
        <v>43</v>
      </c>
      <c r="AZ3782">
        <f t="shared" si="119"/>
        <v>2</v>
      </c>
    </row>
    <row r="3783" spans="1:52" ht="55.2">
      <c r="A3783" s="3" t="s">
        <v>3827</v>
      </c>
      <c r="C3783">
        <v>4</v>
      </c>
      <c r="D3783">
        <v>4</v>
      </c>
      <c r="AT3783">
        <v>9</v>
      </c>
      <c r="AY3783">
        <f t="shared" si="118"/>
        <v>43</v>
      </c>
      <c r="AZ3783">
        <f t="shared" si="119"/>
        <v>2</v>
      </c>
    </row>
    <row r="3784" spans="1:52" ht="55.2">
      <c r="A3784" s="3" t="s">
        <v>3828</v>
      </c>
      <c r="C3784">
        <v>4</v>
      </c>
      <c r="D3784">
        <v>4</v>
      </c>
      <c r="AT3784">
        <v>9</v>
      </c>
      <c r="AY3784">
        <f t="shared" si="118"/>
        <v>43</v>
      </c>
      <c r="AZ3784">
        <f t="shared" si="119"/>
        <v>2</v>
      </c>
    </row>
    <row r="3785" spans="1:52" ht="55.2">
      <c r="A3785" s="3" t="s">
        <v>3829</v>
      </c>
      <c r="C3785">
        <v>4</v>
      </c>
      <c r="D3785">
        <v>4</v>
      </c>
      <c r="AT3785">
        <v>9</v>
      </c>
      <c r="AY3785">
        <f t="shared" si="118"/>
        <v>43</v>
      </c>
      <c r="AZ3785">
        <f t="shared" si="119"/>
        <v>2</v>
      </c>
    </row>
    <row r="3786" spans="1:52" ht="55.2">
      <c r="A3786" s="3" t="s">
        <v>3830</v>
      </c>
      <c r="C3786">
        <v>4</v>
      </c>
      <c r="D3786">
        <v>4</v>
      </c>
      <c r="AT3786">
        <v>9</v>
      </c>
      <c r="AY3786">
        <f t="shared" si="118"/>
        <v>43</v>
      </c>
      <c r="AZ3786">
        <f t="shared" si="119"/>
        <v>2</v>
      </c>
    </row>
    <row r="3787" spans="1:52" ht="55.2">
      <c r="A3787" s="3" t="s">
        <v>3831</v>
      </c>
      <c r="C3787">
        <v>4</v>
      </c>
      <c r="D3787">
        <v>4</v>
      </c>
      <c r="AT3787">
        <v>9</v>
      </c>
      <c r="AY3787">
        <f t="shared" si="118"/>
        <v>43</v>
      </c>
      <c r="AZ3787">
        <f t="shared" si="119"/>
        <v>2</v>
      </c>
    </row>
    <row r="3788" spans="1:52" ht="55.2">
      <c r="A3788" s="3" t="s">
        <v>3832</v>
      </c>
      <c r="C3788">
        <v>4</v>
      </c>
      <c r="D3788">
        <v>4</v>
      </c>
      <c r="AT3788">
        <v>9</v>
      </c>
      <c r="AY3788">
        <f t="shared" si="118"/>
        <v>43</v>
      </c>
      <c r="AZ3788">
        <f t="shared" si="119"/>
        <v>2</v>
      </c>
    </row>
    <row r="3789" spans="1:52" ht="55.2">
      <c r="A3789" s="3" t="s">
        <v>3833</v>
      </c>
      <c r="C3789">
        <v>4</v>
      </c>
      <c r="D3789">
        <v>4</v>
      </c>
      <c r="AT3789">
        <v>9</v>
      </c>
      <c r="AY3789">
        <f t="shared" si="118"/>
        <v>43</v>
      </c>
      <c r="AZ3789">
        <f t="shared" si="119"/>
        <v>2</v>
      </c>
    </row>
    <row r="3790" spans="1:52" ht="55.2">
      <c r="A3790" s="3" t="s">
        <v>3834</v>
      </c>
      <c r="C3790">
        <v>4</v>
      </c>
      <c r="D3790">
        <v>4</v>
      </c>
      <c r="AT3790">
        <v>9</v>
      </c>
      <c r="AY3790">
        <f t="shared" si="118"/>
        <v>43</v>
      </c>
      <c r="AZ3790">
        <f t="shared" si="119"/>
        <v>2</v>
      </c>
    </row>
    <row r="3791" spans="1:52" ht="55.2">
      <c r="A3791" s="3" t="s">
        <v>3835</v>
      </c>
      <c r="C3791">
        <v>4</v>
      </c>
      <c r="D3791">
        <v>4</v>
      </c>
      <c r="J3791">
        <v>35</v>
      </c>
      <c r="AY3791">
        <f t="shared" si="118"/>
        <v>43</v>
      </c>
      <c r="AZ3791">
        <f t="shared" si="119"/>
        <v>2</v>
      </c>
    </row>
    <row r="3792" spans="1:52" ht="55.2">
      <c r="A3792" s="3" t="s">
        <v>3836</v>
      </c>
      <c r="C3792">
        <v>4</v>
      </c>
      <c r="D3792">
        <v>4</v>
      </c>
      <c r="J3792">
        <v>35</v>
      </c>
      <c r="AY3792">
        <f t="shared" si="118"/>
        <v>43</v>
      </c>
      <c r="AZ3792">
        <f t="shared" si="119"/>
        <v>2</v>
      </c>
    </row>
    <row r="3793" spans="1:52" ht="55.2">
      <c r="A3793" s="3" t="s">
        <v>3837</v>
      </c>
      <c r="C3793">
        <v>4</v>
      </c>
      <c r="D3793">
        <v>4</v>
      </c>
      <c r="J3793">
        <v>35</v>
      </c>
      <c r="AY3793">
        <f t="shared" si="118"/>
        <v>43</v>
      </c>
      <c r="AZ3793">
        <f t="shared" si="119"/>
        <v>2</v>
      </c>
    </row>
    <row r="3794" spans="1:52" ht="55.2">
      <c r="A3794" s="3" t="s">
        <v>3838</v>
      </c>
      <c r="C3794">
        <v>4</v>
      </c>
      <c r="D3794">
        <v>4</v>
      </c>
      <c r="J3794">
        <v>35</v>
      </c>
      <c r="AY3794">
        <f t="shared" si="118"/>
        <v>43</v>
      </c>
      <c r="AZ3794">
        <f t="shared" si="119"/>
        <v>2</v>
      </c>
    </row>
    <row r="3795" spans="1:52" ht="55.2">
      <c r="A3795" s="3" t="s">
        <v>3839</v>
      </c>
      <c r="C3795">
        <v>4</v>
      </c>
      <c r="D3795">
        <v>4</v>
      </c>
      <c r="J3795">
        <v>35</v>
      </c>
      <c r="AY3795">
        <f t="shared" si="118"/>
        <v>43</v>
      </c>
      <c r="AZ3795">
        <f t="shared" si="119"/>
        <v>2</v>
      </c>
    </row>
    <row r="3796" spans="1:52" ht="55.2">
      <c r="A3796" s="3" t="s">
        <v>3840</v>
      </c>
      <c r="C3796">
        <v>4</v>
      </c>
      <c r="D3796">
        <v>4</v>
      </c>
      <c r="J3796">
        <v>35</v>
      </c>
      <c r="AY3796">
        <f t="shared" si="118"/>
        <v>43</v>
      </c>
      <c r="AZ3796">
        <f t="shared" si="119"/>
        <v>2</v>
      </c>
    </row>
    <row r="3797" spans="1:52" ht="55.2">
      <c r="A3797" s="3" t="s">
        <v>3841</v>
      </c>
      <c r="C3797">
        <v>4</v>
      </c>
      <c r="D3797">
        <v>4</v>
      </c>
      <c r="J3797">
        <v>35</v>
      </c>
      <c r="AY3797">
        <f t="shared" si="118"/>
        <v>43</v>
      </c>
      <c r="AZ3797">
        <f t="shared" si="119"/>
        <v>2</v>
      </c>
    </row>
    <row r="3798" spans="1:52" ht="55.2">
      <c r="A3798" s="3" t="s">
        <v>3842</v>
      </c>
      <c r="C3798">
        <v>4</v>
      </c>
      <c r="D3798">
        <v>4</v>
      </c>
      <c r="J3798">
        <v>35</v>
      </c>
      <c r="AY3798">
        <f t="shared" si="118"/>
        <v>43</v>
      </c>
      <c r="AZ3798">
        <f t="shared" si="119"/>
        <v>2</v>
      </c>
    </row>
    <row r="3799" spans="1:52" ht="55.2">
      <c r="A3799" s="3" t="s">
        <v>3843</v>
      </c>
      <c r="C3799">
        <v>4</v>
      </c>
      <c r="D3799">
        <v>4</v>
      </c>
      <c r="J3799">
        <v>35</v>
      </c>
      <c r="AY3799">
        <f t="shared" si="118"/>
        <v>43</v>
      </c>
      <c r="AZ3799">
        <f t="shared" si="119"/>
        <v>2</v>
      </c>
    </row>
    <row r="3800" spans="1:52" ht="55.2">
      <c r="A3800" s="3" t="s">
        <v>3844</v>
      </c>
      <c r="D3800">
        <v>4</v>
      </c>
      <c r="AB3800">
        <v>1</v>
      </c>
      <c r="AY3800">
        <f t="shared" si="118"/>
        <v>43</v>
      </c>
      <c r="AZ3800">
        <f t="shared" si="119"/>
        <v>3</v>
      </c>
    </row>
    <row r="3801" spans="1:52" ht="55.2">
      <c r="A3801" s="3" t="s">
        <v>3845</v>
      </c>
      <c r="D3801">
        <v>4</v>
      </c>
      <c r="AB3801">
        <v>1</v>
      </c>
      <c r="AY3801">
        <f t="shared" si="118"/>
        <v>43</v>
      </c>
      <c r="AZ3801">
        <f t="shared" si="119"/>
        <v>3</v>
      </c>
    </row>
    <row r="3802" spans="1:52" ht="55.2">
      <c r="A3802" s="3" t="s">
        <v>3846</v>
      </c>
      <c r="D3802">
        <v>4</v>
      </c>
      <c r="AB3802">
        <v>1</v>
      </c>
      <c r="AY3802">
        <f t="shared" si="118"/>
        <v>43</v>
      </c>
      <c r="AZ3802">
        <f t="shared" si="119"/>
        <v>3</v>
      </c>
    </row>
    <row r="3803" spans="1:52" ht="55.2">
      <c r="A3803" s="3" t="s">
        <v>3847</v>
      </c>
      <c r="D3803">
        <v>4</v>
      </c>
      <c r="AB3803">
        <v>1</v>
      </c>
      <c r="AY3803">
        <f t="shared" si="118"/>
        <v>43</v>
      </c>
      <c r="AZ3803">
        <f t="shared" si="119"/>
        <v>3</v>
      </c>
    </row>
    <row r="3804" spans="1:52" ht="55.2">
      <c r="A3804" s="3" t="s">
        <v>3848</v>
      </c>
      <c r="D3804">
        <v>4</v>
      </c>
      <c r="AB3804">
        <v>1</v>
      </c>
      <c r="AY3804">
        <f t="shared" si="118"/>
        <v>43</v>
      </c>
      <c r="AZ3804">
        <f t="shared" si="119"/>
        <v>3</v>
      </c>
    </row>
    <row r="3805" spans="1:52" ht="55.2">
      <c r="A3805" s="3" t="s">
        <v>3849</v>
      </c>
      <c r="D3805">
        <v>4</v>
      </c>
      <c r="AW3805">
        <v>9</v>
      </c>
      <c r="AY3805">
        <f t="shared" si="118"/>
        <v>43</v>
      </c>
      <c r="AZ3805">
        <f t="shared" si="119"/>
        <v>3</v>
      </c>
    </row>
    <row r="3806" spans="1:52" ht="55.2">
      <c r="A3806" s="3" t="s">
        <v>3850</v>
      </c>
      <c r="D3806">
        <v>4</v>
      </c>
      <c r="AW3806">
        <v>9</v>
      </c>
      <c r="AY3806">
        <f t="shared" si="118"/>
        <v>43</v>
      </c>
      <c r="AZ3806">
        <f t="shared" si="119"/>
        <v>3</v>
      </c>
    </row>
    <row r="3807" spans="1:52" ht="55.2">
      <c r="A3807" s="3" t="s">
        <v>3851</v>
      </c>
      <c r="D3807">
        <v>4</v>
      </c>
      <c r="K3807">
        <v>9</v>
      </c>
      <c r="AY3807">
        <f t="shared" si="118"/>
        <v>43</v>
      </c>
      <c r="AZ3807">
        <f t="shared" si="119"/>
        <v>3</v>
      </c>
    </row>
    <row r="3808" spans="1:52" ht="55.2">
      <c r="A3808" s="3" t="s">
        <v>3852</v>
      </c>
      <c r="D3808">
        <v>4</v>
      </c>
      <c r="K3808">
        <v>9</v>
      </c>
      <c r="AY3808">
        <f t="shared" si="118"/>
        <v>43</v>
      </c>
      <c r="AZ3808">
        <f t="shared" si="119"/>
        <v>3</v>
      </c>
    </row>
    <row r="3809" spans="1:52" ht="55.2">
      <c r="A3809" s="3" t="s">
        <v>3853</v>
      </c>
      <c r="D3809">
        <v>4</v>
      </c>
      <c r="K3809">
        <v>9</v>
      </c>
      <c r="AY3809">
        <f t="shared" ref="AY3809:AY3872" si="120">COUNTBLANK(F3809:AW3809)</f>
        <v>43</v>
      </c>
      <c r="AZ3809">
        <f t="shared" ref="AZ3809:AZ3872" si="121">COUNTBLANK(B3809:E3809)</f>
        <v>3</v>
      </c>
    </row>
    <row r="3810" spans="1:52" ht="55.2">
      <c r="A3810" s="3" t="s">
        <v>3854</v>
      </c>
      <c r="D3810">
        <v>4</v>
      </c>
      <c r="K3810">
        <v>9</v>
      </c>
      <c r="AY3810">
        <f t="shared" si="120"/>
        <v>43</v>
      </c>
      <c r="AZ3810">
        <f t="shared" si="121"/>
        <v>3</v>
      </c>
    </row>
    <row r="3811" spans="1:52" ht="55.2">
      <c r="A3811" s="3" t="s">
        <v>3855</v>
      </c>
      <c r="D3811">
        <v>4</v>
      </c>
      <c r="K3811">
        <v>9</v>
      </c>
      <c r="AY3811">
        <f t="shared" si="120"/>
        <v>43</v>
      </c>
      <c r="AZ3811">
        <f t="shared" si="121"/>
        <v>3</v>
      </c>
    </row>
    <row r="3812" spans="1:52" ht="55.2">
      <c r="A3812" s="3" t="s">
        <v>3856</v>
      </c>
      <c r="D3812">
        <v>4</v>
      </c>
      <c r="K3812">
        <v>9</v>
      </c>
      <c r="AY3812">
        <f t="shared" si="120"/>
        <v>43</v>
      </c>
      <c r="AZ3812">
        <f t="shared" si="121"/>
        <v>3</v>
      </c>
    </row>
    <row r="3813" spans="1:52" ht="55.2">
      <c r="A3813" s="3" t="s">
        <v>3857</v>
      </c>
      <c r="D3813">
        <v>4</v>
      </c>
      <c r="K3813">
        <v>9</v>
      </c>
      <c r="AY3813">
        <f t="shared" si="120"/>
        <v>43</v>
      </c>
      <c r="AZ3813">
        <f t="shared" si="121"/>
        <v>3</v>
      </c>
    </row>
    <row r="3814" spans="1:52" ht="55.2">
      <c r="A3814" s="3" t="s">
        <v>3858</v>
      </c>
      <c r="D3814">
        <v>4</v>
      </c>
      <c r="K3814">
        <v>9</v>
      </c>
      <c r="AY3814">
        <f t="shared" si="120"/>
        <v>43</v>
      </c>
      <c r="AZ3814">
        <f t="shared" si="121"/>
        <v>3</v>
      </c>
    </row>
    <row r="3815" spans="1:52" ht="55.2">
      <c r="A3815" s="3" t="s">
        <v>3859</v>
      </c>
      <c r="D3815">
        <v>4</v>
      </c>
      <c r="K3815">
        <v>9</v>
      </c>
      <c r="AY3815">
        <f t="shared" si="120"/>
        <v>43</v>
      </c>
      <c r="AZ3815">
        <f t="shared" si="121"/>
        <v>3</v>
      </c>
    </row>
    <row r="3816" spans="1:52" ht="55.2">
      <c r="A3816" s="3" t="s">
        <v>3860</v>
      </c>
      <c r="D3816">
        <v>4</v>
      </c>
      <c r="K3816">
        <v>9</v>
      </c>
      <c r="AY3816">
        <f t="shared" si="120"/>
        <v>43</v>
      </c>
      <c r="AZ3816">
        <f t="shared" si="121"/>
        <v>3</v>
      </c>
    </row>
    <row r="3817" spans="1:52" ht="55.2">
      <c r="A3817" s="3" t="s">
        <v>3861</v>
      </c>
      <c r="D3817">
        <v>4</v>
      </c>
      <c r="K3817">
        <v>9</v>
      </c>
      <c r="AY3817">
        <f t="shared" si="120"/>
        <v>43</v>
      </c>
      <c r="AZ3817">
        <f t="shared" si="121"/>
        <v>3</v>
      </c>
    </row>
    <row r="3818" spans="1:52" ht="55.2">
      <c r="A3818" s="3" t="s">
        <v>3862</v>
      </c>
      <c r="D3818">
        <v>4</v>
      </c>
      <c r="K3818">
        <v>9</v>
      </c>
      <c r="AY3818">
        <f t="shared" si="120"/>
        <v>43</v>
      </c>
      <c r="AZ3818">
        <f t="shared" si="121"/>
        <v>3</v>
      </c>
    </row>
    <row r="3819" spans="1:52" ht="55.2">
      <c r="A3819" s="3" t="s">
        <v>3863</v>
      </c>
      <c r="D3819">
        <v>4</v>
      </c>
      <c r="K3819">
        <v>9</v>
      </c>
      <c r="AY3819">
        <f t="shared" si="120"/>
        <v>43</v>
      </c>
      <c r="AZ3819">
        <f t="shared" si="121"/>
        <v>3</v>
      </c>
    </row>
    <row r="3820" spans="1:52" ht="55.2">
      <c r="A3820" s="3" t="s">
        <v>3864</v>
      </c>
      <c r="D3820">
        <v>4</v>
      </c>
      <c r="Z3820">
        <v>1</v>
      </c>
      <c r="AY3820">
        <f t="shared" si="120"/>
        <v>43</v>
      </c>
      <c r="AZ3820">
        <f t="shared" si="121"/>
        <v>3</v>
      </c>
    </row>
    <row r="3821" spans="1:52" ht="55.2">
      <c r="A3821" s="3" t="s">
        <v>3865</v>
      </c>
      <c r="D3821">
        <v>4</v>
      </c>
      <c r="Z3821">
        <v>1</v>
      </c>
      <c r="AY3821">
        <f t="shared" si="120"/>
        <v>43</v>
      </c>
      <c r="AZ3821">
        <f t="shared" si="121"/>
        <v>3</v>
      </c>
    </row>
    <row r="3822" spans="1:52" ht="55.2">
      <c r="A3822" s="3" t="s">
        <v>3866</v>
      </c>
      <c r="D3822">
        <v>4</v>
      </c>
      <c r="Z3822">
        <v>1</v>
      </c>
      <c r="AY3822">
        <f t="shared" si="120"/>
        <v>43</v>
      </c>
      <c r="AZ3822">
        <f t="shared" si="121"/>
        <v>3</v>
      </c>
    </row>
    <row r="3823" spans="1:52" ht="55.2">
      <c r="A3823" s="3" t="s">
        <v>3867</v>
      </c>
      <c r="D3823">
        <v>4</v>
      </c>
      <c r="Z3823">
        <v>1</v>
      </c>
      <c r="AY3823">
        <f t="shared" si="120"/>
        <v>43</v>
      </c>
      <c r="AZ3823">
        <f t="shared" si="121"/>
        <v>3</v>
      </c>
    </row>
    <row r="3824" spans="1:52" ht="55.2">
      <c r="A3824" s="3" t="s">
        <v>3868</v>
      </c>
      <c r="D3824">
        <v>4</v>
      </c>
      <c r="Z3824">
        <v>1</v>
      </c>
      <c r="AY3824">
        <f t="shared" si="120"/>
        <v>43</v>
      </c>
      <c r="AZ3824">
        <f t="shared" si="121"/>
        <v>3</v>
      </c>
    </row>
    <row r="3825" spans="1:52" ht="55.2">
      <c r="A3825" s="3" t="s">
        <v>3869</v>
      </c>
      <c r="D3825">
        <v>4</v>
      </c>
      <c r="Z3825">
        <v>1</v>
      </c>
      <c r="AY3825">
        <f t="shared" si="120"/>
        <v>43</v>
      </c>
      <c r="AZ3825">
        <f t="shared" si="121"/>
        <v>3</v>
      </c>
    </row>
    <row r="3826" spans="1:52" ht="55.2">
      <c r="A3826" s="3" t="s">
        <v>3870</v>
      </c>
      <c r="D3826">
        <v>4</v>
      </c>
      <c r="Z3826">
        <v>1</v>
      </c>
      <c r="AY3826">
        <f t="shared" si="120"/>
        <v>43</v>
      </c>
      <c r="AZ3826">
        <f t="shared" si="121"/>
        <v>3</v>
      </c>
    </row>
    <row r="3827" spans="1:52" ht="55.2">
      <c r="A3827" s="3" t="s">
        <v>3871</v>
      </c>
      <c r="D3827">
        <v>4</v>
      </c>
      <c r="Z3827">
        <v>1</v>
      </c>
      <c r="AY3827">
        <f t="shared" si="120"/>
        <v>43</v>
      </c>
      <c r="AZ3827">
        <f t="shared" si="121"/>
        <v>3</v>
      </c>
    </row>
    <row r="3828" spans="1:52" ht="55.2">
      <c r="A3828" s="3" t="s">
        <v>3872</v>
      </c>
      <c r="D3828">
        <v>4</v>
      </c>
      <c r="Z3828">
        <v>1</v>
      </c>
      <c r="AY3828">
        <f t="shared" si="120"/>
        <v>43</v>
      </c>
      <c r="AZ3828">
        <f t="shared" si="121"/>
        <v>3</v>
      </c>
    </row>
    <row r="3829" spans="1:52" ht="55.2">
      <c r="A3829" s="3" t="s">
        <v>3873</v>
      </c>
      <c r="D3829">
        <v>4</v>
      </c>
      <c r="Z3829">
        <v>1</v>
      </c>
      <c r="AY3829">
        <f t="shared" si="120"/>
        <v>43</v>
      </c>
      <c r="AZ3829">
        <f t="shared" si="121"/>
        <v>3</v>
      </c>
    </row>
    <row r="3830" spans="1:52" ht="55.2">
      <c r="A3830" s="3" t="s">
        <v>3874</v>
      </c>
      <c r="D3830">
        <v>4</v>
      </c>
      <c r="Z3830">
        <v>1</v>
      </c>
      <c r="AY3830">
        <f t="shared" si="120"/>
        <v>43</v>
      </c>
      <c r="AZ3830">
        <f t="shared" si="121"/>
        <v>3</v>
      </c>
    </row>
    <row r="3831" spans="1:52" ht="55.2">
      <c r="A3831" s="3" t="s">
        <v>3875</v>
      </c>
      <c r="D3831">
        <v>4</v>
      </c>
      <c r="Z3831">
        <v>1</v>
      </c>
      <c r="AY3831">
        <f t="shared" si="120"/>
        <v>43</v>
      </c>
      <c r="AZ3831">
        <f t="shared" si="121"/>
        <v>3</v>
      </c>
    </row>
    <row r="3832" spans="1:52" ht="55.2">
      <c r="A3832" s="3" t="s">
        <v>3876</v>
      </c>
      <c r="D3832">
        <v>4</v>
      </c>
      <c r="Z3832">
        <v>1</v>
      </c>
      <c r="AY3832">
        <f t="shared" si="120"/>
        <v>43</v>
      </c>
      <c r="AZ3832">
        <f t="shared" si="121"/>
        <v>3</v>
      </c>
    </row>
    <row r="3833" spans="1:52" ht="55.2">
      <c r="A3833" s="3" t="s">
        <v>3877</v>
      </c>
      <c r="D3833">
        <v>4</v>
      </c>
      <c r="Z3833">
        <v>1</v>
      </c>
      <c r="AY3833">
        <f t="shared" si="120"/>
        <v>43</v>
      </c>
      <c r="AZ3833">
        <f t="shared" si="121"/>
        <v>3</v>
      </c>
    </row>
    <row r="3834" spans="1:52" ht="55.2">
      <c r="A3834" s="3" t="s">
        <v>3878</v>
      </c>
      <c r="D3834">
        <v>4</v>
      </c>
      <c r="Z3834">
        <v>1</v>
      </c>
      <c r="AY3834">
        <f t="shared" si="120"/>
        <v>43</v>
      </c>
      <c r="AZ3834">
        <f t="shared" si="121"/>
        <v>3</v>
      </c>
    </row>
    <row r="3835" spans="1:52" ht="55.2">
      <c r="A3835" s="3" t="s">
        <v>3879</v>
      </c>
      <c r="D3835">
        <v>4</v>
      </c>
      <c r="AV3835">
        <v>9</v>
      </c>
      <c r="AY3835">
        <f t="shared" si="120"/>
        <v>43</v>
      </c>
      <c r="AZ3835">
        <f t="shared" si="121"/>
        <v>3</v>
      </c>
    </row>
    <row r="3836" spans="1:52" ht="55.2">
      <c r="A3836" s="3" t="s">
        <v>3880</v>
      </c>
      <c r="D3836">
        <v>4</v>
      </c>
      <c r="AV3836">
        <v>9</v>
      </c>
      <c r="AY3836">
        <f t="shared" si="120"/>
        <v>43</v>
      </c>
      <c r="AZ3836">
        <f t="shared" si="121"/>
        <v>3</v>
      </c>
    </row>
    <row r="3837" spans="1:52" ht="55.2">
      <c r="A3837" s="3" t="s">
        <v>3881</v>
      </c>
      <c r="D3837">
        <v>4</v>
      </c>
      <c r="AV3837">
        <v>9</v>
      </c>
      <c r="AY3837">
        <f t="shared" si="120"/>
        <v>43</v>
      </c>
      <c r="AZ3837">
        <f t="shared" si="121"/>
        <v>3</v>
      </c>
    </row>
    <row r="3838" spans="1:52" ht="55.2">
      <c r="A3838" s="3" t="s">
        <v>3882</v>
      </c>
      <c r="D3838">
        <v>4</v>
      </c>
      <c r="AV3838">
        <v>9</v>
      </c>
      <c r="AY3838">
        <f t="shared" si="120"/>
        <v>43</v>
      </c>
      <c r="AZ3838">
        <f t="shared" si="121"/>
        <v>3</v>
      </c>
    </row>
    <row r="3839" spans="1:52" ht="55.2">
      <c r="A3839" s="3" t="s">
        <v>3883</v>
      </c>
      <c r="D3839">
        <v>4</v>
      </c>
      <c r="AV3839">
        <v>9</v>
      </c>
      <c r="AY3839">
        <f t="shared" si="120"/>
        <v>43</v>
      </c>
      <c r="AZ3839">
        <f t="shared" si="121"/>
        <v>3</v>
      </c>
    </row>
    <row r="3840" spans="1:52" ht="55.2">
      <c r="A3840" s="3" t="s">
        <v>3884</v>
      </c>
      <c r="D3840">
        <v>4</v>
      </c>
      <c r="AV3840">
        <v>9</v>
      </c>
      <c r="AY3840">
        <f t="shared" si="120"/>
        <v>43</v>
      </c>
      <c r="AZ3840">
        <f t="shared" si="121"/>
        <v>3</v>
      </c>
    </row>
    <row r="3841" spans="1:52" ht="55.2">
      <c r="A3841" s="3" t="s">
        <v>3885</v>
      </c>
      <c r="D3841">
        <v>4</v>
      </c>
      <c r="AV3841">
        <v>9</v>
      </c>
      <c r="AY3841">
        <f t="shared" si="120"/>
        <v>43</v>
      </c>
      <c r="AZ3841">
        <f t="shared" si="121"/>
        <v>3</v>
      </c>
    </row>
    <row r="3842" spans="1:52" ht="55.2">
      <c r="A3842" s="3" t="s">
        <v>3886</v>
      </c>
      <c r="D3842">
        <v>4</v>
      </c>
      <c r="AV3842">
        <v>9</v>
      </c>
      <c r="AY3842">
        <f t="shared" si="120"/>
        <v>43</v>
      </c>
      <c r="AZ3842">
        <f t="shared" si="121"/>
        <v>3</v>
      </c>
    </row>
    <row r="3843" spans="1:52" ht="55.2">
      <c r="A3843" s="3" t="s">
        <v>3887</v>
      </c>
      <c r="D3843">
        <v>4</v>
      </c>
      <c r="AV3843">
        <v>9</v>
      </c>
      <c r="AY3843">
        <f t="shared" si="120"/>
        <v>43</v>
      </c>
      <c r="AZ3843">
        <f t="shared" si="121"/>
        <v>3</v>
      </c>
    </row>
    <row r="3844" spans="1:52" ht="55.2">
      <c r="A3844" s="3" t="s">
        <v>3888</v>
      </c>
      <c r="D3844">
        <v>4</v>
      </c>
      <c r="AV3844">
        <v>9</v>
      </c>
      <c r="AY3844">
        <f t="shared" si="120"/>
        <v>43</v>
      </c>
      <c r="AZ3844">
        <f t="shared" si="121"/>
        <v>3</v>
      </c>
    </row>
    <row r="3845" spans="1:52" ht="55.2">
      <c r="A3845" s="3" t="s">
        <v>3889</v>
      </c>
      <c r="D3845">
        <v>4</v>
      </c>
      <c r="AV3845">
        <v>9</v>
      </c>
      <c r="AY3845">
        <f t="shared" si="120"/>
        <v>43</v>
      </c>
      <c r="AZ3845">
        <f t="shared" si="121"/>
        <v>3</v>
      </c>
    </row>
    <row r="3846" spans="1:52" ht="55.2">
      <c r="A3846" s="3" t="s">
        <v>3890</v>
      </c>
      <c r="D3846">
        <v>4</v>
      </c>
      <c r="AV3846">
        <v>9</v>
      </c>
      <c r="AY3846">
        <f t="shared" si="120"/>
        <v>43</v>
      </c>
      <c r="AZ3846">
        <f t="shared" si="121"/>
        <v>3</v>
      </c>
    </row>
    <row r="3847" spans="1:52" ht="55.2">
      <c r="A3847" s="3" t="s">
        <v>3891</v>
      </c>
      <c r="D3847">
        <v>4</v>
      </c>
      <c r="AV3847">
        <v>9</v>
      </c>
      <c r="AY3847">
        <f t="shared" si="120"/>
        <v>43</v>
      </c>
      <c r="AZ3847">
        <f t="shared" si="121"/>
        <v>3</v>
      </c>
    </row>
    <row r="3848" spans="1:52" ht="55.2">
      <c r="A3848" s="3" t="s">
        <v>3892</v>
      </c>
      <c r="D3848">
        <v>4</v>
      </c>
      <c r="AV3848">
        <v>9</v>
      </c>
      <c r="AY3848">
        <f t="shared" si="120"/>
        <v>43</v>
      </c>
      <c r="AZ3848">
        <f t="shared" si="121"/>
        <v>3</v>
      </c>
    </row>
    <row r="3849" spans="1:52" ht="55.2">
      <c r="A3849" s="3" t="s">
        <v>3893</v>
      </c>
      <c r="D3849">
        <v>4</v>
      </c>
      <c r="AV3849">
        <v>9</v>
      </c>
      <c r="AY3849">
        <f t="shared" si="120"/>
        <v>43</v>
      </c>
      <c r="AZ3849">
        <f t="shared" si="121"/>
        <v>3</v>
      </c>
    </row>
    <row r="3850" spans="1:52" ht="55.2">
      <c r="A3850" s="3" t="s">
        <v>3894</v>
      </c>
      <c r="D3850">
        <v>4</v>
      </c>
      <c r="AV3850">
        <v>9</v>
      </c>
      <c r="AY3850">
        <f t="shared" si="120"/>
        <v>43</v>
      </c>
      <c r="AZ3850">
        <f t="shared" si="121"/>
        <v>3</v>
      </c>
    </row>
    <row r="3851" spans="1:52" ht="55.2">
      <c r="A3851" s="3" t="s">
        <v>3895</v>
      </c>
      <c r="D3851">
        <v>4</v>
      </c>
      <c r="AV3851">
        <v>9</v>
      </c>
      <c r="AY3851">
        <f t="shared" si="120"/>
        <v>43</v>
      </c>
      <c r="AZ3851">
        <f t="shared" si="121"/>
        <v>3</v>
      </c>
    </row>
    <row r="3852" spans="1:52" ht="55.2">
      <c r="A3852" s="3" t="s">
        <v>3896</v>
      </c>
      <c r="D3852">
        <v>4</v>
      </c>
      <c r="AV3852">
        <v>9</v>
      </c>
      <c r="AY3852">
        <f t="shared" si="120"/>
        <v>43</v>
      </c>
      <c r="AZ3852">
        <f t="shared" si="121"/>
        <v>3</v>
      </c>
    </row>
    <row r="3853" spans="1:52" ht="55.2">
      <c r="A3853" s="3" t="s">
        <v>3897</v>
      </c>
      <c r="D3853">
        <v>4</v>
      </c>
      <c r="AV3853">
        <v>9</v>
      </c>
      <c r="AY3853">
        <f t="shared" si="120"/>
        <v>43</v>
      </c>
      <c r="AZ3853">
        <f t="shared" si="121"/>
        <v>3</v>
      </c>
    </row>
    <row r="3854" spans="1:52" ht="55.2">
      <c r="A3854" s="3" t="s">
        <v>3898</v>
      </c>
      <c r="D3854">
        <v>4</v>
      </c>
      <c r="AV3854">
        <v>9</v>
      </c>
      <c r="AY3854">
        <f t="shared" si="120"/>
        <v>43</v>
      </c>
      <c r="AZ3854">
        <f t="shared" si="121"/>
        <v>3</v>
      </c>
    </row>
    <row r="3855" spans="1:52" ht="55.2">
      <c r="A3855" s="3" t="s">
        <v>3899</v>
      </c>
      <c r="D3855">
        <v>4</v>
      </c>
      <c r="AV3855">
        <v>9</v>
      </c>
      <c r="AY3855">
        <f t="shared" si="120"/>
        <v>43</v>
      </c>
      <c r="AZ3855">
        <f t="shared" si="121"/>
        <v>3</v>
      </c>
    </row>
    <row r="3856" spans="1:52" ht="55.2">
      <c r="A3856" s="3" t="s">
        <v>3900</v>
      </c>
      <c r="D3856">
        <v>4</v>
      </c>
      <c r="AV3856">
        <v>9</v>
      </c>
      <c r="AY3856">
        <f t="shared" si="120"/>
        <v>43</v>
      </c>
      <c r="AZ3856">
        <f t="shared" si="121"/>
        <v>3</v>
      </c>
    </row>
    <row r="3857" spans="1:52" ht="55.2">
      <c r="A3857" s="3" t="s">
        <v>3901</v>
      </c>
      <c r="D3857">
        <v>4</v>
      </c>
      <c r="AV3857">
        <v>9</v>
      </c>
      <c r="AY3857">
        <f t="shared" si="120"/>
        <v>43</v>
      </c>
      <c r="AZ3857">
        <f t="shared" si="121"/>
        <v>3</v>
      </c>
    </row>
    <row r="3858" spans="1:52" ht="55.2">
      <c r="A3858" s="3" t="s">
        <v>3902</v>
      </c>
      <c r="D3858">
        <v>4</v>
      </c>
      <c r="AV3858">
        <v>9</v>
      </c>
      <c r="AY3858">
        <f t="shared" si="120"/>
        <v>43</v>
      </c>
      <c r="AZ3858">
        <f t="shared" si="121"/>
        <v>3</v>
      </c>
    </row>
    <row r="3859" spans="1:52" ht="55.2">
      <c r="A3859" s="3" t="s">
        <v>3903</v>
      </c>
      <c r="D3859">
        <v>4</v>
      </c>
      <c r="AV3859">
        <v>9</v>
      </c>
      <c r="AY3859">
        <f t="shared" si="120"/>
        <v>43</v>
      </c>
      <c r="AZ3859">
        <f t="shared" si="121"/>
        <v>3</v>
      </c>
    </row>
    <row r="3860" spans="1:52" ht="55.2">
      <c r="A3860" s="3" t="s">
        <v>3904</v>
      </c>
      <c r="D3860">
        <v>4</v>
      </c>
      <c r="AV3860">
        <v>9</v>
      </c>
      <c r="AY3860">
        <f t="shared" si="120"/>
        <v>43</v>
      </c>
      <c r="AZ3860">
        <f t="shared" si="121"/>
        <v>3</v>
      </c>
    </row>
    <row r="3861" spans="1:52" ht="55.2">
      <c r="A3861" s="3" t="s">
        <v>3905</v>
      </c>
      <c r="D3861">
        <v>4</v>
      </c>
      <c r="AV3861">
        <v>9</v>
      </c>
      <c r="AY3861">
        <f t="shared" si="120"/>
        <v>43</v>
      </c>
      <c r="AZ3861">
        <f t="shared" si="121"/>
        <v>3</v>
      </c>
    </row>
    <row r="3862" spans="1:52" ht="55.2">
      <c r="A3862" s="3" t="s">
        <v>3906</v>
      </c>
      <c r="D3862">
        <v>4</v>
      </c>
      <c r="AV3862">
        <v>9</v>
      </c>
      <c r="AY3862">
        <f t="shared" si="120"/>
        <v>43</v>
      </c>
      <c r="AZ3862">
        <f t="shared" si="121"/>
        <v>3</v>
      </c>
    </row>
    <row r="3863" spans="1:52" ht="55.2">
      <c r="A3863" s="3" t="s">
        <v>3907</v>
      </c>
      <c r="D3863">
        <v>4</v>
      </c>
      <c r="AV3863">
        <v>9</v>
      </c>
      <c r="AY3863">
        <f t="shared" si="120"/>
        <v>43</v>
      </c>
      <c r="AZ3863">
        <f t="shared" si="121"/>
        <v>3</v>
      </c>
    </row>
    <row r="3864" spans="1:52" ht="55.2">
      <c r="A3864" s="3" t="s">
        <v>3908</v>
      </c>
      <c r="D3864">
        <v>4</v>
      </c>
      <c r="AV3864">
        <v>9</v>
      </c>
      <c r="AY3864">
        <f t="shared" si="120"/>
        <v>43</v>
      </c>
      <c r="AZ3864">
        <f t="shared" si="121"/>
        <v>3</v>
      </c>
    </row>
    <row r="3865" spans="1:52" ht="55.2">
      <c r="A3865" s="3" t="s">
        <v>3909</v>
      </c>
      <c r="D3865">
        <v>4</v>
      </c>
      <c r="AV3865">
        <v>9</v>
      </c>
      <c r="AY3865">
        <f t="shared" si="120"/>
        <v>43</v>
      </c>
      <c r="AZ3865">
        <f t="shared" si="121"/>
        <v>3</v>
      </c>
    </row>
    <row r="3866" spans="1:52" ht="55.2">
      <c r="A3866" s="3" t="s">
        <v>3910</v>
      </c>
      <c r="D3866">
        <v>4</v>
      </c>
      <c r="AV3866">
        <v>9</v>
      </c>
      <c r="AY3866">
        <f t="shared" si="120"/>
        <v>43</v>
      </c>
      <c r="AZ3866">
        <f t="shared" si="121"/>
        <v>3</v>
      </c>
    </row>
    <row r="3867" spans="1:52" ht="55.2">
      <c r="A3867" s="3" t="s">
        <v>3911</v>
      </c>
      <c r="D3867">
        <v>4</v>
      </c>
      <c r="AV3867">
        <v>9</v>
      </c>
      <c r="AY3867">
        <f t="shared" si="120"/>
        <v>43</v>
      </c>
      <c r="AZ3867">
        <f t="shared" si="121"/>
        <v>3</v>
      </c>
    </row>
    <row r="3868" spans="1:52" ht="55.2">
      <c r="A3868" s="3" t="s">
        <v>3912</v>
      </c>
      <c r="D3868">
        <v>4</v>
      </c>
      <c r="AV3868">
        <v>9</v>
      </c>
      <c r="AY3868">
        <f t="shared" si="120"/>
        <v>43</v>
      </c>
      <c r="AZ3868">
        <f t="shared" si="121"/>
        <v>3</v>
      </c>
    </row>
    <row r="3869" spans="1:52" ht="55.2">
      <c r="A3869" s="3" t="s">
        <v>3913</v>
      </c>
      <c r="D3869">
        <v>4</v>
      </c>
      <c r="AV3869">
        <v>9</v>
      </c>
      <c r="AY3869">
        <f t="shared" si="120"/>
        <v>43</v>
      </c>
      <c r="AZ3869">
        <f t="shared" si="121"/>
        <v>3</v>
      </c>
    </row>
    <row r="3870" spans="1:52" ht="55.2">
      <c r="A3870" s="3" t="s">
        <v>3914</v>
      </c>
      <c r="D3870">
        <v>4</v>
      </c>
      <c r="AV3870">
        <v>9</v>
      </c>
      <c r="AY3870">
        <f t="shared" si="120"/>
        <v>43</v>
      </c>
      <c r="AZ3870">
        <f t="shared" si="121"/>
        <v>3</v>
      </c>
    </row>
    <row r="3871" spans="1:52" ht="55.2">
      <c r="A3871" s="3" t="s">
        <v>3915</v>
      </c>
      <c r="D3871">
        <v>4</v>
      </c>
      <c r="AV3871">
        <v>9</v>
      </c>
      <c r="AY3871">
        <f t="shared" si="120"/>
        <v>43</v>
      </c>
      <c r="AZ3871">
        <f t="shared" si="121"/>
        <v>3</v>
      </c>
    </row>
    <row r="3872" spans="1:52" ht="55.2">
      <c r="A3872" s="3" t="s">
        <v>3916</v>
      </c>
      <c r="D3872">
        <v>4</v>
      </c>
      <c r="AV3872">
        <v>9</v>
      </c>
      <c r="AY3872">
        <f t="shared" si="120"/>
        <v>43</v>
      </c>
      <c r="AZ3872">
        <f t="shared" si="121"/>
        <v>3</v>
      </c>
    </row>
    <row r="3873" spans="1:52" ht="55.2">
      <c r="A3873" s="3" t="s">
        <v>3917</v>
      </c>
      <c r="D3873">
        <v>4</v>
      </c>
      <c r="AV3873">
        <v>9</v>
      </c>
      <c r="AY3873">
        <f t="shared" ref="AY3873:AY3936" si="122">COUNTBLANK(F3873:AW3873)</f>
        <v>43</v>
      </c>
      <c r="AZ3873">
        <f t="shared" ref="AZ3873:AZ3936" si="123">COUNTBLANK(B3873:E3873)</f>
        <v>3</v>
      </c>
    </row>
    <row r="3874" spans="1:52" ht="55.2">
      <c r="A3874" s="3" t="s">
        <v>3918</v>
      </c>
      <c r="D3874">
        <v>4</v>
      </c>
      <c r="AV3874">
        <v>9</v>
      </c>
      <c r="AY3874">
        <f t="shared" si="122"/>
        <v>43</v>
      </c>
      <c r="AZ3874">
        <f t="shared" si="123"/>
        <v>3</v>
      </c>
    </row>
    <row r="3875" spans="1:52" ht="55.2">
      <c r="A3875" s="3" t="s">
        <v>3919</v>
      </c>
      <c r="D3875">
        <v>4</v>
      </c>
      <c r="AV3875">
        <v>9</v>
      </c>
      <c r="AY3875">
        <f t="shared" si="122"/>
        <v>43</v>
      </c>
      <c r="AZ3875">
        <f t="shared" si="123"/>
        <v>3</v>
      </c>
    </row>
    <row r="3876" spans="1:52" ht="55.2">
      <c r="A3876" s="3" t="s">
        <v>3920</v>
      </c>
      <c r="D3876">
        <v>4</v>
      </c>
      <c r="AV3876">
        <v>9</v>
      </c>
      <c r="AY3876">
        <f t="shared" si="122"/>
        <v>43</v>
      </c>
      <c r="AZ3876">
        <f t="shared" si="123"/>
        <v>3</v>
      </c>
    </row>
    <row r="3877" spans="1:52" ht="55.2">
      <c r="A3877" s="3" t="s">
        <v>3921</v>
      </c>
      <c r="D3877">
        <v>4</v>
      </c>
      <c r="AV3877">
        <v>9</v>
      </c>
      <c r="AY3877">
        <f t="shared" si="122"/>
        <v>43</v>
      </c>
      <c r="AZ3877">
        <f t="shared" si="123"/>
        <v>3</v>
      </c>
    </row>
    <row r="3878" spans="1:52" ht="55.2">
      <c r="A3878" s="3" t="s">
        <v>3922</v>
      </c>
      <c r="D3878">
        <v>4</v>
      </c>
      <c r="AV3878">
        <v>9</v>
      </c>
      <c r="AY3878">
        <f t="shared" si="122"/>
        <v>43</v>
      </c>
      <c r="AZ3878">
        <f t="shared" si="123"/>
        <v>3</v>
      </c>
    </row>
    <row r="3879" spans="1:52" ht="55.2">
      <c r="A3879" s="3" t="s">
        <v>3923</v>
      </c>
      <c r="D3879">
        <v>4</v>
      </c>
      <c r="AV3879">
        <v>9</v>
      </c>
      <c r="AY3879">
        <f t="shared" si="122"/>
        <v>43</v>
      </c>
      <c r="AZ3879">
        <f t="shared" si="123"/>
        <v>3</v>
      </c>
    </row>
    <row r="3880" spans="1:52" ht="55.2">
      <c r="A3880" s="3" t="s">
        <v>3924</v>
      </c>
      <c r="D3880">
        <v>4</v>
      </c>
      <c r="AV3880">
        <v>9</v>
      </c>
      <c r="AY3880">
        <f t="shared" si="122"/>
        <v>43</v>
      </c>
      <c r="AZ3880">
        <f t="shared" si="123"/>
        <v>3</v>
      </c>
    </row>
    <row r="3881" spans="1:52" ht="55.2">
      <c r="A3881" s="3" t="s">
        <v>3925</v>
      </c>
      <c r="D3881">
        <v>4</v>
      </c>
      <c r="AV3881">
        <v>9</v>
      </c>
      <c r="AY3881">
        <f t="shared" si="122"/>
        <v>43</v>
      </c>
      <c r="AZ3881">
        <f t="shared" si="123"/>
        <v>3</v>
      </c>
    </row>
    <row r="3882" spans="1:52" ht="55.2">
      <c r="A3882" s="3" t="s">
        <v>3926</v>
      </c>
      <c r="D3882">
        <v>4</v>
      </c>
      <c r="K3882">
        <v>10</v>
      </c>
      <c r="AY3882">
        <f t="shared" si="122"/>
        <v>43</v>
      </c>
      <c r="AZ3882">
        <f t="shared" si="123"/>
        <v>3</v>
      </c>
    </row>
    <row r="3883" spans="1:52" ht="55.2">
      <c r="A3883" s="3" t="s">
        <v>3927</v>
      </c>
      <c r="D3883">
        <v>4</v>
      </c>
      <c r="K3883">
        <v>10</v>
      </c>
      <c r="AY3883">
        <f t="shared" si="122"/>
        <v>43</v>
      </c>
      <c r="AZ3883">
        <f t="shared" si="123"/>
        <v>3</v>
      </c>
    </row>
    <row r="3884" spans="1:52" ht="55.2">
      <c r="A3884" s="3" t="s">
        <v>3928</v>
      </c>
      <c r="D3884">
        <v>4</v>
      </c>
      <c r="K3884">
        <v>10</v>
      </c>
      <c r="AY3884">
        <f t="shared" si="122"/>
        <v>43</v>
      </c>
      <c r="AZ3884">
        <f t="shared" si="123"/>
        <v>3</v>
      </c>
    </row>
    <row r="3885" spans="1:52" ht="55.2">
      <c r="A3885" s="3" t="s">
        <v>3929</v>
      </c>
      <c r="D3885">
        <v>4</v>
      </c>
      <c r="K3885">
        <v>10</v>
      </c>
      <c r="AY3885">
        <f t="shared" si="122"/>
        <v>43</v>
      </c>
      <c r="AZ3885">
        <f t="shared" si="123"/>
        <v>3</v>
      </c>
    </row>
    <row r="3886" spans="1:52" ht="55.2">
      <c r="A3886" s="3" t="s">
        <v>3930</v>
      </c>
      <c r="D3886">
        <v>4</v>
      </c>
      <c r="K3886">
        <v>10</v>
      </c>
      <c r="AY3886">
        <f t="shared" si="122"/>
        <v>43</v>
      </c>
      <c r="AZ3886">
        <f t="shared" si="123"/>
        <v>3</v>
      </c>
    </row>
    <row r="3887" spans="1:52" ht="55.2">
      <c r="A3887" s="3" t="s">
        <v>3931</v>
      </c>
      <c r="D3887">
        <v>4</v>
      </c>
      <c r="K3887">
        <v>10</v>
      </c>
      <c r="AY3887">
        <f t="shared" si="122"/>
        <v>43</v>
      </c>
      <c r="AZ3887">
        <f t="shared" si="123"/>
        <v>3</v>
      </c>
    </row>
    <row r="3888" spans="1:52" ht="55.2">
      <c r="A3888" s="3" t="s">
        <v>3932</v>
      </c>
      <c r="D3888">
        <v>4</v>
      </c>
      <c r="K3888">
        <v>10</v>
      </c>
      <c r="AY3888">
        <f t="shared" si="122"/>
        <v>43</v>
      </c>
      <c r="AZ3888">
        <f t="shared" si="123"/>
        <v>3</v>
      </c>
    </row>
    <row r="3889" spans="1:52" ht="55.2">
      <c r="A3889" s="3" t="s">
        <v>3933</v>
      </c>
      <c r="D3889">
        <v>4</v>
      </c>
      <c r="K3889">
        <v>10</v>
      </c>
      <c r="AY3889">
        <f t="shared" si="122"/>
        <v>43</v>
      </c>
      <c r="AZ3889">
        <f t="shared" si="123"/>
        <v>3</v>
      </c>
    </row>
    <row r="3890" spans="1:52" ht="55.2">
      <c r="A3890" s="3" t="s">
        <v>3934</v>
      </c>
      <c r="D3890">
        <v>4</v>
      </c>
      <c r="K3890">
        <v>10</v>
      </c>
      <c r="AY3890">
        <f t="shared" si="122"/>
        <v>43</v>
      </c>
      <c r="AZ3890">
        <f t="shared" si="123"/>
        <v>3</v>
      </c>
    </row>
    <row r="3891" spans="1:52" ht="55.2">
      <c r="A3891" s="3" t="s">
        <v>3935</v>
      </c>
      <c r="D3891">
        <v>4</v>
      </c>
      <c r="K3891">
        <v>10</v>
      </c>
      <c r="AY3891">
        <f t="shared" si="122"/>
        <v>43</v>
      </c>
      <c r="AZ3891">
        <f t="shared" si="123"/>
        <v>3</v>
      </c>
    </row>
    <row r="3892" spans="1:52" ht="55.2">
      <c r="A3892" s="3" t="s">
        <v>3936</v>
      </c>
      <c r="D3892">
        <v>4</v>
      </c>
      <c r="K3892">
        <v>10</v>
      </c>
      <c r="AY3892">
        <f t="shared" si="122"/>
        <v>43</v>
      </c>
      <c r="AZ3892">
        <f t="shared" si="123"/>
        <v>3</v>
      </c>
    </row>
    <row r="3893" spans="1:52" ht="55.2">
      <c r="A3893" s="3" t="s">
        <v>3937</v>
      </c>
      <c r="D3893">
        <v>4</v>
      </c>
      <c r="K3893">
        <v>10</v>
      </c>
      <c r="AY3893">
        <f t="shared" si="122"/>
        <v>43</v>
      </c>
      <c r="AZ3893">
        <f t="shared" si="123"/>
        <v>3</v>
      </c>
    </row>
    <row r="3894" spans="1:52" ht="55.2">
      <c r="A3894" s="3" t="s">
        <v>3938</v>
      </c>
      <c r="D3894">
        <v>4</v>
      </c>
      <c r="K3894">
        <v>10</v>
      </c>
      <c r="AY3894">
        <f t="shared" si="122"/>
        <v>43</v>
      </c>
      <c r="AZ3894">
        <f t="shared" si="123"/>
        <v>3</v>
      </c>
    </row>
    <row r="3895" spans="1:52" ht="55.2">
      <c r="A3895" s="3" t="s">
        <v>3939</v>
      </c>
      <c r="D3895">
        <v>4</v>
      </c>
      <c r="K3895">
        <v>10</v>
      </c>
      <c r="AY3895">
        <f t="shared" si="122"/>
        <v>43</v>
      </c>
      <c r="AZ3895">
        <f t="shared" si="123"/>
        <v>3</v>
      </c>
    </row>
    <row r="3896" spans="1:52" ht="55.2">
      <c r="A3896" s="3" t="s">
        <v>3940</v>
      </c>
      <c r="D3896">
        <v>4</v>
      </c>
      <c r="K3896">
        <v>10</v>
      </c>
      <c r="AY3896">
        <f t="shared" si="122"/>
        <v>43</v>
      </c>
      <c r="AZ3896">
        <f t="shared" si="123"/>
        <v>3</v>
      </c>
    </row>
    <row r="3897" spans="1:52" ht="55.2">
      <c r="A3897" s="3" t="s">
        <v>3941</v>
      </c>
      <c r="D3897">
        <v>4</v>
      </c>
      <c r="K3897">
        <v>10</v>
      </c>
      <c r="AY3897">
        <f t="shared" si="122"/>
        <v>43</v>
      </c>
      <c r="AZ3897">
        <f t="shared" si="123"/>
        <v>3</v>
      </c>
    </row>
    <row r="3898" spans="1:52" ht="55.2">
      <c r="A3898" s="3" t="s">
        <v>3942</v>
      </c>
      <c r="D3898">
        <v>4</v>
      </c>
      <c r="K3898">
        <v>10</v>
      </c>
      <c r="AY3898">
        <f t="shared" si="122"/>
        <v>43</v>
      </c>
      <c r="AZ3898">
        <f t="shared" si="123"/>
        <v>3</v>
      </c>
    </row>
    <row r="3899" spans="1:52" ht="55.2">
      <c r="A3899" s="3" t="s">
        <v>3943</v>
      </c>
      <c r="D3899">
        <v>4</v>
      </c>
      <c r="K3899">
        <v>10</v>
      </c>
      <c r="AY3899">
        <f t="shared" si="122"/>
        <v>43</v>
      </c>
      <c r="AZ3899">
        <f t="shared" si="123"/>
        <v>3</v>
      </c>
    </row>
    <row r="3900" spans="1:52" ht="55.2">
      <c r="A3900" s="3" t="s">
        <v>3944</v>
      </c>
      <c r="D3900">
        <v>4</v>
      </c>
      <c r="K3900">
        <v>10</v>
      </c>
      <c r="AY3900">
        <f t="shared" si="122"/>
        <v>43</v>
      </c>
      <c r="AZ3900">
        <f t="shared" si="123"/>
        <v>3</v>
      </c>
    </row>
    <row r="3901" spans="1:52" ht="55.2">
      <c r="A3901" s="3" t="s">
        <v>3945</v>
      </c>
      <c r="D3901">
        <v>4</v>
      </c>
      <c r="K3901">
        <v>10</v>
      </c>
      <c r="AY3901">
        <f t="shared" si="122"/>
        <v>43</v>
      </c>
      <c r="AZ3901">
        <f t="shared" si="123"/>
        <v>3</v>
      </c>
    </row>
    <row r="3902" spans="1:52" ht="55.2">
      <c r="A3902" s="3" t="s">
        <v>3946</v>
      </c>
      <c r="D3902">
        <v>4</v>
      </c>
      <c r="K3902">
        <v>10</v>
      </c>
      <c r="AY3902">
        <f t="shared" si="122"/>
        <v>43</v>
      </c>
      <c r="AZ3902">
        <f t="shared" si="123"/>
        <v>3</v>
      </c>
    </row>
    <row r="3903" spans="1:52" ht="55.2">
      <c r="A3903" s="3" t="s">
        <v>3947</v>
      </c>
      <c r="D3903">
        <v>4</v>
      </c>
      <c r="K3903">
        <v>10</v>
      </c>
      <c r="AY3903">
        <f t="shared" si="122"/>
        <v>43</v>
      </c>
      <c r="AZ3903">
        <f t="shared" si="123"/>
        <v>3</v>
      </c>
    </row>
    <row r="3904" spans="1:52" ht="55.2">
      <c r="A3904" s="3" t="s">
        <v>3948</v>
      </c>
      <c r="D3904">
        <v>4</v>
      </c>
      <c r="K3904">
        <v>10</v>
      </c>
      <c r="AY3904">
        <f t="shared" si="122"/>
        <v>43</v>
      </c>
      <c r="AZ3904">
        <f t="shared" si="123"/>
        <v>3</v>
      </c>
    </row>
    <row r="3905" spans="1:52" ht="55.2">
      <c r="A3905" s="3" t="s">
        <v>3949</v>
      </c>
      <c r="D3905">
        <v>4</v>
      </c>
      <c r="K3905">
        <v>10</v>
      </c>
      <c r="AY3905">
        <f t="shared" si="122"/>
        <v>43</v>
      </c>
      <c r="AZ3905">
        <f t="shared" si="123"/>
        <v>3</v>
      </c>
    </row>
    <row r="3906" spans="1:52" ht="55.2">
      <c r="A3906" s="3" t="s">
        <v>3950</v>
      </c>
      <c r="D3906">
        <v>4</v>
      </c>
      <c r="J3906">
        <v>36</v>
      </c>
      <c r="AY3906">
        <f t="shared" si="122"/>
        <v>43</v>
      </c>
      <c r="AZ3906">
        <f t="shared" si="123"/>
        <v>3</v>
      </c>
    </row>
    <row r="3907" spans="1:52" ht="55.2">
      <c r="A3907" s="3" t="s">
        <v>3951</v>
      </c>
      <c r="D3907">
        <v>4</v>
      </c>
      <c r="J3907">
        <v>36</v>
      </c>
      <c r="AY3907">
        <f t="shared" si="122"/>
        <v>43</v>
      </c>
      <c r="AZ3907">
        <f t="shared" si="123"/>
        <v>3</v>
      </c>
    </row>
    <row r="3908" spans="1:52" ht="55.2">
      <c r="A3908" s="3" t="s">
        <v>3952</v>
      </c>
      <c r="D3908">
        <v>4</v>
      </c>
      <c r="J3908">
        <v>36</v>
      </c>
      <c r="AY3908">
        <f t="shared" si="122"/>
        <v>43</v>
      </c>
      <c r="AZ3908">
        <f t="shared" si="123"/>
        <v>3</v>
      </c>
    </row>
    <row r="3909" spans="1:52" ht="55.2">
      <c r="A3909" s="3" t="s">
        <v>3953</v>
      </c>
      <c r="D3909">
        <v>4</v>
      </c>
      <c r="J3909">
        <v>36</v>
      </c>
      <c r="AY3909">
        <f t="shared" si="122"/>
        <v>43</v>
      </c>
      <c r="AZ3909">
        <f t="shared" si="123"/>
        <v>3</v>
      </c>
    </row>
    <row r="3910" spans="1:52" ht="55.2">
      <c r="A3910" s="3" t="s">
        <v>3954</v>
      </c>
      <c r="D3910">
        <v>4</v>
      </c>
      <c r="J3910">
        <v>36</v>
      </c>
      <c r="AY3910">
        <f t="shared" si="122"/>
        <v>43</v>
      </c>
      <c r="AZ3910">
        <f t="shared" si="123"/>
        <v>3</v>
      </c>
    </row>
    <row r="3911" spans="1:52" ht="55.2">
      <c r="A3911" s="3" t="s">
        <v>3955</v>
      </c>
      <c r="D3911">
        <v>4</v>
      </c>
      <c r="J3911">
        <v>36</v>
      </c>
      <c r="AY3911">
        <f t="shared" si="122"/>
        <v>43</v>
      </c>
      <c r="AZ3911">
        <f t="shared" si="123"/>
        <v>3</v>
      </c>
    </row>
    <row r="3912" spans="1:52" ht="55.2">
      <c r="A3912" s="3" t="s">
        <v>3956</v>
      </c>
      <c r="D3912">
        <v>4</v>
      </c>
      <c r="J3912">
        <v>36</v>
      </c>
      <c r="AY3912">
        <f t="shared" si="122"/>
        <v>43</v>
      </c>
      <c r="AZ3912">
        <f t="shared" si="123"/>
        <v>3</v>
      </c>
    </row>
    <row r="3913" spans="1:52" ht="55.2">
      <c r="A3913" s="3" t="s">
        <v>3957</v>
      </c>
      <c r="D3913">
        <v>4</v>
      </c>
      <c r="J3913">
        <v>36</v>
      </c>
      <c r="AY3913">
        <f t="shared" si="122"/>
        <v>43</v>
      </c>
      <c r="AZ3913">
        <f t="shared" si="123"/>
        <v>3</v>
      </c>
    </row>
    <row r="3914" spans="1:52" ht="55.2">
      <c r="A3914" s="3" t="s">
        <v>3958</v>
      </c>
      <c r="D3914">
        <v>4</v>
      </c>
      <c r="J3914">
        <v>36</v>
      </c>
      <c r="AY3914">
        <f t="shared" si="122"/>
        <v>43</v>
      </c>
      <c r="AZ3914">
        <f t="shared" si="123"/>
        <v>3</v>
      </c>
    </row>
    <row r="3915" spans="1:52" ht="55.2">
      <c r="A3915" s="3" t="s">
        <v>3959</v>
      </c>
      <c r="D3915">
        <v>4</v>
      </c>
      <c r="J3915">
        <v>36</v>
      </c>
      <c r="AY3915">
        <f t="shared" si="122"/>
        <v>43</v>
      </c>
      <c r="AZ3915">
        <f t="shared" si="123"/>
        <v>3</v>
      </c>
    </row>
    <row r="3916" spans="1:52" ht="55.2">
      <c r="A3916" s="3" t="s">
        <v>3960</v>
      </c>
      <c r="D3916">
        <v>4</v>
      </c>
      <c r="J3916">
        <v>36</v>
      </c>
      <c r="AY3916">
        <f t="shared" si="122"/>
        <v>43</v>
      </c>
      <c r="AZ3916">
        <f t="shared" si="123"/>
        <v>3</v>
      </c>
    </row>
    <row r="3917" spans="1:52" ht="55.2">
      <c r="A3917" s="3" t="s">
        <v>3961</v>
      </c>
      <c r="D3917">
        <v>4</v>
      </c>
      <c r="J3917">
        <v>36</v>
      </c>
      <c r="AY3917">
        <f t="shared" si="122"/>
        <v>43</v>
      </c>
      <c r="AZ3917">
        <f t="shared" si="123"/>
        <v>3</v>
      </c>
    </row>
    <row r="3918" spans="1:52" ht="55.2">
      <c r="A3918" s="3" t="s">
        <v>3962</v>
      </c>
      <c r="D3918">
        <v>4</v>
      </c>
      <c r="J3918">
        <v>36</v>
      </c>
      <c r="AY3918">
        <f t="shared" si="122"/>
        <v>43</v>
      </c>
      <c r="AZ3918">
        <f t="shared" si="123"/>
        <v>3</v>
      </c>
    </row>
    <row r="3919" spans="1:52" ht="55.2">
      <c r="A3919" s="3" t="s">
        <v>3963</v>
      </c>
      <c r="D3919">
        <v>4</v>
      </c>
      <c r="J3919">
        <v>36</v>
      </c>
      <c r="AY3919">
        <f t="shared" si="122"/>
        <v>43</v>
      </c>
      <c r="AZ3919">
        <f t="shared" si="123"/>
        <v>3</v>
      </c>
    </row>
    <row r="3920" spans="1:52" ht="55.2">
      <c r="A3920" s="3" t="s">
        <v>3964</v>
      </c>
      <c r="D3920">
        <v>4</v>
      </c>
      <c r="J3920">
        <v>36</v>
      </c>
      <c r="AY3920">
        <f t="shared" si="122"/>
        <v>43</v>
      </c>
      <c r="AZ3920">
        <f t="shared" si="123"/>
        <v>3</v>
      </c>
    </row>
    <row r="3921" spans="1:52" ht="55.2">
      <c r="A3921" s="3" t="s">
        <v>3965</v>
      </c>
      <c r="D3921">
        <v>4</v>
      </c>
      <c r="J3921">
        <v>36</v>
      </c>
      <c r="AY3921">
        <f t="shared" si="122"/>
        <v>43</v>
      </c>
      <c r="AZ3921">
        <f t="shared" si="123"/>
        <v>3</v>
      </c>
    </row>
    <row r="3922" spans="1:52" ht="55.2">
      <c r="A3922" s="3" t="s">
        <v>3966</v>
      </c>
      <c r="D3922">
        <v>4</v>
      </c>
      <c r="J3922">
        <v>36</v>
      </c>
      <c r="AY3922">
        <f t="shared" si="122"/>
        <v>43</v>
      </c>
      <c r="AZ3922">
        <f t="shared" si="123"/>
        <v>3</v>
      </c>
    </row>
    <row r="3923" spans="1:52" ht="55.2">
      <c r="A3923" s="3" t="s">
        <v>3967</v>
      </c>
      <c r="D3923">
        <v>4</v>
      </c>
      <c r="J3923">
        <v>36</v>
      </c>
      <c r="AY3923">
        <f t="shared" si="122"/>
        <v>43</v>
      </c>
      <c r="AZ3923">
        <f t="shared" si="123"/>
        <v>3</v>
      </c>
    </row>
    <row r="3924" spans="1:52" ht="55.2">
      <c r="A3924" s="3" t="s">
        <v>3968</v>
      </c>
      <c r="D3924">
        <v>4</v>
      </c>
      <c r="J3924">
        <v>36</v>
      </c>
      <c r="AY3924">
        <f t="shared" si="122"/>
        <v>43</v>
      </c>
      <c r="AZ3924">
        <f t="shared" si="123"/>
        <v>3</v>
      </c>
    </row>
    <row r="3925" spans="1:52" ht="55.2">
      <c r="A3925" s="3" t="s">
        <v>3969</v>
      </c>
      <c r="D3925">
        <v>4</v>
      </c>
      <c r="J3925">
        <v>36</v>
      </c>
      <c r="AY3925">
        <f t="shared" si="122"/>
        <v>43</v>
      </c>
      <c r="AZ3925">
        <f t="shared" si="123"/>
        <v>3</v>
      </c>
    </row>
    <row r="3926" spans="1:52" ht="55.2">
      <c r="A3926" s="3" t="s">
        <v>3970</v>
      </c>
      <c r="D3926">
        <v>4</v>
      </c>
      <c r="J3926">
        <v>36</v>
      </c>
      <c r="AY3926">
        <f t="shared" si="122"/>
        <v>43</v>
      </c>
      <c r="AZ3926">
        <f t="shared" si="123"/>
        <v>3</v>
      </c>
    </row>
    <row r="3927" spans="1:52" ht="55.2">
      <c r="A3927" s="3" t="s">
        <v>3971</v>
      </c>
      <c r="D3927">
        <v>4</v>
      </c>
      <c r="J3927">
        <v>36</v>
      </c>
      <c r="AY3927">
        <f t="shared" si="122"/>
        <v>43</v>
      </c>
      <c r="AZ3927">
        <f t="shared" si="123"/>
        <v>3</v>
      </c>
    </row>
    <row r="3928" spans="1:52" ht="55.2">
      <c r="A3928" s="3" t="s">
        <v>3972</v>
      </c>
      <c r="D3928">
        <v>4</v>
      </c>
      <c r="J3928">
        <v>36</v>
      </c>
      <c r="AY3928">
        <f t="shared" si="122"/>
        <v>43</v>
      </c>
      <c r="AZ3928">
        <f t="shared" si="123"/>
        <v>3</v>
      </c>
    </row>
    <row r="3929" spans="1:52" ht="55.2">
      <c r="A3929" s="3" t="s">
        <v>3973</v>
      </c>
      <c r="D3929">
        <v>4</v>
      </c>
      <c r="AF3929">
        <v>1</v>
      </c>
      <c r="AY3929">
        <f t="shared" si="122"/>
        <v>43</v>
      </c>
      <c r="AZ3929">
        <f t="shared" si="123"/>
        <v>3</v>
      </c>
    </row>
    <row r="3930" spans="1:52" ht="55.2">
      <c r="A3930" s="3" t="s">
        <v>3974</v>
      </c>
      <c r="D3930">
        <v>4</v>
      </c>
      <c r="AF3930">
        <v>1</v>
      </c>
      <c r="AY3930">
        <f t="shared" si="122"/>
        <v>43</v>
      </c>
      <c r="AZ3930">
        <f t="shared" si="123"/>
        <v>3</v>
      </c>
    </row>
    <row r="3931" spans="1:52" ht="55.2">
      <c r="A3931" s="3" t="s">
        <v>3975</v>
      </c>
      <c r="D3931">
        <v>4</v>
      </c>
      <c r="AF3931">
        <v>1</v>
      </c>
      <c r="AY3931">
        <f t="shared" si="122"/>
        <v>43</v>
      </c>
      <c r="AZ3931">
        <f t="shared" si="123"/>
        <v>3</v>
      </c>
    </row>
    <row r="3932" spans="1:52" ht="55.2">
      <c r="A3932" s="3" t="s">
        <v>3976</v>
      </c>
      <c r="D3932">
        <v>4</v>
      </c>
      <c r="AF3932">
        <v>1</v>
      </c>
      <c r="AY3932">
        <f t="shared" si="122"/>
        <v>43</v>
      </c>
      <c r="AZ3932">
        <f t="shared" si="123"/>
        <v>3</v>
      </c>
    </row>
    <row r="3933" spans="1:52" ht="55.2">
      <c r="A3933" s="3" t="s">
        <v>3977</v>
      </c>
      <c r="D3933">
        <v>4</v>
      </c>
      <c r="AF3933">
        <v>1</v>
      </c>
      <c r="AY3933">
        <f t="shared" si="122"/>
        <v>43</v>
      </c>
      <c r="AZ3933">
        <f t="shared" si="123"/>
        <v>3</v>
      </c>
    </row>
    <row r="3934" spans="1:52" ht="55.2">
      <c r="A3934" s="3" t="s">
        <v>3978</v>
      </c>
      <c r="D3934">
        <v>4</v>
      </c>
      <c r="AF3934">
        <v>1</v>
      </c>
      <c r="AY3934">
        <f t="shared" si="122"/>
        <v>43</v>
      </c>
      <c r="AZ3934">
        <f t="shared" si="123"/>
        <v>3</v>
      </c>
    </row>
    <row r="3935" spans="1:52" ht="55.2">
      <c r="A3935" s="3" t="s">
        <v>3979</v>
      </c>
      <c r="D3935">
        <v>4</v>
      </c>
      <c r="AF3935">
        <v>1</v>
      </c>
      <c r="AY3935">
        <f t="shared" si="122"/>
        <v>43</v>
      </c>
      <c r="AZ3935">
        <f t="shared" si="123"/>
        <v>3</v>
      </c>
    </row>
    <row r="3936" spans="1:52" ht="55.2">
      <c r="A3936" s="3" t="s">
        <v>3980</v>
      </c>
      <c r="D3936">
        <v>4</v>
      </c>
      <c r="AF3936">
        <v>1</v>
      </c>
      <c r="AY3936">
        <f t="shared" si="122"/>
        <v>43</v>
      </c>
      <c r="AZ3936">
        <f t="shared" si="123"/>
        <v>3</v>
      </c>
    </row>
    <row r="3937" spans="1:52" ht="55.2">
      <c r="A3937" s="3" t="s">
        <v>3981</v>
      </c>
      <c r="D3937">
        <v>4</v>
      </c>
      <c r="AF3937">
        <v>1</v>
      </c>
      <c r="AY3937">
        <f t="shared" ref="AY3937:AY4000" si="124">COUNTBLANK(F3937:AW3937)</f>
        <v>43</v>
      </c>
      <c r="AZ3937">
        <f t="shared" ref="AZ3937:AZ4000" si="125">COUNTBLANK(B3937:E3937)</f>
        <v>3</v>
      </c>
    </row>
    <row r="3938" spans="1:52" ht="55.2">
      <c r="A3938" s="3" t="s">
        <v>3982</v>
      </c>
      <c r="D3938">
        <v>4</v>
      </c>
      <c r="AF3938">
        <v>1</v>
      </c>
      <c r="AY3938">
        <f t="shared" si="124"/>
        <v>43</v>
      </c>
      <c r="AZ3938">
        <f t="shared" si="125"/>
        <v>3</v>
      </c>
    </row>
    <row r="3939" spans="1:52" ht="55.2">
      <c r="A3939" s="3" t="s">
        <v>3983</v>
      </c>
      <c r="D3939">
        <v>4</v>
      </c>
      <c r="AF3939">
        <v>1</v>
      </c>
      <c r="AY3939">
        <f t="shared" si="124"/>
        <v>43</v>
      </c>
      <c r="AZ3939">
        <f t="shared" si="125"/>
        <v>3</v>
      </c>
    </row>
    <row r="3940" spans="1:52" ht="55.2">
      <c r="A3940" s="3" t="s">
        <v>3984</v>
      </c>
      <c r="D3940">
        <v>4</v>
      </c>
      <c r="AF3940">
        <v>1</v>
      </c>
      <c r="AY3940">
        <f t="shared" si="124"/>
        <v>43</v>
      </c>
      <c r="AZ3940">
        <f t="shared" si="125"/>
        <v>3</v>
      </c>
    </row>
    <row r="3941" spans="1:52" ht="55.2">
      <c r="A3941" s="3" t="s">
        <v>3985</v>
      </c>
      <c r="D3941">
        <v>4</v>
      </c>
      <c r="AF3941">
        <v>1</v>
      </c>
      <c r="AY3941">
        <f t="shared" si="124"/>
        <v>43</v>
      </c>
      <c r="AZ3941">
        <f t="shared" si="125"/>
        <v>3</v>
      </c>
    </row>
    <row r="3942" spans="1:52" ht="55.2">
      <c r="A3942" s="3" t="s">
        <v>3986</v>
      </c>
      <c r="D3942">
        <v>4</v>
      </c>
      <c r="AF3942">
        <v>1</v>
      </c>
      <c r="AY3942">
        <f t="shared" si="124"/>
        <v>43</v>
      </c>
      <c r="AZ3942">
        <f t="shared" si="125"/>
        <v>3</v>
      </c>
    </row>
    <row r="3943" spans="1:52" ht="55.2">
      <c r="A3943" s="3" t="s">
        <v>3987</v>
      </c>
      <c r="D3943">
        <v>4</v>
      </c>
      <c r="AF3943">
        <v>1</v>
      </c>
      <c r="AY3943">
        <f t="shared" si="124"/>
        <v>43</v>
      </c>
      <c r="AZ3943">
        <f t="shared" si="125"/>
        <v>3</v>
      </c>
    </row>
    <row r="3944" spans="1:52" ht="55.2">
      <c r="A3944" s="3" t="s">
        <v>3988</v>
      </c>
      <c r="D3944">
        <v>4</v>
      </c>
      <c r="AF3944">
        <v>1</v>
      </c>
      <c r="AY3944">
        <f t="shared" si="124"/>
        <v>43</v>
      </c>
      <c r="AZ3944">
        <f t="shared" si="125"/>
        <v>3</v>
      </c>
    </row>
    <row r="3945" spans="1:52" ht="55.2">
      <c r="A3945" s="3" t="s">
        <v>3989</v>
      </c>
      <c r="D3945">
        <v>4</v>
      </c>
      <c r="AF3945">
        <v>1</v>
      </c>
      <c r="AY3945">
        <f t="shared" si="124"/>
        <v>43</v>
      </c>
      <c r="AZ3945">
        <f t="shared" si="125"/>
        <v>3</v>
      </c>
    </row>
    <row r="3946" spans="1:52" ht="55.2">
      <c r="A3946" s="3" t="s">
        <v>3990</v>
      </c>
      <c r="D3946">
        <v>4</v>
      </c>
      <c r="AW3946">
        <v>10</v>
      </c>
      <c r="AY3946">
        <f t="shared" si="124"/>
        <v>43</v>
      </c>
      <c r="AZ3946">
        <f t="shared" si="125"/>
        <v>3</v>
      </c>
    </row>
    <row r="3947" spans="1:52" ht="55.2">
      <c r="A3947" s="3" t="s">
        <v>3991</v>
      </c>
      <c r="D3947">
        <v>4</v>
      </c>
      <c r="J3947">
        <v>37</v>
      </c>
      <c r="AY3947">
        <f t="shared" si="124"/>
        <v>43</v>
      </c>
      <c r="AZ3947">
        <f t="shared" si="125"/>
        <v>3</v>
      </c>
    </row>
    <row r="3948" spans="1:52" ht="55.2">
      <c r="A3948" s="3" t="s">
        <v>3992</v>
      </c>
      <c r="D3948">
        <v>4</v>
      </c>
      <c r="J3948">
        <v>37</v>
      </c>
      <c r="AY3948">
        <f t="shared" si="124"/>
        <v>43</v>
      </c>
      <c r="AZ3948">
        <f t="shared" si="125"/>
        <v>3</v>
      </c>
    </row>
    <row r="3949" spans="1:52" ht="55.2">
      <c r="A3949" s="3" t="s">
        <v>3993</v>
      </c>
      <c r="D3949">
        <v>4</v>
      </c>
      <c r="J3949">
        <v>37</v>
      </c>
      <c r="AY3949">
        <f t="shared" si="124"/>
        <v>43</v>
      </c>
      <c r="AZ3949">
        <f t="shared" si="125"/>
        <v>3</v>
      </c>
    </row>
    <row r="3950" spans="1:52" ht="55.2">
      <c r="A3950" s="3" t="s">
        <v>3994</v>
      </c>
      <c r="D3950">
        <v>4</v>
      </c>
      <c r="J3950">
        <v>37</v>
      </c>
      <c r="AY3950">
        <f t="shared" si="124"/>
        <v>43</v>
      </c>
      <c r="AZ3950">
        <f t="shared" si="125"/>
        <v>3</v>
      </c>
    </row>
    <row r="3951" spans="1:52" ht="55.2">
      <c r="A3951" s="3" t="s">
        <v>3995</v>
      </c>
      <c r="D3951">
        <v>4</v>
      </c>
      <c r="J3951">
        <v>37</v>
      </c>
      <c r="AY3951">
        <f t="shared" si="124"/>
        <v>43</v>
      </c>
      <c r="AZ3951">
        <f t="shared" si="125"/>
        <v>3</v>
      </c>
    </row>
    <row r="3952" spans="1:52" ht="55.2">
      <c r="A3952" s="3" t="s">
        <v>3996</v>
      </c>
      <c r="D3952">
        <v>4</v>
      </c>
      <c r="J3952">
        <v>37</v>
      </c>
      <c r="AY3952">
        <f t="shared" si="124"/>
        <v>43</v>
      </c>
      <c r="AZ3952">
        <f t="shared" si="125"/>
        <v>3</v>
      </c>
    </row>
    <row r="3953" spans="1:52" ht="55.2">
      <c r="A3953" s="3" t="s">
        <v>3997</v>
      </c>
      <c r="D3953">
        <v>4</v>
      </c>
      <c r="E3953">
        <v>5</v>
      </c>
      <c r="J3953">
        <v>37</v>
      </c>
      <c r="AY3953">
        <f t="shared" si="124"/>
        <v>43</v>
      </c>
      <c r="AZ3953">
        <f t="shared" si="125"/>
        <v>2</v>
      </c>
    </row>
    <row r="3954" spans="1:52" ht="55.2">
      <c r="A3954" s="3" t="s">
        <v>3998</v>
      </c>
      <c r="D3954">
        <v>4</v>
      </c>
      <c r="E3954">
        <v>5</v>
      </c>
      <c r="J3954">
        <v>37</v>
      </c>
      <c r="AY3954">
        <f t="shared" si="124"/>
        <v>43</v>
      </c>
      <c r="AZ3954">
        <f t="shared" si="125"/>
        <v>2</v>
      </c>
    </row>
    <row r="3955" spans="1:52" ht="55.2">
      <c r="A3955" s="3" t="s">
        <v>3999</v>
      </c>
      <c r="D3955">
        <v>4</v>
      </c>
      <c r="E3955">
        <v>5</v>
      </c>
      <c r="J3955">
        <v>37</v>
      </c>
      <c r="AY3955">
        <f t="shared" si="124"/>
        <v>43</v>
      </c>
      <c r="AZ3955">
        <f t="shared" si="125"/>
        <v>2</v>
      </c>
    </row>
    <row r="3956" spans="1:52" ht="55.2">
      <c r="A3956" s="3" t="s">
        <v>4000</v>
      </c>
      <c r="D3956">
        <v>4</v>
      </c>
      <c r="E3956">
        <v>5</v>
      </c>
      <c r="J3956">
        <v>37</v>
      </c>
      <c r="AY3956">
        <f t="shared" si="124"/>
        <v>43</v>
      </c>
      <c r="AZ3956">
        <f t="shared" si="125"/>
        <v>2</v>
      </c>
    </row>
    <row r="3957" spans="1:52" ht="55.2">
      <c r="A3957" s="3" t="s">
        <v>4001</v>
      </c>
      <c r="D3957">
        <v>4</v>
      </c>
      <c r="E3957">
        <v>5</v>
      </c>
      <c r="J3957">
        <v>37</v>
      </c>
      <c r="AY3957">
        <f t="shared" si="124"/>
        <v>43</v>
      </c>
      <c r="AZ3957">
        <f t="shared" si="125"/>
        <v>2</v>
      </c>
    </row>
    <row r="3958" spans="1:52" ht="55.2">
      <c r="A3958" s="3" t="s">
        <v>4002</v>
      </c>
      <c r="D3958">
        <v>4</v>
      </c>
      <c r="E3958">
        <v>5</v>
      </c>
      <c r="J3958">
        <v>37</v>
      </c>
      <c r="AY3958">
        <f t="shared" si="124"/>
        <v>43</v>
      </c>
      <c r="AZ3958">
        <f t="shared" si="125"/>
        <v>2</v>
      </c>
    </row>
    <row r="3959" spans="1:52" ht="55.2">
      <c r="A3959" s="3" t="s">
        <v>4003</v>
      </c>
      <c r="D3959">
        <v>4</v>
      </c>
      <c r="E3959">
        <v>5</v>
      </c>
      <c r="J3959">
        <v>37</v>
      </c>
      <c r="AY3959">
        <f t="shared" si="124"/>
        <v>43</v>
      </c>
      <c r="AZ3959">
        <f t="shared" si="125"/>
        <v>2</v>
      </c>
    </row>
    <row r="3960" spans="1:52" ht="55.2">
      <c r="A3960" s="3" t="s">
        <v>4004</v>
      </c>
      <c r="D3960">
        <v>4</v>
      </c>
      <c r="E3960">
        <v>5</v>
      </c>
      <c r="J3960">
        <v>37</v>
      </c>
      <c r="AY3960">
        <f t="shared" si="124"/>
        <v>43</v>
      </c>
      <c r="AZ3960">
        <f t="shared" si="125"/>
        <v>2</v>
      </c>
    </row>
    <row r="3961" spans="1:52" ht="55.2">
      <c r="A3961" s="3" t="s">
        <v>4005</v>
      </c>
      <c r="D3961">
        <v>4</v>
      </c>
      <c r="E3961">
        <v>5</v>
      </c>
      <c r="J3961">
        <v>37</v>
      </c>
      <c r="AY3961">
        <f t="shared" si="124"/>
        <v>43</v>
      </c>
      <c r="AZ3961">
        <f t="shared" si="125"/>
        <v>2</v>
      </c>
    </row>
    <row r="3962" spans="1:52" ht="55.2">
      <c r="A3962" s="3" t="s">
        <v>4006</v>
      </c>
      <c r="D3962">
        <v>4</v>
      </c>
      <c r="E3962">
        <v>5</v>
      </c>
      <c r="J3962">
        <v>37</v>
      </c>
      <c r="AY3962">
        <f t="shared" si="124"/>
        <v>43</v>
      </c>
      <c r="AZ3962">
        <f t="shared" si="125"/>
        <v>2</v>
      </c>
    </row>
    <row r="3963" spans="1:52" ht="55.2">
      <c r="A3963" s="3" t="s">
        <v>4007</v>
      </c>
      <c r="D3963">
        <v>4</v>
      </c>
      <c r="E3963">
        <v>5</v>
      </c>
      <c r="J3963">
        <v>37</v>
      </c>
      <c r="AY3963">
        <f t="shared" si="124"/>
        <v>43</v>
      </c>
      <c r="AZ3963">
        <f t="shared" si="125"/>
        <v>2</v>
      </c>
    </row>
    <row r="3964" spans="1:52" ht="55.2">
      <c r="A3964" s="3" t="s">
        <v>4008</v>
      </c>
      <c r="D3964">
        <v>4</v>
      </c>
      <c r="E3964">
        <v>5</v>
      </c>
      <c r="J3964">
        <v>37</v>
      </c>
      <c r="AY3964">
        <f t="shared" si="124"/>
        <v>43</v>
      </c>
      <c r="AZ3964">
        <f t="shared" si="125"/>
        <v>2</v>
      </c>
    </row>
    <row r="3965" spans="1:52" ht="55.2">
      <c r="A3965" s="3" t="s">
        <v>4009</v>
      </c>
      <c r="D3965">
        <v>4</v>
      </c>
      <c r="E3965">
        <v>5</v>
      </c>
      <c r="J3965">
        <v>37</v>
      </c>
      <c r="AY3965">
        <f t="shared" si="124"/>
        <v>43</v>
      </c>
      <c r="AZ3965">
        <f t="shared" si="125"/>
        <v>2</v>
      </c>
    </row>
    <row r="3966" spans="1:52" ht="55.2">
      <c r="A3966" s="3" t="s">
        <v>4010</v>
      </c>
      <c r="D3966">
        <v>4</v>
      </c>
      <c r="E3966">
        <v>5</v>
      </c>
      <c r="J3966">
        <v>37</v>
      </c>
      <c r="AY3966">
        <f t="shared" si="124"/>
        <v>43</v>
      </c>
      <c r="AZ3966">
        <f t="shared" si="125"/>
        <v>2</v>
      </c>
    </row>
    <row r="3967" spans="1:52" ht="55.2">
      <c r="A3967" s="3" t="s">
        <v>4011</v>
      </c>
      <c r="D3967">
        <v>4</v>
      </c>
      <c r="E3967">
        <v>5</v>
      </c>
      <c r="J3967">
        <v>37</v>
      </c>
      <c r="AY3967">
        <f t="shared" si="124"/>
        <v>43</v>
      </c>
      <c r="AZ3967">
        <f t="shared" si="125"/>
        <v>2</v>
      </c>
    </row>
    <row r="3968" spans="1:52" ht="55.2">
      <c r="A3968" s="3" t="s">
        <v>4012</v>
      </c>
      <c r="D3968">
        <v>4</v>
      </c>
      <c r="E3968">
        <v>5</v>
      </c>
      <c r="M3968">
        <v>8</v>
      </c>
      <c r="AY3968">
        <f t="shared" si="124"/>
        <v>43</v>
      </c>
      <c r="AZ3968">
        <f t="shared" si="125"/>
        <v>2</v>
      </c>
    </row>
    <row r="3969" spans="1:52" ht="55.2">
      <c r="A3969" s="3" t="s">
        <v>4013</v>
      </c>
      <c r="D3969">
        <v>4</v>
      </c>
      <c r="E3969">
        <v>5</v>
      </c>
      <c r="M3969">
        <v>8</v>
      </c>
      <c r="AY3969">
        <f t="shared" si="124"/>
        <v>43</v>
      </c>
      <c r="AZ3969">
        <f t="shared" si="125"/>
        <v>2</v>
      </c>
    </row>
    <row r="3970" spans="1:52" ht="55.2">
      <c r="A3970" s="3" t="s">
        <v>4014</v>
      </c>
      <c r="D3970">
        <v>4</v>
      </c>
      <c r="E3970">
        <v>5</v>
      </c>
      <c r="M3970">
        <v>8</v>
      </c>
      <c r="AY3970">
        <f t="shared" si="124"/>
        <v>43</v>
      </c>
      <c r="AZ3970">
        <f t="shared" si="125"/>
        <v>2</v>
      </c>
    </row>
    <row r="3971" spans="1:52" ht="55.2">
      <c r="A3971" s="3" t="s">
        <v>4015</v>
      </c>
      <c r="D3971">
        <v>4</v>
      </c>
      <c r="E3971">
        <v>5</v>
      </c>
      <c r="M3971">
        <v>8</v>
      </c>
      <c r="AY3971">
        <f t="shared" si="124"/>
        <v>43</v>
      </c>
      <c r="AZ3971">
        <f t="shared" si="125"/>
        <v>2</v>
      </c>
    </row>
    <row r="3972" spans="1:52" ht="55.2">
      <c r="A3972" s="3" t="s">
        <v>4016</v>
      </c>
      <c r="D3972">
        <v>4</v>
      </c>
      <c r="E3972">
        <v>5</v>
      </c>
      <c r="M3972">
        <v>8</v>
      </c>
      <c r="AY3972">
        <f t="shared" si="124"/>
        <v>43</v>
      </c>
      <c r="AZ3972">
        <f t="shared" si="125"/>
        <v>2</v>
      </c>
    </row>
    <row r="3973" spans="1:52" ht="55.2">
      <c r="A3973" s="3" t="s">
        <v>4017</v>
      </c>
      <c r="E3973">
        <v>5</v>
      </c>
      <c r="M3973">
        <v>8</v>
      </c>
      <c r="AY3973">
        <f t="shared" si="124"/>
        <v>43</v>
      </c>
      <c r="AZ3973">
        <f t="shared" si="125"/>
        <v>3</v>
      </c>
    </row>
    <row r="3974" spans="1:52" ht="55.2">
      <c r="A3974" s="3" t="s">
        <v>4018</v>
      </c>
      <c r="E3974">
        <v>5</v>
      </c>
      <c r="M3974">
        <v>8</v>
      </c>
      <c r="AY3974">
        <f t="shared" si="124"/>
        <v>43</v>
      </c>
      <c r="AZ3974">
        <f t="shared" si="125"/>
        <v>3</v>
      </c>
    </row>
    <row r="3975" spans="1:52" ht="55.2">
      <c r="A3975" s="3" t="s">
        <v>4019</v>
      </c>
      <c r="E3975">
        <v>5</v>
      </c>
      <c r="M3975">
        <v>8</v>
      </c>
      <c r="AY3975">
        <f t="shared" si="124"/>
        <v>43</v>
      </c>
      <c r="AZ3975">
        <f t="shared" si="125"/>
        <v>3</v>
      </c>
    </row>
    <row r="3976" spans="1:52" ht="55.2">
      <c r="A3976" s="3" t="s">
        <v>4020</v>
      </c>
      <c r="E3976">
        <v>5</v>
      </c>
      <c r="M3976">
        <v>8</v>
      </c>
      <c r="AY3976">
        <f t="shared" si="124"/>
        <v>43</v>
      </c>
      <c r="AZ3976">
        <f t="shared" si="125"/>
        <v>3</v>
      </c>
    </row>
    <row r="3977" spans="1:52" ht="55.2">
      <c r="A3977" s="3" t="s">
        <v>4021</v>
      </c>
      <c r="E3977">
        <v>5</v>
      </c>
      <c r="M3977">
        <v>8</v>
      </c>
      <c r="AY3977">
        <f t="shared" si="124"/>
        <v>43</v>
      </c>
      <c r="AZ3977">
        <f t="shared" si="125"/>
        <v>3</v>
      </c>
    </row>
    <row r="3978" spans="1:52" ht="55.2">
      <c r="A3978" s="3" t="s">
        <v>4022</v>
      </c>
      <c r="E3978">
        <v>5</v>
      </c>
      <c r="M3978">
        <v>8</v>
      </c>
      <c r="AY3978">
        <f t="shared" si="124"/>
        <v>43</v>
      </c>
      <c r="AZ3978">
        <f t="shared" si="125"/>
        <v>3</v>
      </c>
    </row>
    <row r="3979" spans="1:52" ht="55.2">
      <c r="A3979" s="3" t="s">
        <v>4023</v>
      </c>
      <c r="E3979">
        <v>5</v>
      </c>
      <c r="M3979">
        <v>8</v>
      </c>
      <c r="AY3979">
        <f t="shared" si="124"/>
        <v>43</v>
      </c>
      <c r="AZ3979">
        <f t="shared" si="125"/>
        <v>3</v>
      </c>
    </row>
    <row r="3980" spans="1:52" ht="55.2">
      <c r="A3980" s="3" t="s">
        <v>4024</v>
      </c>
      <c r="E3980">
        <v>5</v>
      </c>
      <c r="M3980">
        <v>8</v>
      </c>
      <c r="AY3980">
        <f t="shared" si="124"/>
        <v>43</v>
      </c>
      <c r="AZ3980">
        <f t="shared" si="125"/>
        <v>3</v>
      </c>
    </row>
    <row r="3981" spans="1:52" ht="55.2">
      <c r="A3981" s="3" t="s">
        <v>4025</v>
      </c>
      <c r="E3981">
        <v>5</v>
      </c>
      <c r="M3981">
        <v>8</v>
      </c>
      <c r="AY3981">
        <f t="shared" si="124"/>
        <v>43</v>
      </c>
      <c r="AZ3981">
        <f t="shared" si="125"/>
        <v>3</v>
      </c>
    </row>
    <row r="3982" spans="1:52" ht="55.2">
      <c r="A3982" s="3" t="s">
        <v>4026</v>
      </c>
      <c r="E3982">
        <v>5</v>
      </c>
      <c r="M3982">
        <v>8</v>
      </c>
      <c r="AY3982">
        <f t="shared" si="124"/>
        <v>43</v>
      </c>
      <c r="AZ3982">
        <f t="shared" si="125"/>
        <v>3</v>
      </c>
    </row>
    <row r="3983" spans="1:52" ht="55.2">
      <c r="A3983" s="3" t="s">
        <v>4027</v>
      </c>
      <c r="E3983">
        <v>5</v>
      </c>
      <c r="M3983">
        <v>8</v>
      </c>
      <c r="AY3983">
        <f t="shared" si="124"/>
        <v>43</v>
      </c>
      <c r="AZ3983">
        <f t="shared" si="125"/>
        <v>3</v>
      </c>
    </row>
    <row r="3984" spans="1:52" ht="55.2">
      <c r="A3984" s="3" t="s">
        <v>4028</v>
      </c>
      <c r="E3984">
        <v>5</v>
      </c>
      <c r="M3984">
        <v>8</v>
      </c>
      <c r="AY3984">
        <f t="shared" si="124"/>
        <v>43</v>
      </c>
      <c r="AZ3984">
        <f t="shared" si="125"/>
        <v>3</v>
      </c>
    </row>
    <row r="3985" spans="1:52" ht="55.2">
      <c r="A3985" s="3" t="s">
        <v>4029</v>
      </c>
      <c r="E3985">
        <v>5</v>
      </c>
      <c r="M3985">
        <v>8</v>
      </c>
      <c r="AY3985">
        <f t="shared" si="124"/>
        <v>43</v>
      </c>
      <c r="AZ3985">
        <f t="shared" si="125"/>
        <v>3</v>
      </c>
    </row>
    <row r="3986" spans="1:52" ht="55.2">
      <c r="A3986" s="3" t="s">
        <v>4030</v>
      </c>
      <c r="E3986">
        <v>5</v>
      </c>
      <c r="M3986">
        <v>8</v>
      </c>
      <c r="AY3986">
        <f t="shared" si="124"/>
        <v>43</v>
      </c>
      <c r="AZ3986">
        <f t="shared" si="125"/>
        <v>3</v>
      </c>
    </row>
    <row r="3987" spans="1:52" ht="55.2">
      <c r="A3987" s="3" t="s">
        <v>4031</v>
      </c>
      <c r="E3987">
        <v>5</v>
      </c>
      <c r="M3987">
        <v>8</v>
      </c>
      <c r="AY3987">
        <f t="shared" si="124"/>
        <v>43</v>
      </c>
      <c r="AZ3987">
        <f t="shared" si="125"/>
        <v>3</v>
      </c>
    </row>
    <row r="3988" spans="1:52" ht="55.2">
      <c r="A3988" s="3" t="s">
        <v>4032</v>
      </c>
      <c r="E3988">
        <v>5</v>
      </c>
      <c r="M3988">
        <v>8</v>
      </c>
      <c r="AY3988">
        <f t="shared" si="124"/>
        <v>43</v>
      </c>
      <c r="AZ3988">
        <f t="shared" si="125"/>
        <v>3</v>
      </c>
    </row>
    <row r="3989" spans="1:52" ht="55.2">
      <c r="A3989" s="3" t="s">
        <v>4033</v>
      </c>
      <c r="E3989">
        <v>5</v>
      </c>
      <c r="M3989">
        <v>8</v>
      </c>
      <c r="AY3989">
        <f t="shared" si="124"/>
        <v>43</v>
      </c>
      <c r="AZ3989">
        <f t="shared" si="125"/>
        <v>3</v>
      </c>
    </row>
    <row r="3990" spans="1:52" ht="55.2">
      <c r="A3990" s="3" t="s">
        <v>4034</v>
      </c>
      <c r="E3990">
        <v>5</v>
      </c>
      <c r="M3990">
        <v>8</v>
      </c>
      <c r="AY3990">
        <f t="shared" si="124"/>
        <v>43</v>
      </c>
      <c r="AZ3990">
        <f t="shared" si="125"/>
        <v>3</v>
      </c>
    </row>
    <row r="3991" spans="1:52" ht="55.2">
      <c r="A3991" s="3" t="s">
        <v>4035</v>
      </c>
      <c r="E3991">
        <v>5</v>
      </c>
      <c r="M3991">
        <v>8</v>
      </c>
      <c r="AY3991">
        <f t="shared" si="124"/>
        <v>43</v>
      </c>
      <c r="AZ3991">
        <f t="shared" si="125"/>
        <v>3</v>
      </c>
    </row>
    <row r="3992" spans="1:52" ht="55.2">
      <c r="A3992" s="3" t="s">
        <v>4036</v>
      </c>
      <c r="E3992">
        <v>5</v>
      </c>
      <c r="M3992">
        <v>8</v>
      </c>
      <c r="AY3992">
        <f t="shared" si="124"/>
        <v>43</v>
      </c>
      <c r="AZ3992">
        <f t="shared" si="125"/>
        <v>3</v>
      </c>
    </row>
    <row r="3993" spans="1:52" ht="55.2">
      <c r="A3993" s="3" t="s">
        <v>4037</v>
      </c>
      <c r="E3993">
        <v>5</v>
      </c>
      <c r="M3993">
        <v>8</v>
      </c>
      <c r="AY3993">
        <f t="shared" si="124"/>
        <v>43</v>
      </c>
      <c r="AZ3993">
        <f t="shared" si="125"/>
        <v>3</v>
      </c>
    </row>
    <row r="3994" spans="1:52" ht="55.2">
      <c r="A3994" s="3" t="s">
        <v>4038</v>
      </c>
      <c r="E3994">
        <v>5</v>
      </c>
      <c r="M3994">
        <v>8</v>
      </c>
      <c r="AY3994">
        <f t="shared" si="124"/>
        <v>43</v>
      </c>
      <c r="AZ3994">
        <f t="shared" si="125"/>
        <v>3</v>
      </c>
    </row>
    <row r="3995" spans="1:52" ht="55.2">
      <c r="A3995" s="3" t="s">
        <v>4039</v>
      </c>
      <c r="E3995">
        <v>5</v>
      </c>
      <c r="M3995">
        <v>8</v>
      </c>
      <c r="AY3995">
        <f t="shared" si="124"/>
        <v>43</v>
      </c>
      <c r="AZ3995">
        <f t="shared" si="125"/>
        <v>3</v>
      </c>
    </row>
    <row r="3996" spans="1:52" ht="55.2">
      <c r="A3996" s="3" t="s">
        <v>4040</v>
      </c>
      <c r="E3996">
        <v>5</v>
      </c>
      <c r="M3996">
        <v>8</v>
      </c>
      <c r="AY3996">
        <f t="shared" si="124"/>
        <v>43</v>
      </c>
      <c r="AZ3996">
        <f t="shared" si="125"/>
        <v>3</v>
      </c>
    </row>
    <row r="3997" spans="1:52" ht="55.2">
      <c r="A3997" s="3" t="s">
        <v>4041</v>
      </c>
      <c r="E3997">
        <v>5</v>
      </c>
      <c r="M3997">
        <v>8</v>
      </c>
      <c r="AY3997">
        <f t="shared" si="124"/>
        <v>43</v>
      </c>
      <c r="AZ3997">
        <f t="shared" si="125"/>
        <v>3</v>
      </c>
    </row>
    <row r="3998" spans="1:52" ht="55.2">
      <c r="A3998" s="3" t="s">
        <v>4042</v>
      </c>
      <c r="E3998">
        <v>5</v>
      </c>
      <c r="M3998">
        <v>8</v>
      </c>
      <c r="AY3998">
        <f t="shared" si="124"/>
        <v>43</v>
      </c>
      <c r="AZ3998">
        <f t="shared" si="125"/>
        <v>3</v>
      </c>
    </row>
    <row r="3999" spans="1:52" ht="55.2">
      <c r="A3999" s="3" t="s">
        <v>4043</v>
      </c>
      <c r="E3999">
        <v>5</v>
      </c>
      <c r="M3999">
        <v>8</v>
      </c>
      <c r="AY3999">
        <f t="shared" si="124"/>
        <v>43</v>
      </c>
      <c r="AZ3999">
        <f t="shared" si="125"/>
        <v>3</v>
      </c>
    </row>
    <row r="4000" spans="1:52" ht="55.2">
      <c r="A4000" s="3" t="s">
        <v>4044</v>
      </c>
      <c r="E4000">
        <v>5</v>
      </c>
      <c r="M4000">
        <v>8</v>
      </c>
      <c r="AY4000">
        <f t="shared" si="124"/>
        <v>43</v>
      </c>
      <c r="AZ4000">
        <f t="shared" si="125"/>
        <v>3</v>
      </c>
    </row>
    <row r="4001" spans="1:52" ht="55.2">
      <c r="A4001" s="3" t="s">
        <v>4045</v>
      </c>
      <c r="E4001">
        <v>5</v>
      </c>
      <c r="M4001">
        <v>8</v>
      </c>
      <c r="AY4001">
        <f t="shared" ref="AY4001:AY4064" si="126">COUNTBLANK(F4001:AW4001)</f>
        <v>43</v>
      </c>
      <c r="AZ4001">
        <f t="shared" ref="AZ4001:AZ4064" si="127">COUNTBLANK(B4001:E4001)</f>
        <v>3</v>
      </c>
    </row>
    <row r="4002" spans="1:52" ht="55.2">
      <c r="A4002" s="3" t="s">
        <v>4046</v>
      </c>
      <c r="E4002">
        <v>5</v>
      </c>
      <c r="M4002">
        <v>8</v>
      </c>
      <c r="AY4002">
        <f t="shared" si="126"/>
        <v>43</v>
      </c>
      <c r="AZ4002">
        <f t="shared" si="127"/>
        <v>3</v>
      </c>
    </row>
    <row r="4003" spans="1:52" ht="55.2">
      <c r="A4003" s="3" t="s">
        <v>4047</v>
      </c>
      <c r="E4003">
        <v>5</v>
      </c>
      <c r="M4003">
        <v>8</v>
      </c>
      <c r="AY4003">
        <f t="shared" si="126"/>
        <v>43</v>
      </c>
      <c r="AZ4003">
        <f t="shared" si="127"/>
        <v>3</v>
      </c>
    </row>
    <row r="4004" spans="1:52" ht="55.2">
      <c r="A4004" s="3" t="s">
        <v>4048</v>
      </c>
      <c r="E4004">
        <v>5</v>
      </c>
      <c r="M4004">
        <v>8</v>
      </c>
      <c r="AY4004">
        <f t="shared" si="126"/>
        <v>43</v>
      </c>
      <c r="AZ4004">
        <f t="shared" si="127"/>
        <v>3</v>
      </c>
    </row>
    <row r="4005" spans="1:52" ht="55.2">
      <c r="A4005" s="3" t="s">
        <v>4049</v>
      </c>
      <c r="E4005">
        <v>5</v>
      </c>
      <c r="M4005">
        <v>8</v>
      </c>
      <c r="AY4005">
        <f t="shared" si="126"/>
        <v>43</v>
      </c>
      <c r="AZ4005">
        <f t="shared" si="127"/>
        <v>3</v>
      </c>
    </row>
    <row r="4006" spans="1:52" ht="55.2">
      <c r="A4006" s="3" t="s">
        <v>4050</v>
      </c>
      <c r="E4006">
        <v>5</v>
      </c>
      <c r="M4006">
        <v>8</v>
      </c>
      <c r="AY4006">
        <f t="shared" si="126"/>
        <v>43</v>
      </c>
      <c r="AZ4006">
        <f t="shared" si="127"/>
        <v>3</v>
      </c>
    </row>
    <row r="4007" spans="1:52" ht="55.2">
      <c r="A4007" s="3" t="s">
        <v>4051</v>
      </c>
      <c r="E4007">
        <v>5</v>
      </c>
      <c r="M4007">
        <v>8</v>
      </c>
      <c r="AY4007">
        <f t="shared" si="126"/>
        <v>43</v>
      </c>
      <c r="AZ4007">
        <f t="shared" si="127"/>
        <v>3</v>
      </c>
    </row>
    <row r="4008" spans="1:52" ht="55.2">
      <c r="A4008" s="3" t="s">
        <v>4052</v>
      </c>
      <c r="E4008">
        <v>5</v>
      </c>
      <c r="M4008">
        <v>8</v>
      </c>
      <c r="AY4008">
        <f t="shared" si="126"/>
        <v>43</v>
      </c>
      <c r="AZ4008">
        <f t="shared" si="127"/>
        <v>3</v>
      </c>
    </row>
    <row r="4009" spans="1:52" ht="55.2">
      <c r="A4009" s="3" t="s">
        <v>4053</v>
      </c>
      <c r="E4009">
        <v>5</v>
      </c>
      <c r="M4009">
        <v>8</v>
      </c>
      <c r="AY4009">
        <f t="shared" si="126"/>
        <v>43</v>
      </c>
      <c r="AZ4009">
        <f t="shared" si="127"/>
        <v>3</v>
      </c>
    </row>
    <row r="4010" spans="1:52" ht="55.2">
      <c r="A4010" s="3" t="s">
        <v>4054</v>
      </c>
      <c r="E4010">
        <v>5</v>
      </c>
      <c r="M4010">
        <v>8</v>
      </c>
      <c r="AY4010">
        <f t="shared" si="126"/>
        <v>43</v>
      </c>
      <c r="AZ4010">
        <f t="shared" si="127"/>
        <v>3</v>
      </c>
    </row>
    <row r="4011" spans="1:52" ht="55.2">
      <c r="A4011" s="3" t="s">
        <v>4055</v>
      </c>
      <c r="E4011">
        <v>5</v>
      </c>
      <c r="M4011">
        <v>8</v>
      </c>
      <c r="AY4011">
        <f t="shared" si="126"/>
        <v>43</v>
      </c>
      <c r="AZ4011">
        <f t="shared" si="127"/>
        <v>3</v>
      </c>
    </row>
    <row r="4012" spans="1:52" ht="55.2">
      <c r="A4012" s="3" t="s">
        <v>4056</v>
      </c>
      <c r="E4012">
        <v>5</v>
      </c>
      <c r="M4012">
        <v>8</v>
      </c>
      <c r="AY4012">
        <f t="shared" si="126"/>
        <v>43</v>
      </c>
      <c r="AZ4012">
        <f t="shared" si="127"/>
        <v>3</v>
      </c>
    </row>
    <row r="4013" spans="1:52" ht="55.2">
      <c r="A4013" s="3" t="s">
        <v>4057</v>
      </c>
      <c r="E4013">
        <v>5</v>
      </c>
      <c r="M4013">
        <v>8</v>
      </c>
      <c r="AY4013">
        <f t="shared" si="126"/>
        <v>43</v>
      </c>
      <c r="AZ4013">
        <f t="shared" si="127"/>
        <v>3</v>
      </c>
    </row>
    <row r="4014" spans="1:52" ht="55.2">
      <c r="A4014" s="3" t="s">
        <v>4058</v>
      </c>
      <c r="E4014">
        <v>5</v>
      </c>
      <c r="M4014">
        <v>8</v>
      </c>
      <c r="AY4014">
        <f t="shared" si="126"/>
        <v>43</v>
      </c>
      <c r="AZ4014">
        <f t="shared" si="127"/>
        <v>3</v>
      </c>
    </row>
    <row r="4015" spans="1:52" ht="55.2">
      <c r="A4015" s="3" t="s">
        <v>4059</v>
      </c>
      <c r="E4015">
        <v>5</v>
      </c>
      <c r="M4015">
        <v>8</v>
      </c>
      <c r="AY4015">
        <f t="shared" si="126"/>
        <v>43</v>
      </c>
      <c r="AZ4015">
        <f t="shared" si="127"/>
        <v>3</v>
      </c>
    </row>
    <row r="4016" spans="1:52" ht="55.2">
      <c r="A4016" s="3" t="s">
        <v>4060</v>
      </c>
      <c r="E4016">
        <v>5</v>
      </c>
      <c r="M4016">
        <v>8</v>
      </c>
      <c r="AY4016">
        <f t="shared" si="126"/>
        <v>43</v>
      </c>
      <c r="AZ4016">
        <f t="shared" si="127"/>
        <v>3</v>
      </c>
    </row>
    <row r="4017" spans="1:52" ht="55.2">
      <c r="A4017" s="3" t="s">
        <v>4061</v>
      </c>
      <c r="E4017">
        <v>5</v>
      </c>
      <c r="M4017">
        <v>8</v>
      </c>
      <c r="AY4017">
        <f t="shared" si="126"/>
        <v>43</v>
      </c>
      <c r="AZ4017">
        <f t="shared" si="127"/>
        <v>3</v>
      </c>
    </row>
    <row r="4018" spans="1:52" ht="55.2">
      <c r="A4018" s="3" t="s">
        <v>4062</v>
      </c>
      <c r="E4018">
        <v>5</v>
      </c>
      <c r="M4018">
        <v>8</v>
      </c>
      <c r="AY4018">
        <f t="shared" si="126"/>
        <v>43</v>
      </c>
      <c r="AZ4018">
        <f t="shared" si="127"/>
        <v>3</v>
      </c>
    </row>
    <row r="4019" spans="1:52" ht="55.2">
      <c r="A4019" s="3" t="s">
        <v>4063</v>
      </c>
      <c r="E4019">
        <v>5</v>
      </c>
      <c r="M4019">
        <v>8</v>
      </c>
      <c r="AY4019">
        <f t="shared" si="126"/>
        <v>43</v>
      </c>
      <c r="AZ4019">
        <f t="shared" si="127"/>
        <v>3</v>
      </c>
    </row>
    <row r="4020" spans="1:52" ht="55.2">
      <c r="A4020" s="3" t="s">
        <v>4064</v>
      </c>
      <c r="E4020">
        <v>5</v>
      </c>
      <c r="M4020">
        <v>8</v>
      </c>
      <c r="AY4020">
        <f t="shared" si="126"/>
        <v>43</v>
      </c>
      <c r="AZ4020">
        <f t="shared" si="127"/>
        <v>3</v>
      </c>
    </row>
    <row r="4021" spans="1:52" ht="55.2">
      <c r="A4021" s="3" t="s">
        <v>4065</v>
      </c>
      <c r="E4021">
        <v>5</v>
      </c>
      <c r="M4021">
        <v>8</v>
      </c>
      <c r="AY4021">
        <f t="shared" si="126"/>
        <v>43</v>
      </c>
      <c r="AZ4021">
        <f t="shared" si="127"/>
        <v>3</v>
      </c>
    </row>
    <row r="4022" spans="1:52" ht="55.2">
      <c r="A4022" s="3" t="s">
        <v>4066</v>
      </c>
      <c r="E4022">
        <v>5</v>
      </c>
      <c r="M4022">
        <v>8</v>
      </c>
      <c r="AY4022">
        <f t="shared" si="126"/>
        <v>43</v>
      </c>
      <c r="AZ4022">
        <f t="shared" si="127"/>
        <v>3</v>
      </c>
    </row>
    <row r="4023" spans="1:52" ht="55.2">
      <c r="A4023" s="3" t="s">
        <v>4067</v>
      </c>
      <c r="E4023">
        <v>5</v>
      </c>
      <c r="M4023">
        <v>8</v>
      </c>
      <c r="AY4023">
        <f t="shared" si="126"/>
        <v>43</v>
      </c>
      <c r="AZ4023">
        <f t="shared" si="127"/>
        <v>3</v>
      </c>
    </row>
    <row r="4024" spans="1:52" ht="55.2">
      <c r="A4024" s="3" t="s">
        <v>4068</v>
      </c>
      <c r="E4024">
        <v>5</v>
      </c>
      <c r="M4024">
        <v>8</v>
      </c>
      <c r="AY4024">
        <f t="shared" si="126"/>
        <v>43</v>
      </c>
      <c r="AZ4024">
        <f t="shared" si="127"/>
        <v>3</v>
      </c>
    </row>
    <row r="4025" spans="1:52" ht="55.2">
      <c r="A4025" s="3" t="s">
        <v>4069</v>
      </c>
      <c r="E4025">
        <v>5</v>
      </c>
      <c r="M4025">
        <v>8</v>
      </c>
      <c r="AY4025">
        <f t="shared" si="126"/>
        <v>43</v>
      </c>
      <c r="AZ4025">
        <f t="shared" si="127"/>
        <v>3</v>
      </c>
    </row>
    <row r="4026" spans="1:52" ht="55.2">
      <c r="A4026" s="3" t="s">
        <v>4070</v>
      </c>
      <c r="E4026">
        <v>5</v>
      </c>
      <c r="M4026">
        <v>8</v>
      </c>
      <c r="AY4026">
        <f t="shared" si="126"/>
        <v>43</v>
      </c>
      <c r="AZ4026">
        <f t="shared" si="127"/>
        <v>3</v>
      </c>
    </row>
    <row r="4027" spans="1:52" ht="55.2">
      <c r="A4027" s="3" t="s">
        <v>4071</v>
      </c>
      <c r="E4027">
        <v>5</v>
      </c>
      <c r="M4027">
        <v>8</v>
      </c>
      <c r="AY4027">
        <f t="shared" si="126"/>
        <v>43</v>
      </c>
      <c r="AZ4027">
        <f t="shared" si="127"/>
        <v>3</v>
      </c>
    </row>
    <row r="4028" spans="1:52" ht="55.2">
      <c r="A4028" s="3" t="s">
        <v>4072</v>
      </c>
      <c r="E4028">
        <v>5</v>
      </c>
      <c r="M4028">
        <v>8</v>
      </c>
      <c r="AY4028">
        <f t="shared" si="126"/>
        <v>43</v>
      </c>
      <c r="AZ4028">
        <f t="shared" si="127"/>
        <v>3</v>
      </c>
    </row>
    <row r="4029" spans="1:52" ht="55.2">
      <c r="A4029" s="3" t="s">
        <v>4073</v>
      </c>
      <c r="E4029">
        <v>5</v>
      </c>
      <c r="M4029">
        <v>8</v>
      </c>
      <c r="AY4029">
        <f t="shared" si="126"/>
        <v>43</v>
      </c>
      <c r="AZ4029">
        <f t="shared" si="127"/>
        <v>3</v>
      </c>
    </row>
    <row r="4030" spans="1:52" ht="55.2">
      <c r="A4030" s="3" t="s">
        <v>4074</v>
      </c>
      <c r="E4030">
        <v>5</v>
      </c>
      <c r="M4030">
        <v>8</v>
      </c>
      <c r="AY4030">
        <f t="shared" si="126"/>
        <v>43</v>
      </c>
      <c r="AZ4030">
        <f t="shared" si="127"/>
        <v>3</v>
      </c>
    </row>
    <row r="4031" spans="1:52" ht="55.2">
      <c r="A4031" s="3" t="s">
        <v>4075</v>
      </c>
      <c r="E4031">
        <v>5</v>
      </c>
      <c r="M4031">
        <v>8</v>
      </c>
      <c r="AY4031">
        <f t="shared" si="126"/>
        <v>43</v>
      </c>
      <c r="AZ4031">
        <f t="shared" si="127"/>
        <v>3</v>
      </c>
    </row>
    <row r="4032" spans="1:52" ht="55.2">
      <c r="A4032" s="3" t="s">
        <v>4076</v>
      </c>
      <c r="E4032">
        <v>5</v>
      </c>
      <c r="M4032">
        <v>8</v>
      </c>
      <c r="AY4032">
        <f t="shared" si="126"/>
        <v>43</v>
      </c>
      <c r="AZ4032">
        <f t="shared" si="127"/>
        <v>3</v>
      </c>
    </row>
    <row r="4033" spans="1:52" ht="55.2">
      <c r="A4033" s="3" t="s">
        <v>4077</v>
      </c>
      <c r="E4033">
        <v>5</v>
      </c>
      <c r="M4033">
        <v>8</v>
      </c>
      <c r="AY4033">
        <f t="shared" si="126"/>
        <v>43</v>
      </c>
      <c r="AZ4033">
        <f t="shared" si="127"/>
        <v>3</v>
      </c>
    </row>
    <row r="4034" spans="1:52" ht="55.2">
      <c r="A4034" s="3" t="s">
        <v>4078</v>
      </c>
      <c r="E4034">
        <v>5</v>
      </c>
      <c r="M4034">
        <v>8</v>
      </c>
      <c r="AY4034">
        <f t="shared" si="126"/>
        <v>43</v>
      </c>
      <c r="AZ4034">
        <f t="shared" si="127"/>
        <v>3</v>
      </c>
    </row>
    <row r="4035" spans="1:52" ht="55.2">
      <c r="A4035" s="3" t="s">
        <v>4079</v>
      </c>
      <c r="E4035">
        <v>5</v>
      </c>
      <c r="M4035">
        <v>8</v>
      </c>
      <c r="AY4035">
        <f t="shared" si="126"/>
        <v>43</v>
      </c>
      <c r="AZ4035">
        <f t="shared" si="127"/>
        <v>3</v>
      </c>
    </row>
    <row r="4036" spans="1:52" ht="55.2">
      <c r="A4036" s="3" t="s">
        <v>4080</v>
      </c>
      <c r="E4036">
        <v>5</v>
      </c>
      <c r="M4036">
        <v>8</v>
      </c>
      <c r="AY4036">
        <f t="shared" si="126"/>
        <v>43</v>
      </c>
      <c r="AZ4036">
        <f t="shared" si="127"/>
        <v>3</v>
      </c>
    </row>
    <row r="4037" spans="1:52" ht="55.2">
      <c r="A4037" s="3" t="s">
        <v>4081</v>
      </c>
      <c r="E4037">
        <v>5</v>
      </c>
      <c r="M4037">
        <v>8</v>
      </c>
      <c r="AY4037">
        <f t="shared" si="126"/>
        <v>43</v>
      </c>
      <c r="AZ4037">
        <f t="shared" si="127"/>
        <v>3</v>
      </c>
    </row>
    <row r="4038" spans="1:52" ht="55.2">
      <c r="A4038" s="3" t="s">
        <v>4082</v>
      </c>
      <c r="E4038">
        <v>5</v>
      </c>
      <c r="M4038">
        <v>8</v>
      </c>
      <c r="AY4038">
        <f t="shared" si="126"/>
        <v>43</v>
      </c>
      <c r="AZ4038">
        <f t="shared" si="127"/>
        <v>3</v>
      </c>
    </row>
    <row r="4039" spans="1:52" ht="55.2">
      <c r="A4039" s="3" t="s">
        <v>4083</v>
      </c>
      <c r="E4039">
        <v>5</v>
      </c>
      <c r="M4039">
        <v>8</v>
      </c>
      <c r="AY4039">
        <f t="shared" si="126"/>
        <v>43</v>
      </c>
      <c r="AZ4039">
        <f t="shared" si="127"/>
        <v>3</v>
      </c>
    </row>
    <row r="4040" spans="1:52" ht="55.2">
      <c r="A4040" s="3" t="s">
        <v>4084</v>
      </c>
      <c r="E4040">
        <v>5</v>
      </c>
      <c r="J4040">
        <v>38</v>
      </c>
      <c r="AY4040">
        <f t="shared" si="126"/>
        <v>43</v>
      </c>
      <c r="AZ4040">
        <f t="shared" si="127"/>
        <v>3</v>
      </c>
    </row>
    <row r="4041" spans="1:52" ht="55.2">
      <c r="A4041" s="3" t="s">
        <v>4085</v>
      </c>
      <c r="E4041">
        <v>5</v>
      </c>
      <c r="J4041">
        <v>38</v>
      </c>
      <c r="AY4041">
        <f t="shared" si="126"/>
        <v>43</v>
      </c>
      <c r="AZ4041">
        <f t="shared" si="127"/>
        <v>3</v>
      </c>
    </row>
    <row r="4042" spans="1:52" ht="55.2">
      <c r="A4042" s="3" t="s">
        <v>4086</v>
      </c>
      <c r="E4042">
        <v>5</v>
      </c>
      <c r="J4042">
        <v>38</v>
      </c>
      <c r="AY4042">
        <f t="shared" si="126"/>
        <v>43</v>
      </c>
      <c r="AZ4042">
        <f t="shared" si="127"/>
        <v>3</v>
      </c>
    </row>
    <row r="4043" spans="1:52" ht="55.2">
      <c r="A4043" s="3" t="s">
        <v>4087</v>
      </c>
      <c r="E4043">
        <v>5</v>
      </c>
      <c r="J4043">
        <v>38</v>
      </c>
      <c r="AY4043">
        <f t="shared" si="126"/>
        <v>43</v>
      </c>
      <c r="AZ4043">
        <f t="shared" si="127"/>
        <v>3</v>
      </c>
    </row>
    <row r="4044" spans="1:52" ht="55.2">
      <c r="A4044" s="3" t="s">
        <v>4088</v>
      </c>
      <c r="E4044">
        <v>5</v>
      </c>
      <c r="J4044">
        <v>38</v>
      </c>
      <c r="AY4044">
        <f t="shared" si="126"/>
        <v>43</v>
      </c>
      <c r="AZ4044">
        <f t="shared" si="127"/>
        <v>3</v>
      </c>
    </row>
    <row r="4045" spans="1:52" ht="55.2">
      <c r="A4045" s="3" t="s">
        <v>4089</v>
      </c>
      <c r="E4045">
        <v>5</v>
      </c>
      <c r="J4045">
        <v>38</v>
      </c>
      <c r="AY4045">
        <f t="shared" si="126"/>
        <v>43</v>
      </c>
      <c r="AZ4045">
        <f t="shared" si="127"/>
        <v>3</v>
      </c>
    </row>
    <row r="4046" spans="1:52" ht="55.2">
      <c r="A4046" s="3" t="s">
        <v>4090</v>
      </c>
      <c r="E4046">
        <v>5</v>
      </c>
      <c r="AJ4046">
        <v>2</v>
      </c>
      <c r="AY4046">
        <f t="shared" si="126"/>
        <v>43</v>
      </c>
      <c r="AZ4046">
        <f t="shared" si="127"/>
        <v>3</v>
      </c>
    </row>
    <row r="4047" spans="1:52" ht="55.2">
      <c r="A4047" s="3" t="s">
        <v>4091</v>
      </c>
      <c r="E4047">
        <v>5</v>
      </c>
      <c r="AJ4047">
        <v>2</v>
      </c>
      <c r="AY4047">
        <f t="shared" si="126"/>
        <v>43</v>
      </c>
      <c r="AZ4047">
        <f t="shared" si="127"/>
        <v>3</v>
      </c>
    </row>
    <row r="4048" spans="1:52" ht="55.2">
      <c r="A4048" s="3" t="s">
        <v>4092</v>
      </c>
      <c r="E4048">
        <v>5</v>
      </c>
      <c r="AJ4048">
        <v>2</v>
      </c>
      <c r="AY4048">
        <f t="shared" si="126"/>
        <v>43</v>
      </c>
      <c r="AZ4048">
        <f t="shared" si="127"/>
        <v>3</v>
      </c>
    </row>
    <row r="4049" spans="1:52" ht="55.2">
      <c r="A4049" s="3" t="s">
        <v>4093</v>
      </c>
      <c r="E4049">
        <v>5</v>
      </c>
      <c r="AJ4049">
        <v>2</v>
      </c>
      <c r="AY4049">
        <f t="shared" si="126"/>
        <v>43</v>
      </c>
      <c r="AZ4049">
        <f t="shared" si="127"/>
        <v>3</v>
      </c>
    </row>
    <row r="4050" spans="1:52" ht="55.2">
      <c r="A4050" s="3" t="s">
        <v>4094</v>
      </c>
      <c r="E4050">
        <v>5</v>
      </c>
      <c r="AJ4050">
        <v>2</v>
      </c>
      <c r="AY4050">
        <f t="shared" si="126"/>
        <v>43</v>
      </c>
      <c r="AZ4050">
        <f t="shared" si="127"/>
        <v>3</v>
      </c>
    </row>
    <row r="4051" spans="1:52" ht="55.2">
      <c r="A4051" s="3" t="s">
        <v>4095</v>
      </c>
      <c r="E4051">
        <v>5</v>
      </c>
      <c r="AJ4051">
        <v>2</v>
      </c>
      <c r="AY4051">
        <f t="shared" si="126"/>
        <v>43</v>
      </c>
      <c r="AZ4051">
        <f t="shared" si="127"/>
        <v>3</v>
      </c>
    </row>
    <row r="4052" spans="1:52" ht="55.2">
      <c r="A4052" s="3" t="s">
        <v>4096</v>
      </c>
      <c r="E4052">
        <v>5</v>
      </c>
      <c r="J4052">
        <v>39</v>
      </c>
      <c r="AY4052">
        <f t="shared" si="126"/>
        <v>43</v>
      </c>
      <c r="AZ4052">
        <f t="shared" si="127"/>
        <v>3</v>
      </c>
    </row>
    <row r="4053" spans="1:52" ht="55.2">
      <c r="A4053" s="3" t="s">
        <v>4097</v>
      </c>
      <c r="E4053">
        <v>5</v>
      </c>
      <c r="J4053">
        <v>39</v>
      </c>
      <c r="AY4053">
        <f t="shared" si="126"/>
        <v>43</v>
      </c>
      <c r="AZ4053">
        <f t="shared" si="127"/>
        <v>3</v>
      </c>
    </row>
    <row r="4054" spans="1:52" ht="55.2">
      <c r="A4054" s="3" t="s">
        <v>4098</v>
      </c>
      <c r="E4054">
        <v>5</v>
      </c>
      <c r="J4054">
        <v>39</v>
      </c>
      <c r="AY4054">
        <f t="shared" si="126"/>
        <v>43</v>
      </c>
      <c r="AZ4054">
        <f t="shared" si="127"/>
        <v>3</v>
      </c>
    </row>
    <row r="4055" spans="1:52" ht="55.2">
      <c r="A4055" s="3" t="s">
        <v>4099</v>
      </c>
      <c r="E4055">
        <v>5</v>
      </c>
      <c r="J4055">
        <v>39</v>
      </c>
      <c r="AY4055">
        <f t="shared" si="126"/>
        <v>43</v>
      </c>
      <c r="AZ4055">
        <f t="shared" si="127"/>
        <v>3</v>
      </c>
    </row>
    <row r="4056" spans="1:52" ht="55.2">
      <c r="A4056" s="3" t="s">
        <v>4100</v>
      </c>
      <c r="E4056">
        <v>5</v>
      </c>
      <c r="J4056">
        <v>39</v>
      </c>
      <c r="AY4056">
        <f t="shared" si="126"/>
        <v>43</v>
      </c>
      <c r="AZ4056">
        <f t="shared" si="127"/>
        <v>3</v>
      </c>
    </row>
    <row r="4057" spans="1:52" ht="55.2">
      <c r="A4057" s="3" t="s">
        <v>4101</v>
      </c>
      <c r="E4057">
        <v>5</v>
      </c>
      <c r="J4057">
        <v>39</v>
      </c>
      <c r="AY4057">
        <f t="shared" si="126"/>
        <v>43</v>
      </c>
      <c r="AZ4057">
        <f t="shared" si="127"/>
        <v>3</v>
      </c>
    </row>
    <row r="4058" spans="1:52" ht="55.2">
      <c r="A4058" s="3" t="s">
        <v>4102</v>
      </c>
      <c r="E4058">
        <v>5</v>
      </c>
      <c r="J4058">
        <v>39</v>
      </c>
      <c r="AY4058">
        <f t="shared" si="126"/>
        <v>43</v>
      </c>
      <c r="AZ4058">
        <f t="shared" si="127"/>
        <v>3</v>
      </c>
    </row>
    <row r="4059" spans="1:52" ht="55.2">
      <c r="A4059" s="3" t="s">
        <v>4103</v>
      </c>
      <c r="E4059">
        <v>5</v>
      </c>
      <c r="J4059">
        <v>39</v>
      </c>
      <c r="AY4059">
        <f t="shared" si="126"/>
        <v>43</v>
      </c>
      <c r="AZ4059">
        <f t="shared" si="127"/>
        <v>3</v>
      </c>
    </row>
    <row r="4060" spans="1:52" ht="55.2">
      <c r="A4060" s="3" t="s">
        <v>4104</v>
      </c>
      <c r="E4060">
        <v>5</v>
      </c>
      <c r="J4060">
        <v>39</v>
      </c>
      <c r="AY4060">
        <f t="shared" si="126"/>
        <v>43</v>
      </c>
      <c r="AZ4060">
        <f t="shared" si="127"/>
        <v>3</v>
      </c>
    </row>
    <row r="4061" spans="1:52" ht="55.2">
      <c r="A4061" s="3" t="s">
        <v>4105</v>
      </c>
      <c r="E4061">
        <v>5</v>
      </c>
      <c r="J4061">
        <v>39</v>
      </c>
      <c r="AY4061">
        <f t="shared" si="126"/>
        <v>43</v>
      </c>
      <c r="AZ4061">
        <f t="shared" si="127"/>
        <v>3</v>
      </c>
    </row>
    <row r="4062" spans="1:52" ht="55.2">
      <c r="A4062" s="3" t="s">
        <v>4106</v>
      </c>
      <c r="E4062">
        <v>5</v>
      </c>
      <c r="J4062">
        <v>39</v>
      </c>
      <c r="AY4062">
        <f t="shared" si="126"/>
        <v>43</v>
      </c>
      <c r="AZ4062">
        <f t="shared" si="127"/>
        <v>3</v>
      </c>
    </row>
    <row r="4063" spans="1:52" ht="55.2">
      <c r="A4063" s="3" t="s">
        <v>4107</v>
      </c>
      <c r="E4063">
        <v>5</v>
      </c>
      <c r="J4063">
        <v>39</v>
      </c>
      <c r="AY4063">
        <f t="shared" si="126"/>
        <v>43</v>
      </c>
      <c r="AZ4063">
        <f t="shared" si="127"/>
        <v>3</v>
      </c>
    </row>
    <row r="4064" spans="1:52" ht="55.2">
      <c r="A4064" s="3" t="s">
        <v>4108</v>
      </c>
      <c r="E4064">
        <v>5</v>
      </c>
      <c r="J4064">
        <v>39</v>
      </c>
      <c r="AY4064">
        <f t="shared" si="126"/>
        <v>43</v>
      </c>
      <c r="AZ4064">
        <f t="shared" si="127"/>
        <v>3</v>
      </c>
    </row>
    <row r="4065" spans="1:52" ht="55.2">
      <c r="A4065" s="3" t="s">
        <v>4109</v>
      </c>
      <c r="E4065">
        <v>5</v>
      </c>
      <c r="J4065">
        <v>39</v>
      </c>
      <c r="AY4065">
        <f t="shared" ref="AY4065:AY4128" si="128">COUNTBLANK(F4065:AW4065)</f>
        <v>43</v>
      </c>
      <c r="AZ4065">
        <f t="shared" ref="AZ4065:AZ4128" si="129">COUNTBLANK(B4065:E4065)</f>
        <v>3</v>
      </c>
    </row>
    <row r="4066" spans="1:52" ht="55.2">
      <c r="A4066" s="3" t="s">
        <v>4110</v>
      </c>
      <c r="E4066">
        <v>5</v>
      </c>
      <c r="J4066">
        <v>39</v>
      </c>
      <c r="AY4066">
        <f t="shared" si="128"/>
        <v>43</v>
      </c>
      <c r="AZ4066">
        <f t="shared" si="129"/>
        <v>3</v>
      </c>
    </row>
    <row r="4067" spans="1:52" ht="55.2">
      <c r="A4067" s="3" t="s">
        <v>4111</v>
      </c>
      <c r="E4067">
        <v>5</v>
      </c>
      <c r="J4067">
        <v>39</v>
      </c>
      <c r="AY4067">
        <f t="shared" si="128"/>
        <v>43</v>
      </c>
      <c r="AZ4067">
        <f t="shared" si="129"/>
        <v>3</v>
      </c>
    </row>
    <row r="4068" spans="1:52" ht="55.2">
      <c r="A4068" s="3" t="s">
        <v>4112</v>
      </c>
      <c r="E4068">
        <v>5</v>
      </c>
      <c r="J4068">
        <v>39</v>
      </c>
      <c r="AY4068">
        <f t="shared" si="128"/>
        <v>43</v>
      </c>
      <c r="AZ4068">
        <f t="shared" si="129"/>
        <v>3</v>
      </c>
    </row>
    <row r="4069" spans="1:52" ht="55.2">
      <c r="A4069" s="3" t="s">
        <v>4113</v>
      </c>
      <c r="E4069">
        <v>5</v>
      </c>
      <c r="J4069">
        <v>39</v>
      </c>
      <c r="AY4069">
        <f t="shared" si="128"/>
        <v>43</v>
      </c>
      <c r="AZ4069">
        <f t="shared" si="129"/>
        <v>3</v>
      </c>
    </row>
    <row r="4070" spans="1:52" ht="55.2">
      <c r="A4070" s="3" t="s">
        <v>4114</v>
      </c>
      <c r="E4070">
        <v>5</v>
      </c>
      <c r="J4070">
        <v>39</v>
      </c>
      <c r="AY4070">
        <f t="shared" si="128"/>
        <v>43</v>
      </c>
      <c r="AZ4070">
        <f t="shared" si="129"/>
        <v>3</v>
      </c>
    </row>
    <row r="4071" spans="1:52" ht="55.2">
      <c r="A4071" s="3" t="s">
        <v>4115</v>
      </c>
      <c r="E4071">
        <v>5</v>
      </c>
      <c r="J4071">
        <v>39</v>
      </c>
      <c r="AY4071">
        <f t="shared" si="128"/>
        <v>43</v>
      </c>
      <c r="AZ4071">
        <f t="shared" si="129"/>
        <v>3</v>
      </c>
    </row>
    <row r="4072" spans="1:52" ht="55.2">
      <c r="A4072" s="3" t="s">
        <v>4116</v>
      </c>
      <c r="E4072">
        <v>5</v>
      </c>
      <c r="J4072">
        <v>39</v>
      </c>
      <c r="AY4072">
        <f t="shared" si="128"/>
        <v>43</v>
      </c>
      <c r="AZ4072">
        <f t="shared" si="129"/>
        <v>3</v>
      </c>
    </row>
    <row r="4073" spans="1:52" ht="55.2">
      <c r="A4073" s="3" t="s">
        <v>4117</v>
      </c>
      <c r="E4073">
        <v>5</v>
      </c>
      <c r="J4073">
        <v>39</v>
      </c>
      <c r="AY4073">
        <f t="shared" si="128"/>
        <v>43</v>
      </c>
      <c r="AZ4073">
        <f t="shared" si="129"/>
        <v>3</v>
      </c>
    </row>
    <row r="4074" spans="1:52" ht="55.2">
      <c r="A4074" s="3" t="s">
        <v>4118</v>
      </c>
      <c r="E4074">
        <v>5</v>
      </c>
      <c r="J4074">
        <v>39</v>
      </c>
      <c r="AY4074">
        <f t="shared" si="128"/>
        <v>43</v>
      </c>
      <c r="AZ4074">
        <f t="shared" si="129"/>
        <v>3</v>
      </c>
    </row>
    <row r="4075" spans="1:52" ht="55.2">
      <c r="A4075" s="3" t="s">
        <v>4119</v>
      </c>
      <c r="E4075">
        <v>5</v>
      </c>
      <c r="J4075">
        <v>39</v>
      </c>
      <c r="AY4075">
        <f t="shared" si="128"/>
        <v>43</v>
      </c>
      <c r="AZ4075">
        <f t="shared" si="129"/>
        <v>3</v>
      </c>
    </row>
    <row r="4076" spans="1:52" ht="55.2">
      <c r="A4076" s="3" t="s">
        <v>4120</v>
      </c>
      <c r="E4076">
        <v>5</v>
      </c>
      <c r="J4076">
        <v>39</v>
      </c>
      <c r="AY4076">
        <f t="shared" si="128"/>
        <v>43</v>
      </c>
      <c r="AZ4076">
        <f t="shared" si="129"/>
        <v>3</v>
      </c>
    </row>
    <row r="4077" spans="1:52" ht="55.2">
      <c r="A4077" s="3" t="s">
        <v>4121</v>
      </c>
      <c r="E4077">
        <v>5</v>
      </c>
      <c r="J4077">
        <v>39</v>
      </c>
      <c r="AY4077">
        <f t="shared" si="128"/>
        <v>43</v>
      </c>
      <c r="AZ4077">
        <f t="shared" si="129"/>
        <v>3</v>
      </c>
    </row>
    <row r="4078" spans="1:52" ht="55.2">
      <c r="A4078" s="3" t="s">
        <v>4122</v>
      </c>
      <c r="E4078">
        <v>5</v>
      </c>
      <c r="J4078">
        <v>39</v>
      </c>
      <c r="AY4078">
        <f t="shared" si="128"/>
        <v>43</v>
      </c>
      <c r="AZ4078">
        <f t="shared" si="129"/>
        <v>3</v>
      </c>
    </row>
    <row r="4079" spans="1:52" ht="55.2">
      <c r="A4079" s="3" t="s">
        <v>4123</v>
      </c>
      <c r="E4079">
        <v>5</v>
      </c>
      <c r="AN4079">
        <v>3</v>
      </c>
      <c r="AY4079">
        <f t="shared" si="128"/>
        <v>43</v>
      </c>
      <c r="AZ4079">
        <f t="shared" si="129"/>
        <v>3</v>
      </c>
    </row>
    <row r="4080" spans="1:52" ht="55.2">
      <c r="A4080" s="3" t="s">
        <v>4124</v>
      </c>
      <c r="E4080">
        <v>5</v>
      </c>
      <c r="AN4080">
        <v>3</v>
      </c>
      <c r="AY4080">
        <f t="shared" si="128"/>
        <v>43</v>
      </c>
      <c r="AZ4080">
        <f t="shared" si="129"/>
        <v>3</v>
      </c>
    </row>
    <row r="4081" spans="1:52" ht="55.2">
      <c r="A4081" s="3" t="s">
        <v>4125</v>
      </c>
      <c r="E4081">
        <v>5</v>
      </c>
      <c r="AN4081">
        <v>3</v>
      </c>
      <c r="AY4081">
        <f t="shared" si="128"/>
        <v>43</v>
      </c>
      <c r="AZ4081">
        <f t="shared" si="129"/>
        <v>3</v>
      </c>
    </row>
    <row r="4082" spans="1:52" ht="55.2">
      <c r="A4082" s="3" t="s">
        <v>4126</v>
      </c>
      <c r="E4082">
        <v>5</v>
      </c>
      <c r="AN4082">
        <v>3</v>
      </c>
      <c r="AY4082">
        <f t="shared" si="128"/>
        <v>43</v>
      </c>
      <c r="AZ4082">
        <f t="shared" si="129"/>
        <v>3</v>
      </c>
    </row>
    <row r="4083" spans="1:52" ht="55.2">
      <c r="A4083" s="3" t="s">
        <v>4127</v>
      </c>
      <c r="E4083">
        <v>5</v>
      </c>
      <c r="AN4083">
        <v>3</v>
      </c>
      <c r="AY4083">
        <f t="shared" si="128"/>
        <v>43</v>
      </c>
      <c r="AZ4083">
        <f t="shared" si="129"/>
        <v>3</v>
      </c>
    </row>
    <row r="4084" spans="1:52" ht="55.2">
      <c r="A4084" s="3" t="s">
        <v>4128</v>
      </c>
      <c r="E4084">
        <v>5</v>
      </c>
      <c r="AW4084">
        <v>11</v>
      </c>
      <c r="AY4084">
        <f t="shared" si="128"/>
        <v>43</v>
      </c>
      <c r="AZ4084">
        <f t="shared" si="129"/>
        <v>3</v>
      </c>
    </row>
    <row r="4085" spans="1:52" ht="55.2">
      <c r="A4085" s="3" t="s">
        <v>4129</v>
      </c>
      <c r="E4085">
        <v>5</v>
      </c>
      <c r="J4085">
        <v>40</v>
      </c>
      <c r="AY4085">
        <f t="shared" si="128"/>
        <v>43</v>
      </c>
      <c r="AZ4085">
        <f t="shared" si="129"/>
        <v>3</v>
      </c>
    </row>
    <row r="4086" spans="1:52" ht="55.2">
      <c r="A4086" s="3" t="s">
        <v>4130</v>
      </c>
      <c r="E4086">
        <v>5</v>
      </c>
      <c r="J4086">
        <v>40</v>
      </c>
      <c r="AY4086">
        <f t="shared" si="128"/>
        <v>43</v>
      </c>
      <c r="AZ4086">
        <f t="shared" si="129"/>
        <v>3</v>
      </c>
    </row>
    <row r="4087" spans="1:52" ht="55.2">
      <c r="A4087" s="3" t="s">
        <v>4131</v>
      </c>
      <c r="E4087">
        <v>5</v>
      </c>
      <c r="J4087">
        <v>40</v>
      </c>
      <c r="AY4087">
        <f t="shared" si="128"/>
        <v>43</v>
      </c>
      <c r="AZ4087">
        <f t="shared" si="129"/>
        <v>3</v>
      </c>
    </row>
    <row r="4088" spans="1:52" ht="55.2">
      <c r="A4088" s="3" t="s">
        <v>4132</v>
      </c>
      <c r="E4088">
        <v>5</v>
      </c>
      <c r="J4088">
        <v>40</v>
      </c>
      <c r="AY4088">
        <f t="shared" si="128"/>
        <v>43</v>
      </c>
      <c r="AZ4088">
        <f t="shared" si="129"/>
        <v>3</v>
      </c>
    </row>
    <row r="4089" spans="1:52" ht="55.2">
      <c r="A4089" s="3" t="s">
        <v>4133</v>
      </c>
      <c r="E4089">
        <v>5</v>
      </c>
      <c r="J4089">
        <v>40</v>
      </c>
      <c r="AY4089">
        <f t="shared" si="128"/>
        <v>43</v>
      </c>
      <c r="AZ4089">
        <f t="shared" si="129"/>
        <v>3</v>
      </c>
    </row>
    <row r="4090" spans="1:52" ht="55.2">
      <c r="A4090" s="3" t="s">
        <v>4134</v>
      </c>
      <c r="E4090">
        <v>5</v>
      </c>
      <c r="J4090">
        <v>40</v>
      </c>
      <c r="AY4090">
        <f t="shared" si="128"/>
        <v>43</v>
      </c>
      <c r="AZ4090">
        <f t="shared" si="129"/>
        <v>3</v>
      </c>
    </row>
    <row r="4091" spans="1:52" ht="55.2">
      <c r="A4091" s="3" t="s">
        <v>4135</v>
      </c>
      <c r="B4091">
        <v>5</v>
      </c>
      <c r="E4091">
        <v>5</v>
      </c>
      <c r="J4091">
        <v>40</v>
      </c>
      <c r="AY4091">
        <f t="shared" si="128"/>
        <v>43</v>
      </c>
      <c r="AZ4091">
        <f t="shared" si="129"/>
        <v>2</v>
      </c>
    </row>
    <row r="4092" spans="1:52" ht="55.2">
      <c r="A4092" s="3" t="s">
        <v>4136</v>
      </c>
      <c r="B4092">
        <v>5</v>
      </c>
      <c r="E4092">
        <v>5</v>
      </c>
      <c r="J4092">
        <v>40</v>
      </c>
      <c r="AY4092">
        <f t="shared" si="128"/>
        <v>43</v>
      </c>
      <c r="AZ4092">
        <f t="shared" si="129"/>
        <v>2</v>
      </c>
    </row>
    <row r="4093" spans="1:52" ht="55.2">
      <c r="A4093" s="3" t="s">
        <v>4137</v>
      </c>
      <c r="B4093">
        <v>5</v>
      </c>
      <c r="E4093">
        <v>5</v>
      </c>
      <c r="J4093">
        <v>40</v>
      </c>
      <c r="AY4093">
        <f t="shared" si="128"/>
        <v>43</v>
      </c>
      <c r="AZ4093">
        <f t="shared" si="129"/>
        <v>2</v>
      </c>
    </row>
    <row r="4094" spans="1:52" ht="55.2">
      <c r="A4094" s="3" t="s">
        <v>4138</v>
      </c>
      <c r="B4094">
        <v>5</v>
      </c>
      <c r="E4094">
        <v>5</v>
      </c>
      <c r="J4094">
        <v>40</v>
      </c>
      <c r="AY4094">
        <f t="shared" si="128"/>
        <v>43</v>
      </c>
      <c r="AZ4094">
        <f t="shared" si="129"/>
        <v>2</v>
      </c>
    </row>
    <row r="4095" spans="1:52" ht="55.2">
      <c r="A4095" s="3" t="s">
        <v>4139</v>
      </c>
      <c r="B4095">
        <v>5</v>
      </c>
      <c r="E4095">
        <v>5</v>
      </c>
      <c r="J4095">
        <v>40</v>
      </c>
      <c r="AY4095">
        <f t="shared" si="128"/>
        <v>43</v>
      </c>
      <c r="AZ4095">
        <f t="shared" si="129"/>
        <v>2</v>
      </c>
    </row>
    <row r="4096" spans="1:52" ht="55.2">
      <c r="A4096" s="3" t="s">
        <v>4140</v>
      </c>
      <c r="B4096">
        <v>5</v>
      </c>
      <c r="E4096">
        <v>5</v>
      </c>
      <c r="J4096">
        <v>40</v>
      </c>
      <c r="AY4096">
        <f t="shared" si="128"/>
        <v>43</v>
      </c>
      <c r="AZ4096">
        <f t="shared" si="129"/>
        <v>2</v>
      </c>
    </row>
    <row r="4097" spans="1:52" ht="55.2">
      <c r="A4097" s="3" t="s">
        <v>4141</v>
      </c>
      <c r="B4097">
        <v>5</v>
      </c>
      <c r="E4097">
        <v>5</v>
      </c>
      <c r="J4097">
        <v>40</v>
      </c>
      <c r="AY4097">
        <f t="shared" si="128"/>
        <v>43</v>
      </c>
      <c r="AZ4097">
        <f t="shared" si="129"/>
        <v>2</v>
      </c>
    </row>
    <row r="4098" spans="1:52" ht="55.2">
      <c r="A4098" s="3" t="s">
        <v>4142</v>
      </c>
      <c r="B4098">
        <v>5</v>
      </c>
      <c r="E4098">
        <v>5</v>
      </c>
      <c r="J4098">
        <v>40</v>
      </c>
      <c r="AY4098">
        <f t="shared" si="128"/>
        <v>43</v>
      </c>
      <c r="AZ4098">
        <f t="shared" si="129"/>
        <v>2</v>
      </c>
    </row>
    <row r="4099" spans="1:52" ht="55.2">
      <c r="A4099" s="3" t="s">
        <v>4143</v>
      </c>
      <c r="B4099">
        <v>5</v>
      </c>
      <c r="E4099">
        <v>5</v>
      </c>
      <c r="AU4099">
        <v>4</v>
      </c>
      <c r="AY4099">
        <f t="shared" si="128"/>
        <v>43</v>
      </c>
      <c r="AZ4099">
        <f t="shared" si="129"/>
        <v>2</v>
      </c>
    </row>
    <row r="4100" spans="1:52" ht="55.2">
      <c r="A4100" s="3" t="s">
        <v>4144</v>
      </c>
      <c r="B4100">
        <v>5</v>
      </c>
      <c r="E4100">
        <v>5</v>
      </c>
      <c r="AU4100">
        <v>4</v>
      </c>
      <c r="AY4100">
        <f t="shared" si="128"/>
        <v>43</v>
      </c>
      <c r="AZ4100">
        <f t="shared" si="129"/>
        <v>2</v>
      </c>
    </row>
    <row r="4101" spans="1:52" ht="55.2">
      <c r="A4101" s="3" t="s">
        <v>4145</v>
      </c>
      <c r="B4101">
        <v>5</v>
      </c>
      <c r="E4101">
        <v>5</v>
      </c>
      <c r="AU4101">
        <v>4</v>
      </c>
      <c r="AY4101">
        <f t="shared" si="128"/>
        <v>43</v>
      </c>
      <c r="AZ4101">
        <f t="shared" si="129"/>
        <v>2</v>
      </c>
    </row>
    <row r="4102" spans="1:52" ht="55.2">
      <c r="A4102" s="3" t="s">
        <v>4146</v>
      </c>
      <c r="B4102">
        <v>5</v>
      </c>
      <c r="E4102">
        <v>5</v>
      </c>
      <c r="AU4102">
        <v>4</v>
      </c>
      <c r="AY4102">
        <f t="shared" si="128"/>
        <v>43</v>
      </c>
      <c r="AZ4102">
        <f t="shared" si="129"/>
        <v>2</v>
      </c>
    </row>
    <row r="4103" spans="1:52" ht="55.2">
      <c r="A4103" s="3" t="s">
        <v>4147</v>
      </c>
      <c r="B4103">
        <v>5</v>
      </c>
      <c r="E4103">
        <v>5</v>
      </c>
      <c r="AU4103">
        <v>4</v>
      </c>
      <c r="AY4103">
        <f t="shared" si="128"/>
        <v>43</v>
      </c>
      <c r="AZ4103">
        <f t="shared" si="129"/>
        <v>2</v>
      </c>
    </row>
    <row r="4104" spans="1:52" ht="55.2">
      <c r="A4104" s="3" t="s">
        <v>4148</v>
      </c>
      <c r="B4104">
        <v>5</v>
      </c>
      <c r="E4104">
        <v>5</v>
      </c>
      <c r="AU4104">
        <v>4</v>
      </c>
      <c r="AY4104">
        <f t="shared" si="128"/>
        <v>43</v>
      </c>
      <c r="AZ4104">
        <f t="shared" si="129"/>
        <v>2</v>
      </c>
    </row>
    <row r="4105" spans="1:52" ht="55.2">
      <c r="A4105" s="3" t="s">
        <v>4149</v>
      </c>
      <c r="B4105">
        <v>5</v>
      </c>
      <c r="E4105">
        <v>5</v>
      </c>
      <c r="AU4105">
        <v>4</v>
      </c>
      <c r="AY4105">
        <f t="shared" si="128"/>
        <v>43</v>
      </c>
      <c r="AZ4105">
        <f t="shared" si="129"/>
        <v>2</v>
      </c>
    </row>
    <row r="4106" spans="1:52" ht="55.2">
      <c r="A4106" s="3" t="s">
        <v>4150</v>
      </c>
      <c r="B4106">
        <v>5</v>
      </c>
      <c r="E4106">
        <v>5</v>
      </c>
      <c r="AU4106">
        <v>4</v>
      </c>
      <c r="AY4106">
        <f t="shared" si="128"/>
        <v>43</v>
      </c>
      <c r="AZ4106">
        <f t="shared" si="129"/>
        <v>2</v>
      </c>
    </row>
    <row r="4107" spans="1:52" ht="55.2">
      <c r="A4107" s="3" t="s">
        <v>4151</v>
      </c>
      <c r="B4107">
        <v>5</v>
      </c>
      <c r="E4107">
        <v>5</v>
      </c>
      <c r="AU4107">
        <v>4</v>
      </c>
      <c r="AY4107">
        <f t="shared" si="128"/>
        <v>43</v>
      </c>
      <c r="AZ4107">
        <f t="shared" si="129"/>
        <v>2</v>
      </c>
    </row>
    <row r="4108" spans="1:52" ht="55.2">
      <c r="A4108" s="3" t="s">
        <v>4152</v>
      </c>
      <c r="B4108">
        <v>5</v>
      </c>
      <c r="E4108">
        <v>5</v>
      </c>
      <c r="AU4108">
        <v>4</v>
      </c>
      <c r="AY4108">
        <f t="shared" si="128"/>
        <v>43</v>
      </c>
      <c r="AZ4108">
        <f t="shared" si="129"/>
        <v>2</v>
      </c>
    </row>
    <row r="4109" spans="1:52" ht="55.2">
      <c r="A4109" s="3" t="s">
        <v>4153</v>
      </c>
      <c r="B4109">
        <v>5</v>
      </c>
      <c r="E4109">
        <v>5</v>
      </c>
      <c r="AU4109">
        <v>4</v>
      </c>
      <c r="AY4109">
        <f t="shared" si="128"/>
        <v>43</v>
      </c>
      <c r="AZ4109">
        <f t="shared" si="129"/>
        <v>2</v>
      </c>
    </row>
    <row r="4110" spans="1:52" ht="55.2">
      <c r="A4110" s="3" t="s">
        <v>4154</v>
      </c>
      <c r="B4110">
        <v>5</v>
      </c>
      <c r="E4110">
        <v>5</v>
      </c>
      <c r="AU4110">
        <v>4</v>
      </c>
      <c r="AY4110">
        <f t="shared" si="128"/>
        <v>43</v>
      </c>
      <c r="AZ4110">
        <f t="shared" si="129"/>
        <v>2</v>
      </c>
    </row>
    <row r="4111" spans="1:52" ht="55.2">
      <c r="A4111" s="3" t="s">
        <v>4155</v>
      </c>
      <c r="B4111">
        <v>5</v>
      </c>
      <c r="E4111">
        <v>5</v>
      </c>
      <c r="AU4111">
        <v>4</v>
      </c>
      <c r="AY4111">
        <f t="shared" si="128"/>
        <v>43</v>
      </c>
      <c r="AZ4111">
        <f t="shared" si="129"/>
        <v>2</v>
      </c>
    </row>
    <row r="4112" spans="1:52" ht="55.2">
      <c r="A4112" s="3" t="s">
        <v>4156</v>
      </c>
      <c r="B4112">
        <v>5</v>
      </c>
      <c r="E4112">
        <v>5</v>
      </c>
      <c r="AU4112">
        <v>4</v>
      </c>
      <c r="AY4112">
        <f t="shared" si="128"/>
        <v>43</v>
      </c>
      <c r="AZ4112">
        <f t="shared" si="129"/>
        <v>2</v>
      </c>
    </row>
    <row r="4113" spans="1:52" ht="55.2">
      <c r="A4113" s="3" t="s">
        <v>4157</v>
      </c>
      <c r="B4113">
        <v>5</v>
      </c>
      <c r="E4113">
        <v>5</v>
      </c>
      <c r="AU4113">
        <v>4</v>
      </c>
      <c r="AY4113">
        <f t="shared" si="128"/>
        <v>43</v>
      </c>
      <c r="AZ4113">
        <f t="shared" si="129"/>
        <v>2</v>
      </c>
    </row>
    <row r="4114" spans="1:52" ht="55.2">
      <c r="A4114" s="3" t="s">
        <v>4158</v>
      </c>
      <c r="B4114">
        <v>5</v>
      </c>
      <c r="E4114">
        <v>5</v>
      </c>
      <c r="J4114">
        <v>41</v>
      </c>
      <c r="AY4114">
        <f t="shared" si="128"/>
        <v>43</v>
      </c>
      <c r="AZ4114">
        <f t="shared" si="129"/>
        <v>2</v>
      </c>
    </row>
    <row r="4115" spans="1:52" ht="55.2">
      <c r="A4115" s="3" t="s">
        <v>4159</v>
      </c>
      <c r="B4115">
        <v>5</v>
      </c>
      <c r="E4115">
        <v>5</v>
      </c>
      <c r="J4115">
        <v>41</v>
      </c>
      <c r="AY4115">
        <f t="shared" si="128"/>
        <v>43</v>
      </c>
      <c r="AZ4115">
        <f t="shared" si="129"/>
        <v>2</v>
      </c>
    </row>
    <row r="4116" spans="1:52" ht="55.2">
      <c r="A4116" s="3" t="s">
        <v>4160</v>
      </c>
      <c r="B4116">
        <v>5</v>
      </c>
      <c r="E4116">
        <v>5</v>
      </c>
      <c r="J4116">
        <v>41</v>
      </c>
      <c r="AY4116">
        <f t="shared" si="128"/>
        <v>43</v>
      </c>
      <c r="AZ4116">
        <f t="shared" si="129"/>
        <v>2</v>
      </c>
    </row>
    <row r="4117" spans="1:52" ht="55.2">
      <c r="A4117" s="3" t="s">
        <v>4161</v>
      </c>
      <c r="B4117">
        <v>5</v>
      </c>
      <c r="E4117">
        <v>5</v>
      </c>
      <c r="J4117">
        <v>41</v>
      </c>
      <c r="AY4117">
        <f t="shared" si="128"/>
        <v>43</v>
      </c>
      <c r="AZ4117">
        <f t="shared" si="129"/>
        <v>2</v>
      </c>
    </row>
    <row r="4118" spans="1:52" ht="55.2">
      <c r="A4118" s="3" t="s">
        <v>4162</v>
      </c>
      <c r="B4118">
        <v>5</v>
      </c>
      <c r="J4118">
        <v>41</v>
      </c>
      <c r="AY4118">
        <f t="shared" si="128"/>
        <v>43</v>
      </c>
      <c r="AZ4118">
        <f t="shared" si="129"/>
        <v>3</v>
      </c>
    </row>
    <row r="4119" spans="1:52" ht="55.2">
      <c r="A4119" s="3" t="s">
        <v>4163</v>
      </c>
      <c r="B4119">
        <v>5</v>
      </c>
      <c r="J4119">
        <v>41</v>
      </c>
      <c r="AY4119">
        <f t="shared" si="128"/>
        <v>43</v>
      </c>
      <c r="AZ4119">
        <f t="shared" si="129"/>
        <v>3</v>
      </c>
    </row>
    <row r="4120" spans="1:52" ht="55.2">
      <c r="A4120" s="3" t="s">
        <v>4164</v>
      </c>
      <c r="B4120">
        <v>5</v>
      </c>
      <c r="J4120">
        <v>41</v>
      </c>
      <c r="AY4120">
        <f t="shared" si="128"/>
        <v>43</v>
      </c>
      <c r="AZ4120">
        <f t="shared" si="129"/>
        <v>3</v>
      </c>
    </row>
    <row r="4121" spans="1:52" ht="55.2">
      <c r="A4121" s="3" t="s">
        <v>4165</v>
      </c>
      <c r="B4121">
        <v>5</v>
      </c>
      <c r="J4121">
        <v>41</v>
      </c>
      <c r="AY4121">
        <f t="shared" si="128"/>
        <v>43</v>
      </c>
      <c r="AZ4121">
        <f t="shared" si="129"/>
        <v>3</v>
      </c>
    </row>
    <row r="4122" spans="1:52" ht="55.2">
      <c r="A4122" s="3" t="s">
        <v>4166</v>
      </c>
      <c r="B4122">
        <v>5</v>
      </c>
      <c r="AR4122">
        <v>3</v>
      </c>
      <c r="AY4122">
        <f t="shared" si="128"/>
        <v>43</v>
      </c>
      <c r="AZ4122">
        <f t="shared" si="129"/>
        <v>3</v>
      </c>
    </row>
    <row r="4123" spans="1:52" ht="55.2">
      <c r="A4123" s="3" t="s">
        <v>4167</v>
      </c>
      <c r="B4123">
        <v>5</v>
      </c>
      <c r="AR4123">
        <v>3</v>
      </c>
      <c r="AY4123">
        <f t="shared" si="128"/>
        <v>43</v>
      </c>
      <c r="AZ4123">
        <f t="shared" si="129"/>
        <v>3</v>
      </c>
    </row>
    <row r="4124" spans="1:52" ht="55.2">
      <c r="A4124" s="3" t="s">
        <v>4168</v>
      </c>
      <c r="B4124">
        <v>5</v>
      </c>
      <c r="AR4124">
        <v>3</v>
      </c>
      <c r="AY4124">
        <f t="shared" si="128"/>
        <v>43</v>
      </c>
      <c r="AZ4124">
        <f t="shared" si="129"/>
        <v>3</v>
      </c>
    </row>
    <row r="4125" spans="1:52" ht="55.2">
      <c r="A4125" s="3" t="s">
        <v>4169</v>
      </c>
      <c r="B4125">
        <v>5</v>
      </c>
      <c r="AR4125">
        <v>3</v>
      </c>
      <c r="AY4125">
        <f t="shared" si="128"/>
        <v>43</v>
      </c>
      <c r="AZ4125">
        <f t="shared" si="129"/>
        <v>3</v>
      </c>
    </row>
    <row r="4126" spans="1:52" ht="55.2">
      <c r="A4126" s="3" t="s">
        <v>4170</v>
      </c>
      <c r="B4126">
        <v>5</v>
      </c>
      <c r="AR4126">
        <v>3</v>
      </c>
      <c r="AY4126">
        <f t="shared" si="128"/>
        <v>43</v>
      </c>
      <c r="AZ4126">
        <f t="shared" si="129"/>
        <v>3</v>
      </c>
    </row>
    <row r="4127" spans="1:52" ht="55.2">
      <c r="A4127" s="3" t="s">
        <v>4171</v>
      </c>
      <c r="B4127">
        <v>5</v>
      </c>
      <c r="J4127">
        <v>42</v>
      </c>
      <c r="AY4127">
        <f t="shared" si="128"/>
        <v>43</v>
      </c>
      <c r="AZ4127">
        <f t="shared" si="129"/>
        <v>3</v>
      </c>
    </row>
    <row r="4128" spans="1:52" ht="55.2">
      <c r="A4128" s="3" t="s">
        <v>4172</v>
      </c>
      <c r="B4128">
        <v>5</v>
      </c>
      <c r="J4128">
        <v>42</v>
      </c>
      <c r="AY4128">
        <f t="shared" si="128"/>
        <v>43</v>
      </c>
      <c r="AZ4128">
        <f t="shared" si="129"/>
        <v>3</v>
      </c>
    </row>
    <row r="4129" spans="1:52" ht="55.2">
      <c r="A4129" s="3" t="s">
        <v>4173</v>
      </c>
      <c r="B4129">
        <v>5</v>
      </c>
      <c r="J4129">
        <v>42</v>
      </c>
      <c r="AY4129">
        <f t="shared" ref="AY4129:AY4192" si="130">COUNTBLANK(F4129:AW4129)</f>
        <v>43</v>
      </c>
      <c r="AZ4129">
        <f t="shared" ref="AZ4129:AZ4192" si="131">COUNTBLANK(B4129:E4129)</f>
        <v>3</v>
      </c>
    </row>
    <row r="4130" spans="1:52" ht="55.2">
      <c r="A4130" s="3" t="s">
        <v>4174</v>
      </c>
      <c r="B4130">
        <v>5</v>
      </c>
      <c r="J4130">
        <v>42</v>
      </c>
      <c r="AY4130">
        <f t="shared" si="130"/>
        <v>43</v>
      </c>
      <c r="AZ4130">
        <f t="shared" si="131"/>
        <v>3</v>
      </c>
    </row>
    <row r="4131" spans="1:52" ht="55.2">
      <c r="A4131" s="3" t="s">
        <v>4175</v>
      </c>
      <c r="B4131">
        <v>5</v>
      </c>
      <c r="J4131">
        <v>42</v>
      </c>
      <c r="AY4131">
        <f t="shared" si="130"/>
        <v>43</v>
      </c>
      <c r="AZ4131">
        <f t="shared" si="131"/>
        <v>3</v>
      </c>
    </row>
    <row r="4132" spans="1:52" ht="55.2">
      <c r="A4132" s="3" t="s">
        <v>4176</v>
      </c>
      <c r="B4132">
        <v>5</v>
      </c>
      <c r="J4132">
        <v>42</v>
      </c>
      <c r="AY4132">
        <f t="shared" si="130"/>
        <v>43</v>
      </c>
      <c r="AZ4132">
        <f t="shared" si="131"/>
        <v>3</v>
      </c>
    </row>
    <row r="4133" spans="1:52" ht="55.2">
      <c r="A4133" s="3" t="s">
        <v>4177</v>
      </c>
      <c r="B4133">
        <v>5</v>
      </c>
      <c r="J4133">
        <v>42</v>
      </c>
      <c r="AY4133">
        <f t="shared" si="130"/>
        <v>43</v>
      </c>
      <c r="AZ4133">
        <f t="shared" si="131"/>
        <v>3</v>
      </c>
    </row>
    <row r="4134" spans="1:52" ht="55.2">
      <c r="A4134" s="3" t="s">
        <v>4178</v>
      </c>
      <c r="B4134">
        <v>5</v>
      </c>
      <c r="J4134">
        <v>42</v>
      </c>
      <c r="AY4134">
        <f t="shared" si="130"/>
        <v>43</v>
      </c>
      <c r="AZ4134">
        <f t="shared" si="131"/>
        <v>3</v>
      </c>
    </row>
    <row r="4135" spans="1:52" ht="55.2">
      <c r="A4135" s="3" t="s">
        <v>4179</v>
      </c>
      <c r="B4135">
        <v>5</v>
      </c>
      <c r="J4135">
        <v>42</v>
      </c>
      <c r="AY4135">
        <f t="shared" si="130"/>
        <v>43</v>
      </c>
      <c r="AZ4135">
        <f t="shared" si="131"/>
        <v>3</v>
      </c>
    </row>
    <row r="4136" spans="1:52" ht="55.2">
      <c r="A4136" s="3" t="s">
        <v>4180</v>
      </c>
      <c r="B4136">
        <v>5</v>
      </c>
      <c r="J4136">
        <v>42</v>
      </c>
      <c r="AY4136">
        <f t="shared" si="130"/>
        <v>43</v>
      </c>
      <c r="AZ4136">
        <f t="shared" si="131"/>
        <v>3</v>
      </c>
    </row>
    <row r="4137" spans="1:52" ht="55.2">
      <c r="A4137" s="3" t="s">
        <v>4181</v>
      </c>
      <c r="B4137">
        <v>5</v>
      </c>
      <c r="J4137">
        <v>42</v>
      </c>
      <c r="AY4137">
        <f t="shared" si="130"/>
        <v>43</v>
      </c>
      <c r="AZ4137">
        <f t="shared" si="131"/>
        <v>3</v>
      </c>
    </row>
    <row r="4138" spans="1:52" ht="55.2">
      <c r="A4138" s="3" t="s">
        <v>4182</v>
      </c>
      <c r="B4138">
        <v>5</v>
      </c>
      <c r="J4138">
        <v>42</v>
      </c>
      <c r="AY4138">
        <f t="shared" si="130"/>
        <v>43</v>
      </c>
      <c r="AZ4138">
        <f t="shared" si="131"/>
        <v>3</v>
      </c>
    </row>
    <row r="4139" spans="1:52" ht="55.2">
      <c r="A4139" s="3" t="s">
        <v>4183</v>
      </c>
      <c r="B4139">
        <v>5</v>
      </c>
      <c r="J4139">
        <v>42</v>
      </c>
      <c r="AY4139">
        <f t="shared" si="130"/>
        <v>43</v>
      </c>
      <c r="AZ4139">
        <f t="shared" si="131"/>
        <v>3</v>
      </c>
    </row>
    <row r="4140" spans="1:52" ht="55.2">
      <c r="A4140" s="3" t="s">
        <v>4184</v>
      </c>
      <c r="B4140">
        <v>5</v>
      </c>
      <c r="J4140">
        <v>42</v>
      </c>
      <c r="AY4140">
        <f t="shared" si="130"/>
        <v>43</v>
      </c>
      <c r="AZ4140">
        <f t="shared" si="131"/>
        <v>3</v>
      </c>
    </row>
    <row r="4141" spans="1:52" ht="55.2">
      <c r="A4141" s="3" t="s">
        <v>4185</v>
      </c>
      <c r="B4141">
        <v>5</v>
      </c>
      <c r="J4141">
        <v>42</v>
      </c>
      <c r="AY4141">
        <f t="shared" si="130"/>
        <v>43</v>
      </c>
      <c r="AZ4141">
        <f t="shared" si="131"/>
        <v>3</v>
      </c>
    </row>
    <row r="4142" spans="1:52" ht="55.2">
      <c r="A4142" s="3" t="s">
        <v>4186</v>
      </c>
      <c r="B4142">
        <v>5</v>
      </c>
      <c r="J4142">
        <v>42</v>
      </c>
      <c r="AY4142">
        <f t="shared" si="130"/>
        <v>43</v>
      </c>
      <c r="AZ4142">
        <f t="shared" si="131"/>
        <v>3</v>
      </c>
    </row>
    <row r="4143" spans="1:52" ht="55.2">
      <c r="A4143" s="3" t="s">
        <v>4187</v>
      </c>
      <c r="B4143">
        <v>5</v>
      </c>
      <c r="J4143">
        <v>42</v>
      </c>
      <c r="AY4143">
        <f t="shared" si="130"/>
        <v>43</v>
      </c>
      <c r="AZ4143">
        <f t="shared" si="131"/>
        <v>3</v>
      </c>
    </row>
    <row r="4144" spans="1:52" ht="55.2">
      <c r="A4144" s="3" t="s">
        <v>4188</v>
      </c>
      <c r="B4144">
        <v>5</v>
      </c>
      <c r="J4144">
        <v>42</v>
      </c>
      <c r="AY4144">
        <f t="shared" si="130"/>
        <v>43</v>
      </c>
      <c r="AZ4144">
        <f t="shared" si="131"/>
        <v>3</v>
      </c>
    </row>
    <row r="4145" spans="1:52" ht="55.2">
      <c r="A4145" s="3" t="s">
        <v>4189</v>
      </c>
      <c r="B4145">
        <v>5</v>
      </c>
      <c r="J4145">
        <v>42</v>
      </c>
      <c r="AY4145">
        <f t="shared" si="130"/>
        <v>43</v>
      </c>
      <c r="AZ4145">
        <f t="shared" si="131"/>
        <v>3</v>
      </c>
    </row>
    <row r="4146" spans="1:52" ht="55.2">
      <c r="A4146" s="3" t="s">
        <v>4190</v>
      </c>
      <c r="B4146">
        <v>5</v>
      </c>
      <c r="J4146">
        <v>42</v>
      </c>
      <c r="AY4146">
        <f t="shared" si="130"/>
        <v>43</v>
      </c>
      <c r="AZ4146">
        <f t="shared" si="131"/>
        <v>3</v>
      </c>
    </row>
    <row r="4147" spans="1:52" ht="55.2">
      <c r="A4147" s="3" t="s">
        <v>4191</v>
      </c>
      <c r="B4147">
        <v>5</v>
      </c>
      <c r="J4147">
        <v>42</v>
      </c>
      <c r="AY4147">
        <f t="shared" si="130"/>
        <v>43</v>
      </c>
      <c r="AZ4147">
        <f t="shared" si="131"/>
        <v>3</v>
      </c>
    </row>
    <row r="4148" spans="1:52" ht="55.2">
      <c r="A4148" s="3" t="s">
        <v>4192</v>
      </c>
      <c r="B4148">
        <v>5</v>
      </c>
      <c r="J4148">
        <v>42</v>
      </c>
      <c r="AY4148">
        <f t="shared" si="130"/>
        <v>43</v>
      </c>
      <c r="AZ4148">
        <f t="shared" si="131"/>
        <v>3</v>
      </c>
    </row>
    <row r="4149" spans="1:52" ht="55.2">
      <c r="A4149" s="3" t="s">
        <v>4193</v>
      </c>
      <c r="B4149">
        <v>5</v>
      </c>
      <c r="J4149">
        <v>42</v>
      </c>
      <c r="AY4149">
        <f t="shared" si="130"/>
        <v>43</v>
      </c>
      <c r="AZ4149">
        <f t="shared" si="131"/>
        <v>3</v>
      </c>
    </row>
    <row r="4150" spans="1:52" ht="55.2">
      <c r="A4150" s="3" t="s">
        <v>4194</v>
      </c>
      <c r="B4150">
        <v>5</v>
      </c>
      <c r="J4150">
        <v>42</v>
      </c>
      <c r="AY4150">
        <f t="shared" si="130"/>
        <v>43</v>
      </c>
      <c r="AZ4150">
        <f t="shared" si="131"/>
        <v>3</v>
      </c>
    </row>
    <row r="4151" spans="1:52" ht="55.2">
      <c r="A4151" s="3" t="s">
        <v>4195</v>
      </c>
      <c r="B4151">
        <v>5</v>
      </c>
      <c r="J4151">
        <v>42</v>
      </c>
      <c r="AY4151">
        <f t="shared" si="130"/>
        <v>43</v>
      </c>
      <c r="AZ4151">
        <f t="shared" si="131"/>
        <v>3</v>
      </c>
    </row>
    <row r="4152" spans="1:52" ht="55.2">
      <c r="A4152" s="3" t="s">
        <v>4196</v>
      </c>
      <c r="B4152">
        <v>5</v>
      </c>
      <c r="J4152">
        <v>42</v>
      </c>
      <c r="AY4152">
        <f t="shared" si="130"/>
        <v>43</v>
      </c>
      <c r="AZ4152">
        <f t="shared" si="131"/>
        <v>3</v>
      </c>
    </row>
    <row r="4153" spans="1:52" ht="55.2">
      <c r="A4153" s="3" t="s">
        <v>4197</v>
      </c>
      <c r="B4153">
        <v>5</v>
      </c>
      <c r="J4153">
        <v>42</v>
      </c>
      <c r="AY4153">
        <f t="shared" si="130"/>
        <v>43</v>
      </c>
      <c r="AZ4153">
        <f t="shared" si="131"/>
        <v>3</v>
      </c>
    </row>
    <row r="4154" spans="1:52" ht="55.2">
      <c r="A4154" s="3" t="s">
        <v>4198</v>
      </c>
      <c r="B4154">
        <v>5</v>
      </c>
      <c r="J4154">
        <v>42</v>
      </c>
      <c r="AY4154">
        <f t="shared" si="130"/>
        <v>43</v>
      </c>
      <c r="AZ4154">
        <f t="shared" si="131"/>
        <v>3</v>
      </c>
    </row>
    <row r="4155" spans="1:52" ht="55.2">
      <c r="A4155" s="3" t="s">
        <v>4199</v>
      </c>
      <c r="B4155">
        <v>5</v>
      </c>
      <c r="AW4155">
        <v>12</v>
      </c>
      <c r="AY4155">
        <f t="shared" si="130"/>
        <v>43</v>
      </c>
      <c r="AZ4155">
        <f t="shared" si="131"/>
        <v>3</v>
      </c>
    </row>
    <row r="4156" spans="1:52" ht="55.2">
      <c r="A4156" s="3" t="s">
        <v>4200</v>
      </c>
      <c r="B4156">
        <v>5</v>
      </c>
      <c r="AV4156">
        <v>10</v>
      </c>
      <c r="AY4156">
        <f t="shared" si="130"/>
        <v>43</v>
      </c>
      <c r="AZ4156">
        <f t="shared" si="131"/>
        <v>3</v>
      </c>
    </row>
    <row r="4157" spans="1:52" ht="55.2">
      <c r="A4157" s="3" t="s">
        <v>4201</v>
      </c>
      <c r="B4157">
        <v>5</v>
      </c>
      <c r="AV4157">
        <v>10</v>
      </c>
      <c r="AY4157">
        <f t="shared" si="130"/>
        <v>43</v>
      </c>
      <c r="AZ4157">
        <f t="shared" si="131"/>
        <v>3</v>
      </c>
    </row>
    <row r="4158" spans="1:52" ht="55.2">
      <c r="A4158" s="3" t="s">
        <v>4202</v>
      </c>
      <c r="B4158">
        <v>5</v>
      </c>
      <c r="AV4158">
        <v>10</v>
      </c>
      <c r="AY4158">
        <f t="shared" si="130"/>
        <v>43</v>
      </c>
      <c r="AZ4158">
        <f t="shared" si="131"/>
        <v>3</v>
      </c>
    </row>
    <row r="4159" spans="1:52" ht="55.2">
      <c r="A4159" s="3" t="s">
        <v>4203</v>
      </c>
      <c r="B4159">
        <v>5</v>
      </c>
      <c r="AV4159">
        <v>10</v>
      </c>
      <c r="AY4159">
        <f t="shared" si="130"/>
        <v>43</v>
      </c>
      <c r="AZ4159">
        <f t="shared" si="131"/>
        <v>3</v>
      </c>
    </row>
    <row r="4160" spans="1:52" ht="55.2">
      <c r="A4160" s="3" t="s">
        <v>4204</v>
      </c>
      <c r="B4160">
        <v>5</v>
      </c>
      <c r="AV4160">
        <v>10</v>
      </c>
      <c r="AY4160">
        <f t="shared" si="130"/>
        <v>43</v>
      </c>
      <c r="AZ4160">
        <f t="shared" si="131"/>
        <v>3</v>
      </c>
    </row>
    <row r="4161" spans="1:52" ht="55.2">
      <c r="A4161" s="3" t="s">
        <v>4205</v>
      </c>
      <c r="B4161">
        <v>5</v>
      </c>
      <c r="AV4161">
        <v>10</v>
      </c>
      <c r="AY4161">
        <f t="shared" si="130"/>
        <v>43</v>
      </c>
      <c r="AZ4161">
        <f t="shared" si="131"/>
        <v>3</v>
      </c>
    </row>
    <row r="4162" spans="1:52" ht="55.2">
      <c r="A4162" s="3" t="s">
        <v>4206</v>
      </c>
      <c r="B4162">
        <v>5</v>
      </c>
      <c r="AV4162">
        <v>10</v>
      </c>
      <c r="AY4162">
        <f t="shared" si="130"/>
        <v>43</v>
      </c>
      <c r="AZ4162">
        <f t="shared" si="131"/>
        <v>3</v>
      </c>
    </row>
    <row r="4163" spans="1:52" ht="55.2">
      <c r="A4163" s="3" t="s">
        <v>4207</v>
      </c>
      <c r="B4163">
        <v>5</v>
      </c>
      <c r="AV4163">
        <v>10</v>
      </c>
      <c r="AY4163">
        <f t="shared" si="130"/>
        <v>43</v>
      </c>
      <c r="AZ4163">
        <f t="shared" si="131"/>
        <v>3</v>
      </c>
    </row>
    <row r="4164" spans="1:52" ht="55.2">
      <c r="A4164" s="3" t="s">
        <v>4208</v>
      </c>
      <c r="B4164">
        <v>5</v>
      </c>
      <c r="AV4164">
        <v>10</v>
      </c>
      <c r="AY4164">
        <f t="shared" si="130"/>
        <v>43</v>
      </c>
      <c r="AZ4164">
        <f t="shared" si="131"/>
        <v>3</v>
      </c>
    </row>
    <row r="4165" spans="1:52" ht="55.2">
      <c r="A4165" s="3" t="s">
        <v>4209</v>
      </c>
      <c r="B4165">
        <v>5</v>
      </c>
      <c r="AV4165">
        <v>10</v>
      </c>
      <c r="AY4165">
        <f t="shared" si="130"/>
        <v>43</v>
      </c>
      <c r="AZ4165">
        <f t="shared" si="131"/>
        <v>3</v>
      </c>
    </row>
    <row r="4166" spans="1:52" ht="55.2">
      <c r="A4166" s="3" t="s">
        <v>4210</v>
      </c>
      <c r="B4166">
        <v>5</v>
      </c>
      <c r="AV4166">
        <v>10</v>
      </c>
      <c r="AY4166">
        <f t="shared" si="130"/>
        <v>43</v>
      </c>
      <c r="AZ4166">
        <f t="shared" si="131"/>
        <v>3</v>
      </c>
    </row>
    <row r="4167" spans="1:52" ht="55.2">
      <c r="A4167" s="3" t="s">
        <v>4211</v>
      </c>
      <c r="B4167">
        <v>5</v>
      </c>
      <c r="AV4167">
        <v>10</v>
      </c>
      <c r="AY4167">
        <f t="shared" si="130"/>
        <v>43</v>
      </c>
      <c r="AZ4167">
        <f t="shared" si="131"/>
        <v>3</v>
      </c>
    </row>
    <row r="4168" spans="1:52" ht="55.2">
      <c r="A4168" s="3" t="s">
        <v>4212</v>
      </c>
      <c r="B4168">
        <v>5</v>
      </c>
      <c r="AV4168">
        <v>10</v>
      </c>
      <c r="AY4168">
        <f t="shared" si="130"/>
        <v>43</v>
      </c>
      <c r="AZ4168">
        <f t="shared" si="131"/>
        <v>3</v>
      </c>
    </row>
    <row r="4169" spans="1:52" ht="55.2">
      <c r="A4169" s="3" t="s">
        <v>4213</v>
      </c>
      <c r="B4169">
        <v>5</v>
      </c>
      <c r="AV4169">
        <v>10</v>
      </c>
      <c r="AY4169">
        <f t="shared" si="130"/>
        <v>43</v>
      </c>
      <c r="AZ4169">
        <f t="shared" si="131"/>
        <v>3</v>
      </c>
    </row>
    <row r="4170" spans="1:52" ht="55.2">
      <c r="A4170" s="3" t="s">
        <v>4214</v>
      </c>
      <c r="B4170">
        <v>5</v>
      </c>
      <c r="AV4170">
        <v>10</v>
      </c>
      <c r="AY4170">
        <f t="shared" si="130"/>
        <v>43</v>
      </c>
      <c r="AZ4170">
        <f t="shared" si="131"/>
        <v>3</v>
      </c>
    </row>
    <row r="4171" spans="1:52" ht="55.2">
      <c r="A4171" s="3" t="s">
        <v>4215</v>
      </c>
      <c r="B4171">
        <v>5</v>
      </c>
      <c r="AV4171">
        <v>10</v>
      </c>
      <c r="AY4171">
        <f t="shared" si="130"/>
        <v>43</v>
      </c>
      <c r="AZ4171">
        <f t="shared" si="131"/>
        <v>3</v>
      </c>
    </row>
    <row r="4172" spans="1:52" ht="55.2">
      <c r="A4172" s="3" t="s">
        <v>4216</v>
      </c>
      <c r="B4172">
        <v>5</v>
      </c>
      <c r="AV4172">
        <v>10</v>
      </c>
      <c r="AY4172">
        <f t="shared" si="130"/>
        <v>43</v>
      </c>
      <c r="AZ4172">
        <f t="shared" si="131"/>
        <v>3</v>
      </c>
    </row>
    <row r="4173" spans="1:52" ht="55.2">
      <c r="A4173" s="3" t="s">
        <v>4217</v>
      </c>
      <c r="B4173">
        <v>5</v>
      </c>
      <c r="AV4173">
        <v>10</v>
      </c>
      <c r="AY4173">
        <f t="shared" si="130"/>
        <v>43</v>
      </c>
      <c r="AZ4173">
        <f t="shared" si="131"/>
        <v>3</v>
      </c>
    </row>
    <row r="4174" spans="1:52" ht="55.2">
      <c r="A4174" s="3" t="s">
        <v>4218</v>
      </c>
      <c r="B4174">
        <v>5</v>
      </c>
      <c r="AV4174">
        <v>10</v>
      </c>
      <c r="AY4174">
        <f t="shared" si="130"/>
        <v>43</v>
      </c>
      <c r="AZ4174">
        <f t="shared" si="131"/>
        <v>3</v>
      </c>
    </row>
    <row r="4175" spans="1:52" ht="55.2">
      <c r="A4175" s="3" t="s">
        <v>4219</v>
      </c>
      <c r="B4175">
        <v>5</v>
      </c>
      <c r="AV4175">
        <v>10</v>
      </c>
      <c r="AY4175">
        <f t="shared" si="130"/>
        <v>43</v>
      </c>
      <c r="AZ4175">
        <f t="shared" si="131"/>
        <v>3</v>
      </c>
    </row>
    <row r="4176" spans="1:52" ht="55.2">
      <c r="A4176" s="3" t="s">
        <v>4220</v>
      </c>
      <c r="B4176">
        <v>5</v>
      </c>
      <c r="AV4176">
        <v>10</v>
      </c>
      <c r="AY4176">
        <f t="shared" si="130"/>
        <v>43</v>
      </c>
      <c r="AZ4176">
        <f t="shared" si="131"/>
        <v>3</v>
      </c>
    </row>
    <row r="4177" spans="1:52" ht="55.2">
      <c r="A4177" s="3" t="s">
        <v>4221</v>
      </c>
      <c r="B4177">
        <v>5</v>
      </c>
      <c r="AV4177">
        <v>10</v>
      </c>
      <c r="AY4177">
        <f t="shared" si="130"/>
        <v>43</v>
      </c>
      <c r="AZ4177">
        <f t="shared" si="131"/>
        <v>3</v>
      </c>
    </row>
    <row r="4178" spans="1:52" ht="55.2">
      <c r="A4178" s="3" t="s">
        <v>4222</v>
      </c>
      <c r="B4178">
        <v>5</v>
      </c>
      <c r="AV4178">
        <v>10</v>
      </c>
      <c r="AY4178">
        <f t="shared" si="130"/>
        <v>43</v>
      </c>
      <c r="AZ4178">
        <f t="shared" si="131"/>
        <v>3</v>
      </c>
    </row>
    <row r="4179" spans="1:52" ht="55.2">
      <c r="A4179" s="3" t="s">
        <v>4223</v>
      </c>
      <c r="B4179">
        <v>5</v>
      </c>
      <c r="AV4179">
        <v>10</v>
      </c>
      <c r="AY4179">
        <f t="shared" si="130"/>
        <v>43</v>
      </c>
      <c r="AZ4179">
        <f t="shared" si="131"/>
        <v>3</v>
      </c>
    </row>
    <row r="4180" spans="1:52" ht="55.2">
      <c r="A4180" s="3" t="s">
        <v>4224</v>
      </c>
      <c r="B4180">
        <v>5</v>
      </c>
      <c r="AV4180">
        <v>10</v>
      </c>
      <c r="AY4180">
        <f t="shared" si="130"/>
        <v>43</v>
      </c>
      <c r="AZ4180">
        <f t="shared" si="131"/>
        <v>3</v>
      </c>
    </row>
    <row r="4181" spans="1:52" ht="55.2">
      <c r="A4181" s="3" t="s">
        <v>4225</v>
      </c>
      <c r="B4181">
        <v>5</v>
      </c>
      <c r="AV4181">
        <v>10</v>
      </c>
      <c r="AY4181">
        <f t="shared" si="130"/>
        <v>43</v>
      </c>
      <c r="AZ4181">
        <f t="shared" si="131"/>
        <v>3</v>
      </c>
    </row>
    <row r="4182" spans="1:52" ht="55.2">
      <c r="A4182" s="3" t="s">
        <v>4226</v>
      </c>
      <c r="B4182">
        <v>5</v>
      </c>
      <c r="AV4182">
        <v>10</v>
      </c>
      <c r="AY4182">
        <f t="shared" si="130"/>
        <v>43</v>
      </c>
      <c r="AZ4182">
        <f t="shared" si="131"/>
        <v>3</v>
      </c>
    </row>
    <row r="4183" spans="1:52" ht="55.2">
      <c r="A4183" s="3" t="s">
        <v>4227</v>
      </c>
      <c r="B4183">
        <v>5</v>
      </c>
      <c r="AV4183">
        <v>10</v>
      </c>
      <c r="AY4183">
        <f t="shared" si="130"/>
        <v>43</v>
      </c>
      <c r="AZ4183">
        <f t="shared" si="131"/>
        <v>3</v>
      </c>
    </row>
    <row r="4184" spans="1:52" ht="55.2">
      <c r="A4184" s="3" t="s">
        <v>4228</v>
      </c>
      <c r="B4184">
        <v>5</v>
      </c>
      <c r="AV4184">
        <v>10</v>
      </c>
      <c r="AY4184">
        <f t="shared" si="130"/>
        <v>43</v>
      </c>
      <c r="AZ4184">
        <f t="shared" si="131"/>
        <v>3</v>
      </c>
    </row>
    <row r="4185" spans="1:52" ht="55.2">
      <c r="A4185" s="3" t="s">
        <v>4229</v>
      </c>
      <c r="B4185">
        <v>5</v>
      </c>
      <c r="AV4185">
        <v>10</v>
      </c>
      <c r="AY4185">
        <f t="shared" si="130"/>
        <v>43</v>
      </c>
      <c r="AZ4185">
        <f t="shared" si="131"/>
        <v>3</v>
      </c>
    </row>
    <row r="4186" spans="1:52" ht="55.2">
      <c r="A4186" s="3" t="s">
        <v>4230</v>
      </c>
      <c r="B4186">
        <v>5</v>
      </c>
      <c r="AV4186">
        <v>10</v>
      </c>
      <c r="AY4186">
        <f t="shared" si="130"/>
        <v>43</v>
      </c>
      <c r="AZ4186">
        <f t="shared" si="131"/>
        <v>3</v>
      </c>
    </row>
    <row r="4187" spans="1:52" ht="55.2">
      <c r="A4187" s="3" t="s">
        <v>4231</v>
      </c>
      <c r="B4187">
        <v>5</v>
      </c>
      <c r="AV4187">
        <v>10</v>
      </c>
      <c r="AY4187">
        <f t="shared" si="130"/>
        <v>43</v>
      </c>
      <c r="AZ4187">
        <f t="shared" si="131"/>
        <v>3</v>
      </c>
    </row>
    <row r="4188" spans="1:52" ht="55.2">
      <c r="A4188" s="3" t="s">
        <v>4232</v>
      </c>
      <c r="B4188">
        <v>5</v>
      </c>
      <c r="AV4188">
        <v>10</v>
      </c>
      <c r="AY4188">
        <f t="shared" si="130"/>
        <v>43</v>
      </c>
      <c r="AZ4188">
        <f t="shared" si="131"/>
        <v>3</v>
      </c>
    </row>
    <row r="4189" spans="1:52" ht="55.2">
      <c r="A4189" s="3" t="s">
        <v>4233</v>
      </c>
      <c r="B4189">
        <v>5</v>
      </c>
      <c r="AV4189">
        <v>10</v>
      </c>
      <c r="AY4189">
        <f t="shared" si="130"/>
        <v>43</v>
      </c>
      <c r="AZ4189">
        <f t="shared" si="131"/>
        <v>3</v>
      </c>
    </row>
    <row r="4190" spans="1:52" ht="55.2">
      <c r="A4190" s="3" t="s">
        <v>4234</v>
      </c>
      <c r="B4190">
        <v>5</v>
      </c>
      <c r="AV4190">
        <v>10</v>
      </c>
      <c r="AY4190">
        <f t="shared" si="130"/>
        <v>43</v>
      </c>
      <c r="AZ4190">
        <f t="shared" si="131"/>
        <v>3</v>
      </c>
    </row>
    <row r="4191" spans="1:52" ht="55.2">
      <c r="A4191" s="3" t="s">
        <v>4235</v>
      </c>
      <c r="B4191">
        <v>5</v>
      </c>
      <c r="AV4191">
        <v>10</v>
      </c>
      <c r="AY4191">
        <f t="shared" si="130"/>
        <v>43</v>
      </c>
      <c r="AZ4191">
        <f t="shared" si="131"/>
        <v>3</v>
      </c>
    </row>
    <row r="4192" spans="1:52" ht="55.2">
      <c r="A4192" s="3" t="s">
        <v>4236</v>
      </c>
      <c r="B4192">
        <v>5</v>
      </c>
      <c r="AV4192">
        <v>10</v>
      </c>
      <c r="AY4192">
        <f t="shared" si="130"/>
        <v>43</v>
      </c>
      <c r="AZ4192">
        <f t="shared" si="131"/>
        <v>3</v>
      </c>
    </row>
    <row r="4193" spans="1:52" ht="55.2">
      <c r="A4193" s="3" t="s">
        <v>4237</v>
      </c>
      <c r="B4193">
        <v>5</v>
      </c>
      <c r="AV4193">
        <v>10</v>
      </c>
      <c r="AY4193">
        <f t="shared" ref="AY4193:AY4256" si="132">COUNTBLANK(F4193:AW4193)</f>
        <v>43</v>
      </c>
      <c r="AZ4193">
        <f t="shared" ref="AZ4193:AZ4256" si="133">COUNTBLANK(B4193:E4193)</f>
        <v>3</v>
      </c>
    </row>
    <row r="4194" spans="1:52" ht="55.2">
      <c r="A4194" s="3" t="s">
        <v>4238</v>
      </c>
      <c r="B4194">
        <v>5</v>
      </c>
      <c r="AV4194">
        <v>10</v>
      </c>
      <c r="AY4194">
        <f t="shared" si="132"/>
        <v>43</v>
      </c>
      <c r="AZ4194">
        <f t="shared" si="133"/>
        <v>3</v>
      </c>
    </row>
    <row r="4195" spans="1:52" ht="55.2">
      <c r="A4195" s="3" t="s">
        <v>4239</v>
      </c>
      <c r="B4195">
        <v>5</v>
      </c>
      <c r="AV4195">
        <v>10</v>
      </c>
      <c r="AY4195">
        <f t="shared" si="132"/>
        <v>43</v>
      </c>
      <c r="AZ4195">
        <f t="shared" si="133"/>
        <v>3</v>
      </c>
    </row>
    <row r="4196" spans="1:52" ht="55.2">
      <c r="A4196" s="3" t="s">
        <v>4240</v>
      </c>
      <c r="B4196">
        <v>5</v>
      </c>
      <c r="AV4196">
        <v>10</v>
      </c>
      <c r="AY4196">
        <f t="shared" si="132"/>
        <v>43</v>
      </c>
      <c r="AZ4196">
        <f t="shared" si="133"/>
        <v>3</v>
      </c>
    </row>
    <row r="4197" spans="1:52" ht="55.2">
      <c r="A4197" s="3" t="s">
        <v>4241</v>
      </c>
      <c r="B4197">
        <v>5</v>
      </c>
      <c r="AV4197">
        <v>10</v>
      </c>
      <c r="AY4197">
        <f t="shared" si="132"/>
        <v>43</v>
      </c>
      <c r="AZ4197">
        <f t="shared" si="133"/>
        <v>3</v>
      </c>
    </row>
    <row r="4198" spans="1:52" ht="55.2">
      <c r="A4198" s="3" t="s">
        <v>4242</v>
      </c>
      <c r="B4198">
        <v>5</v>
      </c>
      <c r="AV4198">
        <v>10</v>
      </c>
      <c r="AY4198">
        <f t="shared" si="132"/>
        <v>43</v>
      </c>
      <c r="AZ4198">
        <f t="shared" si="133"/>
        <v>3</v>
      </c>
    </row>
    <row r="4199" spans="1:52" ht="55.2">
      <c r="A4199" s="3" t="s">
        <v>4243</v>
      </c>
      <c r="B4199">
        <v>5</v>
      </c>
      <c r="AV4199">
        <v>10</v>
      </c>
      <c r="AY4199">
        <f t="shared" si="132"/>
        <v>43</v>
      </c>
      <c r="AZ4199">
        <f t="shared" si="133"/>
        <v>3</v>
      </c>
    </row>
    <row r="4200" spans="1:52" ht="55.2">
      <c r="A4200" s="3" t="s">
        <v>4244</v>
      </c>
      <c r="B4200">
        <v>5</v>
      </c>
      <c r="AV4200">
        <v>10</v>
      </c>
      <c r="AY4200">
        <f t="shared" si="132"/>
        <v>43</v>
      </c>
      <c r="AZ4200">
        <f t="shared" si="133"/>
        <v>3</v>
      </c>
    </row>
    <row r="4201" spans="1:52" ht="55.2">
      <c r="A4201" s="3" t="s">
        <v>4245</v>
      </c>
      <c r="B4201">
        <v>5</v>
      </c>
      <c r="AV4201">
        <v>10</v>
      </c>
      <c r="AY4201">
        <f t="shared" si="132"/>
        <v>43</v>
      </c>
      <c r="AZ4201">
        <f t="shared" si="133"/>
        <v>3</v>
      </c>
    </row>
    <row r="4202" spans="1:52" ht="55.2">
      <c r="A4202" s="3" t="s">
        <v>4246</v>
      </c>
      <c r="B4202">
        <v>5</v>
      </c>
      <c r="AV4202">
        <v>10</v>
      </c>
      <c r="AY4202">
        <f t="shared" si="132"/>
        <v>43</v>
      </c>
      <c r="AZ4202">
        <f t="shared" si="133"/>
        <v>3</v>
      </c>
    </row>
    <row r="4203" spans="1:52" ht="55.2">
      <c r="A4203" s="3" t="s">
        <v>4247</v>
      </c>
      <c r="B4203">
        <v>5</v>
      </c>
      <c r="AV4203">
        <v>10</v>
      </c>
      <c r="AY4203">
        <f t="shared" si="132"/>
        <v>43</v>
      </c>
      <c r="AZ4203">
        <f t="shared" si="133"/>
        <v>3</v>
      </c>
    </row>
    <row r="4204" spans="1:52" ht="55.2">
      <c r="A4204" s="3" t="s">
        <v>4248</v>
      </c>
      <c r="B4204">
        <v>5</v>
      </c>
      <c r="P4204">
        <v>2</v>
      </c>
      <c r="AY4204">
        <f t="shared" si="132"/>
        <v>43</v>
      </c>
      <c r="AZ4204">
        <f t="shared" si="133"/>
        <v>3</v>
      </c>
    </row>
    <row r="4205" spans="1:52" ht="55.2">
      <c r="A4205" s="3" t="s">
        <v>4249</v>
      </c>
      <c r="B4205">
        <v>5</v>
      </c>
      <c r="P4205">
        <v>2</v>
      </c>
      <c r="AY4205">
        <f t="shared" si="132"/>
        <v>43</v>
      </c>
      <c r="AZ4205">
        <f t="shared" si="133"/>
        <v>3</v>
      </c>
    </row>
    <row r="4206" spans="1:52" ht="55.2">
      <c r="A4206" s="3" t="s">
        <v>4250</v>
      </c>
      <c r="B4206">
        <v>5</v>
      </c>
      <c r="P4206">
        <v>2</v>
      </c>
      <c r="AY4206">
        <f t="shared" si="132"/>
        <v>43</v>
      </c>
      <c r="AZ4206">
        <f t="shared" si="133"/>
        <v>3</v>
      </c>
    </row>
    <row r="4207" spans="1:52" ht="55.2">
      <c r="A4207" s="3" t="s">
        <v>4251</v>
      </c>
      <c r="B4207">
        <v>5</v>
      </c>
      <c r="P4207">
        <v>2</v>
      </c>
      <c r="AY4207">
        <f t="shared" si="132"/>
        <v>43</v>
      </c>
      <c r="AZ4207">
        <f t="shared" si="133"/>
        <v>3</v>
      </c>
    </row>
    <row r="4208" spans="1:52" ht="55.2">
      <c r="A4208" s="3" t="s">
        <v>4252</v>
      </c>
      <c r="B4208">
        <v>5</v>
      </c>
      <c r="P4208">
        <v>2</v>
      </c>
      <c r="AY4208">
        <f t="shared" si="132"/>
        <v>43</v>
      </c>
      <c r="AZ4208">
        <f t="shared" si="133"/>
        <v>3</v>
      </c>
    </row>
    <row r="4209" spans="1:52" ht="55.2">
      <c r="A4209" s="3" t="s">
        <v>4253</v>
      </c>
      <c r="B4209">
        <v>5</v>
      </c>
      <c r="P4209">
        <v>2</v>
      </c>
      <c r="AY4209">
        <f t="shared" si="132"/>
        <v>43</v>
      </c>
      <c r="AZ4209">
        <f t="shared" si="133"/>
        <v>3</v>
      </c>
    </row>
    <row r="4210" spans="1:52" ht="55.2">
      <c r="A4210" s="3" t="s">
        <v>4254</v>
      </c>
      <c r="B4210">
        <v>5</v>
      </c>
      <c r="P4210">
        <v>2</v>
      </c>
      <c r="AY4210">
        <f t="shared" si="132"/>
        <v>43</v>
      </c>
      <c r="AZ4210">
        <f t="shared" si="133"/>
        <v>3</v>
      </c>
    </row>
    <row r="4211" spans="1:52" ht="55.2">
      <c r="A4211" s="3" t="s">
        <v>4255</v>
      </c>
      <c r="B4211">
        <v>5</v>
      </c>
      <c r="P4211">
        <v>2</v>
      </c>
      <c r="AY4211">
        <f t="shared" si="132"/>
        <v>43</v>
      </c>
      <c r="AZ4211">
        <f t="shared" si="133"/>
        <v>3</v>
      </c>
    </row>
    <row r="4212" spans="1:52" ht="55.2">
      <c r="A4212" s="3" t="s">
        <v>4256</v>
      </c>
      <c r="B4212">
        <v>5</v>
      </c>
      <c r="P4212">
        <v>2</v>
      </c>
      <c r="AY4212">
        <f t="shared" si="132"/>
        <v>43</v>
      </c>
      <c r="AZ4212">
        <f t="shared" si="133"/>
        <v>3</v>
      </c>
    </row>
    <row r="4213" spans="1:52" ht="55.2">
      <c r="A4213" s="3" t="s">
        <v>4257</v>
      </c>
      <c r="B4213">
        <v>5</v>
      </c>
      <c r="P4213">
        <v>2</v>
      </c>
      <c r="AY4213">
        <f t="shared" si="132"/>
        <v>43</v>
      </c>
      <c r="AZ4213">
        <f t="shared" si="133"/>
        <v>3</v>
      </c>
    </row>
    <row r="4214" spans="1:52" ht="55.2">
      <c r="A4214" s="3" t="s">
        <v>4258</v>
      </c>
      <c r="B4214">
        <v>5</v>
      </c>
      <c r="P4214">
        <v>2</v>
      </c>
      <c r="AY4214">
        <f t="shared" si="132"/>
        <v>43</v>
      </c>
      <c r="AZ4214">
        <f t="shared" si="133"/>
        <v>3</v>
      </c>
    </row>
    <row r="4215" spans="1:52" ht="55.2">
      <c r="A4215" s="3" t="s">
        <v>4259</v>
      </c>
      <c r="B4215">
        <v>5</v>
      </c>
      <c r="P4215">
        <v>2</v>
      </c>
      <c r="AY4215">
        <f t="shared" si="132"/>
        <v>43</v>
      </c>
      <c r="AZ4215">
        <f t="shared" si="133"/>
        <v>3</v>
      </c>
    </row>
    <row r="4216" spans="1:52" ht="55.2">
      <c r="A4216" s="3" t="s">
        <v>4260</v>
      </c>
      <c r="B4216">
        <v>5</v>
      </c>
      <c r="P4216">
        <v>2</v>
      </c>
      <c r="AY4216">
        <f t="shared" si="132"/>
        <v>43</v>
      </c>
      <c r="AZ4216">
        <f t="shared" si="133"/>
        <v>3</v>
      </c>
    </row>
    <row r="4217" spans="1:52" ht="55.2">
      <c r="A4217" s="3" t="s">
        <v>4261</v>
      </c>
      <c r="B4217">
        <v>5</v>
      </c>
      <c r="P4217">
        <v>2</v>
      </c>
      <c r="AY4217">
        <f t="shared" si="132"/>
        <v>43</v>
      </c>
      <c r="AZ4217">
        <f t="shared" si="133"/>
        <v>3</v>
      </c>
    </row>
    <row r="4218" spans="1:52" ht="55.2">
      <c r="A4218" s="3" t="s">
        <v>4262</v>
      </c>
      <c r="B4218">
        <v>5</v>
      </c>
      <c r="P4218">
        <v>2</v>
      </c>
      <c r="AY4218">
        <f t="shared" si="132"/>
        <v>43</v>
      </c>
      <c r="AZ4218">
        <f t="shared" si="133"/>
        <v>3</v>
      </c>
    </row>
    <row r="4219" spans="1:52" ht="55.2">
      <c r="A4219" s="3" t="s">
        <v>4263</v>
      </c>
      <c r="B4219">
        <v>5</v>
      </c>
      <c r="P4219">
        <v>2</v>
      </c>
      <c r="AY4219">
        <f t="shared" si="132"/>
        <v>43</v>
      </c>
      <c r="AZ4219">
        <f t="shared" si="133"/>
        <v>3</v>
      </c>
    </row>
    <row r="4220" spans="1:52" ht="55.2">
      <c r="A4220" s="3" t="s">
        <v>4264</v>
      </c>
      <c r="B4220">
        <v>5</v>
      </c>
      <c r="P4220">
        <v>2</v>
      </c>
      <c r="AY4220">
        <f t="shared" si="132"/>
        <v>43</v>
      </c>
      <c r="AZ4220">
        <f t="shared" si="133"/>
        <v>3</v>
      </c>
    </row>
    <row r="4221" spans="1:52" ht="55.2">
      <c r="A4221" s="3" t="s">
        <v>4265</v>
      </c>
      <c r="B4221">
        <v>5</v>
      </c>
      <c r="P4221">
        <v>2</v>
      </c>
      <c r="AY4221">
        <f t="shared" si="132"/>
        <v>43</v>
      </c>
      <c r="AZ4221">
        <f t="shared" si="133"/>
        <v>3</v>
      </c>
    </row>
    <row r="4222" spans="1:52" ht="55.2">
      <c r="A4222" s="3" t="s">
        <v>4266</v>
      </c>
      <c r="B4222">
        <v>5</v>
      </c>
      <c r="P4222">
        <v>2</v>
      </c>
      <c r="AY4222">
        <f t="shared" si="132"/>
        <v>43</v>
      </c>
      <c r="AZ4222">
        <f t="shared" si="133"/>
        <v>3</v>
      </c>
    </row>
    <row r="4223" spans="1:52" ht="55.2">
      <c r="A4223" s="3" t="s">
        <v>4267</v>
      </c>
      <c r="B4223">
        <v>5</v>
      </c>
      <c r="P4223">
        <v>2</v>
      </c>
      <c r="AY4223">
        <f t="shared" si="132"/>
        <v>43</v>
      </c>
      <c r="AZ4223">
        <f t="shared" si="133"/>
        <v>3</v>
      </c>
    </row>
    <row r="4224" spans="1:52" ht="55.2">
      <c r="A4224" s="3" t="s">
        <v>4268</v>
      </c>
      <c r="B4224">
        <v>5</v>
      </c>
      <c r="P4224">
        <v>2</v>
      </c>
      <c r="AY4224">
        <f t="shared" si="132"/>
        <v>43</v>
      </c>
      <c r="AZ4224">
        <f t="shared" si="133"/>
        <v>3</v>
      </c>
    </row>
    <row r="4225" spans="1:52" ht="55.2">
      <c r="A4225" s="3" t="s">
        <v>4269</v>
      </c>
      <c r="B4225">
        <v>5</v>
      </c>
      <c r="P4225">
        <v>2</v>
      </c>
      <c r="AY4225">
        <f t="shared" si="132"/>
        <v>43</v>
      </c>
      <c r="AZ4225">
        <f t="shared" si="133"/>
        <v>3</v>
      </c>
    </row>
    <row r="4226" spans="1:52" ht="55.2">
      <c r="A4226" s="3" t="s">
        <v>4270</v>
      </c>
      <c r="B4226">
        <v>5</v>
      </c>
      <c r="P4226">
        <v>2</v>
      </c>
      <c r="AY4226">
        <f t="shared" si="132"/>
        <v>43</v>
      </c>
      <c r="AZ4226">
        <f t="shared" si="133"/>
        <v>3</v>
      </c>
    </row>
    <row r="4227" spans="1:52" ht="55.2">
      <c r="A4227" s="3" t="s">
        <v>4271</v>
      </c>
      <c r="B4227">
        <v>5</v>
      </c>
      <c r="P4227">
        <v>2</v>
      </c>
      <c r="AY4227">
        <f t="shared" si="132"/>
        <v>43</v>
      </c>
      <c r="AZ4227">
        <f t="shared" si="133"/>
        <v>3</v>
      </c>
    </row>
    <row r="4228" spans="1:52" ht="55.2">
      <c r="A4228" s="3" t="s">
        <v>4272</v>
      </c>
      <c r="B4228">
        <v>5</v>
      </c>
      <c r="P4228">
        <v>2</v>
      </c>
      <c r="AY4228">
        <f t="shared" si="132"/>
        <v>43</v>
      </c>
      <c r="AZ4228">
        <f t="shared" si="133"/>
        <v>3</v>
      </c>
    </row>
    <row r="4229" spans="1:52" ht="55.2">
      <c r="A4229" s="3" t="s">
        <v>4273</v>
      </c>
      <c r="B4229">
        <v>5</v>
      </c>
      <c r="P4229">
        <v>2</v>
      </c>
      <c r="AY4229">
        <f t="shared" si="132"/>
        <v>43</v>
      </c>
      <c r="AZ4229">
        <f t="shared" si="133"/>
        <v>3</v>
      </c>
    </row>
    <row r="4230" spans="1:52" ht="55.2">
      <c r="A4230" s="3" t="s">
        <v>4274</v>
      </c>
      <c r="B4230">
        <v>5</v>
      </c>
      <c r="P4230">
        <v>2</v>
      </c>
      <c r="AY4230">
        <f t="shared" si="132"/>
        <v>43</v>
      </c>
      <c r="AZ4230">
        <f t="shared" si="133"/>
        <v>3</v>
      </c>
    </row>
    <row r="4231" spans="1:52" ht="55.2">
      <c r="A4231" s="3" t="s">
        <v>4275</v>
      </c>
      <c r="B4231">
        <v>5</v>
      </c>
      <c r="P4231">
        <v>2</v>
      </c>
      <c r="AY4231">
        <f t="shared" si="132"/>
        <v>43</v>
      </c>
      <c r="AZ4231">
        <f t="shared" si="133"/>
        <v>3</v>
      </c>
    </row>
    <row r="4232" spans="1:52" ht="55.2">
      <c r="A4232" s="3" t="s">
        <v>4276</v>
      </c>
      <c r="B4232">
        <v>5</v>
      </c>
      <c r="P4232">
        <v>2</v>
      </c>
      <c r="AY4232">
        <f t="shared" si="132"/>
        <v>43</v>
      </c>
      <c r="AZ4232">
        <f t="shared" si="133"/>
        <v>3</v>
      </c>
    </row>
    <row r="4233" spans="1:52" ht="55.2">
      <c r="A4233" s="3" t="s">
        <v>4277</v>
      </c>
      <c r="B4233">
        <v>5</v>
      </c>
      <c r="P4233">
        <v>2</v>
      </c>
      <c r="AY4233">
        <f t="shared" si="132"/>
        <v>43</v>
      </c>
      <c r="AZ4233">
        <f t="shared" si="133"/>
        <v>3</v>
      </c>
    </row>
    <row r="4234" spans="1:52" ht="55.2">
      <c r="A4234" s="3" t="s">
        <v>4278</v>
      </c>
      <c r="B4234">
        <v>5</v>
      </c>
      <c r="P4234">
        <v>2</v>
      </c>
      <c r="AY4234">
        <f t="shared" si="132"/>
        <v>43</v>
      </c>
      <c r="AZ4234">
        <f t="shared" si="133"/>
        <v>3</v>
      </c>
    </row>
    <row r="4235" spans="1:52" ht="55.2">
      <c r="A4235" s="3" t="s">
        <v>4279</v>
      </c>
      <c r="B4235">
        <v>5</v>
      </c>
      <c r="P4235">
        <v>2</v>
      </c>
      <c r="AY4235">
        <f t="shared" si="132"/>
        <v>43</v>
      </c>
      <c r="AZ4235">
        <f t="shared" si="133"/>
        <v>3</v>
      </c>
    </row>
    <row r="4236" spans="1:52" ht="55.2">
      <c r="A4236" s="3" t="s">
        <v>4280</v>
      </c>
      <c r="B4236">
        <v>5</v>
      </c>
      <c r="P4236">
        <v>2</v>
      </c>
      <c r="AY4236">
        <f t="shared" si="132"/>
        <v>43</v>
      </c>
      <c r="AZ4236">
        <f t="shared" si="133"/>
        <v>3</v>
      </c>
    </row>
    <row r="4237" spans="1:52" ht="55.2">
      <c r="A4237" s="3" t="s">
        <v>4281</v>
      </c>
      <c r="B4237">
        <v>5</v>
      </c>
      <c r="P4237">
        <v>2</v>
      </c>
      <c r="AY4237">
        <f t="shared" si="132"/>
        <v>43</v>
      </c>
      <c r="AZ4237">
        <f t="shared" si="133"/>
        <v>3</v>
      </c>
    </row>
    <row r="4238" spans="1:52" ht="55.2">
      <c r="A4238" s="3" t="s">
        <v>4282</v>
      </c>
      <c r="B4238">
        <v>5</v>
      </c>
      <c r="P4238">
        <v>2</v>
      </c>
      <c r="AY4238">
        <f t="shared" si="132"/>
        <v>43</v>
      </c>
      <c r="AZ4238">
        <f t="shared" si="133"/>
        <v>3</v>
      </c>
    </row>
    <row r="4239" spans="1:52" ht="55.2">
      <c r="A4239" s="3" t="s">
        <v>4283</v>
      </c>
      <c r="B4239">
        <v>5</v>
      </c>
      <c r="P4239">
        <v>2</v>
      </c>
      <c r="AY4239">
        <f t="shared" si="132"/>
        <v>43</v>
      </c>
      <c r="AZ4239">
        <f t="shared" si="133"/>
        <v>3</v>
      </c>
    </row>
    <row r="4240" spans="1:52" ht="55.2">
      <c r="A4240" s="3" t="s">
        <v>4284</v>
      </c>
      <c r="B4240">
        <v>5</v>
      </c>
      <c r="P4240">
        <v>2</v>
      </c>
      <c r="AY4240">
        <f t="shared" si="132"/>
        <v>43</v>
      </c>
      <c r="AZ4240">
        <f t="shared" si="133"/>
        <v>3</v>
      </c>
    </row>
    <row r="4241" spans="1:52" ht="55.2">
      <c r="A4241" s="3" t="s">
        <v>4285</v>
      </c>
      <c r="B4241">
        <v>5</v>
      </c>
      <c r="P4241">
        <v>2</v>
      </c>
      <c r="AY4241">
        <f t="shared" si="132"/>
        <v>43</v>
      </c>
      <c r="AZ4241">
        <f t="shared" si="133"/>
        <v>3</v>
      </c>
    </row>
    <row r="4242" spans="1:52" ht="55.2">
      <c r="A4242" s="3" t="s">
        <v>4286</v>
      </c>
      <c r="B4242">
        <v>5</v>
      </c>
      <c r="P4242">
        <v>2</v>
      </c>
      <c r="AY4242">
        <f t="shared" si="132"/>
        <v>43</v>
      </c>
      <c r="AZ4242">
        <f t="shared" si="133"/>
        <v>3</v>
      </c>
    </row>
    <row r="4243" spans="1:52" ht="55.2">
      <c r="A4243" s="3" t="s">
        <v>4287</v>
      </c>
      <c r="B4243">
        <v>5</v>
      </c>
      <c r="P4243">
        <v>2</v>
      </c>
      <c r="AY4243">
        <f t="shared" si="132"/>
        <v>43</v>
      </c>
      <c r="AZ4243">
        <f t="shared" si="133"/>
        <v>3</v>
      </c>
    </row>
    <row r="4244" spans="1:52" ht="55.2">
      <c r="A4244" s="3" t="s">
        <v>4288</v>
      </c>
      <c r="B4244">
        <v>5</v>
      </c>
      <c r="P4244">
        <v>2</v>
      </c>
      <c r="AY4244">
        <f t="shared" si="132"/>
        <v>43</v>
      </c>
      <c r="AZ4244">
        <f t="shared" si="133"/>
        <v>3</v>
      </c>
    </row>
    <row r="4245" spans="1:52" ht="55.2">
      <c r="A4245" s="3" t="s">
        <v>4289</v>
      </c>
      <c r="B4245">
        <v>5</v>
      </c>
      <c r="P4245">
        <v>2</v>
      </c>
      <c r="AY4245">
        <f t="shared" si="132"/>
        <v>43</v>
      </c>
      <c r="AZ4245">
        <f t="shared" si="133"/>
        <v>3</v>
      </c>
    </row>
    <row r="4246" spans="1:52" ht="55.2">
      <c r="A4246" s="3" t="s">
        <v>4290</v>
      </c>
      <c r="B4246">
        <v>5</v>
      </c>
      <c r="P4246">
        <v>2</v>
      </c>
      <c r="AY4246">
        <f t="shared" si="132"/>
        <v>43</v>
      </c>
      <c r="AZ4246">
        <f t="shared" si="133"/>
        <v>3</v>
      </c>
    </row>
    <row r="4247" spans="1:52" ht="55.2">
      <c r="A4247" s="3" t="s">
        <v>4291</v>
      </c>
      <c r="B4247">
        <v>5</v>
      </c>
      <c r="P4247">
        <v>2</v>
      </c>
      <c r="AY4247">
        <f t="shared" si="132"/>
        <v>43</v>
      </c>
      <c r="AZ4247">
        <f t="shared" si="133"/>
        <v>3</v>
      </c>
    </row>
    <row r="4248" spans="1:52" ht="55.2">
      <c r="A4248" s="3" t="s">
        <v>4292</v>
      </c>
      <c r="B4248">
        <v>5</v>
      </c>
      <c r="P4248">
        <v>2</v>
      </c>
      <c r="AY4248">
        <f t="shared" si="132"/>
        <v>43</v>
      </c>
      <c r="AZ4248">
        <f t="shared" si="133"/>
        <v>3</v>
      </c>
    </row>
    <row r="4249" spans="1:52" ht="55.2">
      <c r="A4249" s="3" t="s">
        <v>4293</v>
      </c>
      <c r="B4249">
        <v>5</v>
      </c>
      <c r="P4249">
        <v>2</v>
      </c>
      <c r="AY4249">
        <f t="shared" si="132"/>
        <v>43</v>
      </c>
      <c r="AZ4249">
        <f t="shared" si="133"/>
        <v>3</v>
      </c>
    </row>
    <row r="4250" spans="1:52" ht="55.2">
      <c r="A4250" s="3" t="s">
        <v>4294</v>
      </c>
      <c r="B4250">
        <v>5</v>
      </c>
      <c r="P4250">
        <v>2</v>
      </c>
      <c r="AY4250">
        <f t="shared" si="132"/>
        <v>43</v>
      </c>
      <c r="AZ4250">
        <f t="shared" si="133"/>
        <v>3</v>
      </c>
    </row>
    <row r="4251" spans="1:52" ht="55.2">
      <c r="A4251" s="3" t="s">
        <v>4295</v>
      </c>
      <c r="B4251">
        <v>5</v>
      </c>
      <c r="P4251">
        <v>2</v>
      </c>
      <c r="AY4251">
        <f t="shared" si="132"/>
        <v>43</v>
      </c>
      <c r="AZ4251">
        <f t="shared" si="133"/>
        <v>3</v>
      </c>
    </row>
    <row r="4252" spans="1:52" ht="55.2">
      <c r="A4252" s="3" t="s">
        <v>4296</v>
      </c>
      <c r="B4252">
        <v>5</v>
      </c>
      <c r="P4252">
        <v>2</v>
      </c>
      <c r="AY4252">
        <f t="shared" si="132"/>
        <v>43</v>
      </c>
      <c r="AZ4252">
        <f t="shared" si="133"/>
        <v>3</v>
      </c>
    </row>
    <row r="4253" spans="1:52" ht="55.2">
      <c r="A4253" s="3" t="s">
        <v>4297</v>
      </c>
      <c r="B4253">
        <v>5</v>
      </c>
      <c r="P4253">
        <v>2</v>
      </c>
      <c r="AY4253">
        <f t="shared" si="132"/>
        <v>43</v>
      </c>
      <c r="AZ4253">
        <f t="shared" si="133"/>
        <v>3</v>
      </c>
    </row>
    <row r="4254" spans="1:52" ht="55.2">
      <c r="A4254" s="3" t="s">
        <v>4298</v>
      </c>
      <c r="B4254">
        <v>5</v>
      </c>
      <c r="P4254">
        <v>2</v>
      </c>
      <c r="AY4254">
        <f t="shared" si="132"/>
        <v>43</v>
      </c>
      <c r="AZ4254">
        <f t="shared" si="133"/>
        <v>3</v>
      </c>
    </row>
    <row r="4255" spans="1:52" ht="55.2">
      <c r="A4255" s="3" t="s">
        <v>4299</v>
      </c>
      <c r="B4255">
        <v>5</v>
      </c>
      <c r="P4255">
        <v>2</v>
      </c>
      <c r="AY4255">
        <f t="shared" si="132"/>
        <v>43</v>
      </c>
      <c r="AZ4255">
        <f t="shared" si="133"/>
        <v>3</v>
      </c>
    </row>
    <row r="4256" spans="1:52" ht="55.2">
      <c r="A4256" s="3" t="s">
        <v>4300</v>
      </c>
      <c r="B4256">
        <v>5</v>
      </c>
      <c r="P4256">
        <v>2</v>
      </c>
      <c r="AY4256">
        <f t="shared" si="132"/>
        <v>43</v>
      </c>
      <c r="AZ4256">
        <f t="shared" si="133"/>
        <v>3</v>
      </c>
    </row>
    <row r="4257" spans="1:52" ht="55.2">
      <c r="A4257" s="3" t="s">
        <v>4301</v>
      </c>
      <c r="B4257">
        <v>5</v>
      </c>
      <c r="P4257">
        <v>2</v>
      </c>
      <c r="AY4257">
        <f t="shared" ref="AY4257:AY4320" si="134">COUNTBLANK(F4257:AW4257)</f>
        <v>43</v>
      </c>
      <c r="AZ4257">
        <f t="shared" ref="AZ4257:AZ4320" si="135">COUNTBLANK(B4257:E4257)</f>
        <v>3</v>
      </c>
    </row>
    <row r="4258" spans="1:52" ht="55.2">
      <c r="A4258" s="3" t="s">
        <v>4302</v>
      </c>
      <c r="B4258">
        <v>5</v>
      </c>
      <c r="P4258">
        <v>2</v>
      </c>
      <c r="AY4258">
        <f t="shared" si="134"/>
        <v>43</v>
      </c>
      <c r="AZ4258">
        <f t="shared" si="135"/>
        <v>3</v>
      </c>
    </row>
    <row r="4259" spans="1:52" ht="55.2">
      <c r="A4259" s="3" t="s">
        <v>4303</v>
      </c>
      <c r="B4259">
        <v>5</v>
      </c>
      <c r="P4259">
        <v>2</v>
      </c>
      <c r="AY4259">
        <f t="shared" si="134"/>
        <v>43</v>
      </c>
      <c r="AZ4259">
        <f t="shared" si="135"/>
        <v>3</v>
      </c>
    </row>
    <row r="4260" spans="1:52" ht="55.2">
      <c r="A4260" s="3" t="s">
        <v>4304</v>
      </c>
      <c r="B4260">
        <v>5</v>
      </c>
      <c r="P4260">
        <v>2</v>
      </c>
      <c r="AY4260">
        <f t="shared" si="134"/>
        <v>43</v>
      </c>
      <c r="AZ4260">
        <f t="shared" si="135"/>
        <v>3</v>
      </c>
    </row>
    <row r="4261" spans="1:52" ht="55.2">
      <c r="A4261" s="3" t="s">
        <v>4305</v>
      </c>
      <c r="B4261">
        <v>5</v>
      </c>
      <c r="P4261">
        <v>2</v>
      </c>
      <c r="AY4261">
        <f t="shared" si="134"/>
        <v>43</v>
      </c>
      <c r="AZ4261">
        <f t="shared" si="135"/>
        <v>3</v>
      </c>
    </row>
    <row r="4262" spans="1:52" ht="55.2">
      <c r="A4262" s="3" t="s">
        <v>4306</v>
      </c>
      <c r="B4262">
        <v>5</v>
      </c>
      <c r="P4262">
        <v>2</v>
      </c>
      <c r="AY4262">
        <f t="shared" si="134"/>
        <v>43</v>
      </c>
      <c r="AZ4262">
        <f t="shared" si="135"/>
        <v>3</v>
      </c>
    </row>
    <row r="4263" spans="1:52" ht="55.2">
      <c r="A4263" s="3" t="s">
        <v>4307</v>
      </c>
      <c r="B4263">
        <v>5</v>
      </c>
      <c r="P4263">
        <v>2</v>
      </c>
      <c r="AY4263">
        <f t="shared" si="134"/>
        <v>43</v>
      </c>
      <c r="AZ4263">
        <f t="shared" si="135"/>
        <v>3</v>
      </c>
    </row>
    <row r="4264" spans="1:52" ht="55.2">
      <c r="A4264" s="3" t="s">
        <v>4308</v>
      </c>
      <c r="B4264">
        <v>5</v>
      </c>
      <c r="P4264">
        <v>2</v>
      </c>
      <c r="AY4264">
        <f t="shared" si="134"/>
        <v>43</v>
      </c>
      <c r="AZ4264">
        <f t="shared" si="135"/>
        <v>3</v>
      </c>
    </row>
    <row r="4265" spans="1:52" ht="55.2">
      <c r="A4265" s="3" t="s">
        <v>4309</v>
      </c>
      <c r="B4265">
        <v>5</v>
      </c>
      <c r="P4265">
        <v>2</v>
      </c>
      <c r="AY4265">
        <f t="shared" si="134"/>
        <v>43</v>
      </c>
      <c r="AZ4265">
        <f t="shared" si="135"/>
        <v>3</v>
      </c>
    </row>
    <row r="4266" spans="1:52" ht="55.2">
      <c r="A4266" s="3" t="s">
        <v>4310</v>
      </c>
      <c r="B4266">
        <v>5</v>
      </c>
      <c r="P4266">
        <v>2</v>
      </c>
      <c r="AY4266">
        <f t="shared" si="134"/>
        <v>43</v>
      </c>
      <c r="AZ4266">
        <f t="shared" si="135"/>
        <v>3</v>
      </c>
    </row>
    <row r="4267" spans="1:52" ht="55.2">
      <c r="A4267" s="3" t="s">
        <v>4311</v>
      </c>
      <c r="B4267">
        <v>5</v>
      </c>
      <c r="P4267">
        <v>2</v>
      </c>
      <c r="AY4267">
        <f t="shared" si="134"/>
        <v>43</v>
      </c>
      <c r="AZ4267">
        <f t="shared" si="135"/>
        <v>3</v>
      </c>
    </row>
    <row r="4268" spans="1:52" ht="55.2">
      <c r="A4268" s="3" t="s">
        <v>4312</v>
      </c>
      <c r="B4268">
        <v>5</v>
      </c>
      <c r="P4268">
        <v>2</v>
      </c>
      <c r="AY4268">
        <f t="shared" si="134"/>
        <v>43</v>
      </c>
      <c r="AZ4268">
        <f t="shared" si="135"/>
        <v>3</v>
      </c>
    </row>
    <row r="4269" spans="1:52" ht="55.2">
      <c r="A4269" s="3" t="s">
        <v>4313</v>
      </c>
      <c r="B4269">
        <v>5</v>
      </c>
      <c r="P4269">
        <v>2</v>
      </c>
      <c r="AY4269">
        <f t="shared" si="134"/>
        <v>43</v>
      </c>
      <c r="AZ4269">
        <f t="shared" si="135"/>
        <v>3</v>
      </c>
    </row>
    <row r="4270" spans="1:52" ht="55.2">
      <c r="A4270" s="3" t="s">
        <v>4314</v>
      </c>
      <c r="B4270">
        <v>5</v>
      </c>
      <c r="P4270">
        <v>2</v>
      </c>
      <c r="AY4270">
        <f t="shared" si="134"/>
        <v>43</v>
      </c>
      <c r="AZ4270">
        <f t="shared" si="135"/>
        <v>3</v>
      </c>
    </row>
    <row r="4271" spans="1:52" ht="55.2">
      <c r="A4271" s="3" t="s">
        <v>4315</v>
      </c>
      <c r="B4271">
        <v>5</v>
      </c>
      <c r="P4271">
        <v>2</v>
      </c>
      <c r="AY4271">
        <f t="shared" si="134"/>
        <v>43</v>
      </c>
      <c r="AZ4271">
        <f t="shared" si="135"/>
        <v>3</v>
      </c>
    </row>
    <row r="4272" spans="1:52" ht="55.2">
      <c r="A4272" s="3" t="s">
        <v>4316</v>
      </c>
      <c r="B4272">
        <v>5</v>
      </c>
      <c r="P4272">
        <v>2</v>
      </c>
      <c r="AY4272">
        <f t="shared" si="134"/>
        <v>43</v>
      </c>
      <c r="AZ4272">
        <f t="shared" si="135"/>
        <v>3</v>
      </c>
    </row>
    <row r="4273" spans="1:52" ht="55.2">
      <c r="A4273" s="3" t="s">
        <v>4317</v>
      </c>
      <c r="B4273">
        <v>5</v>
      </c>
      <c r="P4273">
        <v>2</v>
      </c>
      <c r="AY4273">
        <f t="shared" si="134"/>
        <v>43</v>
      </c>
      <c r="AZ4273">
        <f t="shared" si="135"/>
        <v>3</v>
      </c>
    </row>
    <row r="4274" spans="1:52" ht="55.2">
      <c r="A4274" s="3" t="s">
        <v>4318</v>
      </c>
      <c r="B4274">
        <v>5</v>
      </c>
      <c r="P4274">
        <v>2</v>
      </c>
      <c r="AY4274">
        <f t="shared" si="134"/>
        <v>43</v>
      </c>
      <c r="AZ4274">
        <f t="shared" si="135"/>
        <v>3</v>
      </c>
    </row>
    <row r="4275" spans="1:52" ht="55.2">
      <c r="A4275" s="3" t="s">
        <v>4319</v>
      </c>
      <c r="B4275">
        <v>5</v>
      </c>
      <c r="P4275">
        <v>2</v>
      </c>
      <c r="AY4275">
        <f t="shared" si="134"/>
        <v>43</v>
      </c>
      <c r="AZ4275">
        <f t="shared" si="135"/>
        <v>3</v>
      </c>
    </row>
    <row r="4276" spans="1:52" ht="55.2">
      <c r="A4276" s="3" t="s">
        <v>4320</v>
      </c>
      <c r="B4276">
        <v>5</v>
      </c>
      <c r="P4276">
        <v>2</v>
      </c>
      <c r="AY4276">
        <f t="shared" si="134"/>
        <v>43</v>
      </c>
      <c r="AZ4276">
        <f t="shared" si="135"/>
        <v>3</v>
      </c>
    </row>
    <row r="4277" spans="1:52" ht="55.2">
      <c r="A4277" s="3" t="s">
        <v>4321</v>
      </c>
      <c r="B4277">
        <v>5</v>
      </c>
      <c r="P4277">
        <v>2</v>
      </c>
      <c r="AY4277">
        <f t="shared" si="134"/>
        <v>43</v>
      </c>
      <c r="AZ4277">
        <f t="shared" si="135"/>
        <v>3</v>
      </c>
    </row>
    <row r="4278" spans="1:52" ht="55.2">
      <c r="A4278" s="3" t="s">
        <v>4322</v>
      </c>
      <c r="B4278">
        <v>5</v>
      </c>
      <c r="P4278">
        <v>2</v>
      </c>
      <c r="AY4278">
        <f t="shared" si="134"/>
        <v>43</v>
      </c>
      <c r="AZ4278">
        <f t="shared" si="135"/>
        <v>3</v>
      </c>
    </row>
    <row r="4279" spans="1:52" ht="55.2">
      <c r="A4279" s="3" t="s">
        <v>4323</v>
      </c>
      <c r="B4279">
        <v>5</v>
      </c>
      <c r="P4279">
        <v>2</v>
      </c>
      <c r="AY4279">
        <f t="shared" si="134"/>
        <v>43</v>
      </c>
      <c r="AZ4279">
        <f t="shared" si="135"/>
        <v>3</v>
      </c>
    </row>
    <row r="4280" spans="1:52" ht="55.2">
      <c r="A4280" s="3" t="s">
        <v>4324</v>
      </c>
      <c r="B4280">
        <v>5</v>
      </c>
      <c r="P4280">
        <v>2</v>
      </c>
      <c r="AY4280">
        <f t="shared" si="134"/>
        <v>43</v>
      </c>
      <c r="AZ4280">
        <f t="shared" si="135"/>
        <v>3</v>
      </c>
    </row>
    <row r="4281" spans="1:52" ht="55.2">
      <c r="A4281" s="3" t="s">
        <v>4325</v>
      </c>
      <c r="B4281">
        <v>5</v>
      </c>
      <c r="P4281">
        <v>2</v>
      </c>
      <c r="AY4281">
        <f t="shared" si="134"/>
        <v>43</v>
      </c>
      <c r="AZ4281">
        <f t="shared" si="135"/>
        <v>3</v>
      </c>
    </row>
    <row r="4282" spans="1:52" ht="55.2">
      <c r="A4282" s="3" t="s">
        <v>4326</v>
      </c>
      <c r="B4282">
        <v>5</v>
      </c>
      <c r="P4282">
        <v>2</v>
      </c>
      <c r="AY4282">
        <f t="shared" si="134"/>
        <v>43</v>
      </c>
      <c r="AZ4282">
        <f t="shared" si="135"/>
        <v>3</v>
      </c>
    </row>
    <row r="4283" spans="1:52" ht="55.2">
      <c r="A4283" s="3" t="s">
        <v>4327</v>
      </c>
      <c r="B4283">
        <v>5</v>
      </c>
      <c r="P4283">
        <v>2</v>
      </c>
      <c r="AY4283">
        <f t="shared" si="134"/>
        <v>43</v>
      </c>
      <c r="AZ4283">
        <f t="shared" si="135"/>
        <v>3</v>
      </c>
    </row>
    <row r="4284" spans="1:52" ht="55.2">
      <c r="A4284" s="3" t="s">
        <v>4328</v>
      </c>
      <c r="B4284">
        <v>5</v>
      </c>
      <c r="P4284">
        <v>2</v>
      </c>
      <c r="AY4284">
        <f t="shared" si="134"/>
        <v>43</v>
      </c>
      <c r="AZ4284">
        <f t="shared" si="135"/>
        <v>3</v>
      </c>
    </row>
    <row r="4285" spans="1:52" ht="55.2">
      <c r="A4285" s="3" t="s">
        <v>4329</v>
      </c>
      <c r="B4285">
        <v>5</v>
      </c>
      <c r="P4285">
        <v>2</v>
      </c>
      <c r="AY4285">
        <f t="shared" si="134"/>
        <v>43</v>
      </c>
      <c r="AZ4285">
        <f t="shared" si="135"/>
        <v>3</v>
      </c>
    </row>
    <row r="4286" spans="1:52" ht="55.2">
      <c r="A4286" s="3" t="s">
        <v>4330</v>
      </c>
      <c r="B4286">
        <v>5</v>
      </c>
      <c r="P4286">
        <v>2</v>
      </c>
      <c r="AY4286">
        <f t="shared" si="134"/>
        <v>43</v>
      </c>
      <c r="AZ4286">
        <f t="shared" si="135"/>
        <v>3</v>
      </c>
    </row>
    <row r="4287" spans="1:52" ht="55.2">
      <c r="A4287" s="3" t="s">
        <v>4331</v>
      </c>
      <c r="B4287">
        <v>5</v>
      </c>
      <c r="P4287">
        <v>2</v>
      </c>
      <c r="AY4287">
        <f t="shared" si="134"/>
        <v>43</v>
      </c>
      <c r="AZ4287">
        <f t="shared" si="135"/>
        <v>3</v>
      </c>
    </row>
    <row r="4288" spans="1:52" ht="55.2">
      <c r="A4288" s="3" t="s">
        <v>4332</v>
      </c>
      <c r="B4288">
        <v>5</v>
      </c>
      <c r="P4288">
        <v>2</v>
      </c>
      <c r="AY4288">
        <f t="shared" si="134"/>
        <v>43</v>
      </c>
      <c r="AZ4288">
        <f t="shared" si="135"/>
        <v>3</v>
      </c>
    </row>
    <row r="4289" spans="1:52" ht="55.2">
      <c r="A4289" s="3" t="s">
        <v>4333</v>
      </c>
      <c r="B4289">
        <v>5</v>
      </c>
      <c r="P4289">
        <v>2</v>
      </c>
      <c r="AY4289">
        <f t="shared" si="134"/>
        <v>43</v>
      </c>
      <c r="AZ4289">
        <f t="shared" si="135"/>
        <v>3</v>
      </c>
    </row>
    <row r="4290" spans="1:52" ht="55.2">
      <c r="A4290" s="3" t="s">
        <v>4334</v>
      </c>
      <c r="B4290">
        <v>5</v>
      </c>
      <c r="P4290">
        <v>2</v>
      </c>
      <c r="AY4290">
        <f t="shared" si="134"/>
        <v>43</v>
      </c>
      <c r="AZ4290">
        <f t="shared" si="135"/>
        <v>3</v>
      </c>
    </row>
    <row r="4291" spans="1:52" ht="55.2">
      <c r="A4291" s="3" t="s">
        <v>4335</v>
      </c>
      <c r="B4291">
        <v>5</v>
      </c>
      <c r="P4291">
        <v>2</v>
      </c>
      <c r="AY4291">
        <f t="shared" si="134"/>
        <v>43</v>
      </c>
      <c r="AZ4291">
        <f t="shared" si="135"/>
        <v>3</v>
      </c>
    </row>
    <row r="4292" spans="1:52" ht="55.2">
      <c r="A4292" s="3" t="s">
        <v>4336</v>
      </c>
      <c r="B4292">
        <v>5</v>
      </c>
      <c r="P4292">
        <v>2</v>
      </c>
      <c r="AY4292">
        <f t="shared" si="134"/>
        <v>43</v>
      </c>
      <c r="AZ4292">
        <f t="shared" si="135"/>
        <v>3</v>
      </c>
    </row>
    <row r="4293" spans="1:52" ht="55.2">
      <c r="A4293" s="3" t="s">
        <v>4337</v>
      </c>
      <c r="B4293">
        <v>5</v>
      </c>
      <c r="P4293">
        <v>2</v>
      </c>
      <c r="AY4293">
        <f t="shared" si="134"/>
        <v>43</v>
      </c>
      <c r="AZ4293">
        <f t="shared" si="135"/>
        <v>3</v>
      </c>
    </row>
    <row r="4294" spans="1:52" ht="55.2">
      <c r="A4294" s="3" t="s">
        <v>4338</v>
      </c>
      <c r="B4294">
        <v>5</v>
      </c>
      <c r="P4294">
        <v>2</v>
      </c>
      <c r="AY4294">
        <f t="shared" si="134"/>
        <v>43</v>
      </c>
      <c r="AZ4294">
        <f t="shared" si="135"/>
        <v>3</v>
      </c>
    </row>
    <row r="4295" spans="1:52" ht="55.2">
      <c r="A4295" s="3" t="s">
        <v>4339</v>
      </c>
      <c r="B4295">
        <v>5</v>
      </c>
      <c r="P4295">
        <v>2</v>
      </c>
      <c r="AY4295">
        <f t="shared" si="134"/>
        <v>43</v>
      </c>
      <c r="AZ4295">
        <f t="shared" si="135"/>
        <v>3</v>
      </c>
    </row>
    <row r="4296" spans="1:52" ht="55.2">
      <c r="A4296" s="3" t="s">
        <v>4340</v>
      </c>
      <c r="B4296">
        <v>5</v>
      </c>
      <c r="P4296">
        <v>2</v>
      </c>
      <c r="AY4296">
        <f t="shared" si="134"/>
        <v>43</v>
      </c>
      <c r="AZ4296">
        <f t="shared" si="135"/>
        <v>3</v>
      </c>
    </row>
    <row r="4297" spans="1:52" ht="55.2">
      <c r="A4297" s="3" t="s">
        <v>4341</v>
      </c>
      <c r="B4297">
        <v>5</v>
      </c>
      <c r="P4297">
        <v>2</v>
      </c>
      <c r="AY4297">
        <f t="shared" si="134"/>
        <v>43</v>
      </c>
      <c r="AZ4297">
        <f t="shared" si="135"/>
        <v>3</v>
      </c>
    </row>
    <row r="4298" spans="1:52" ht="55.2">
      <c r="A4298" s="3" t="s">
        <v>4342</v>
      </c>
      <c r="B4298">
        <v>5</v>
      </c>
      <c r="P4298">
        <v>2</v>
      </c>
      <c r="AY4298">
        <f t="shared" si="134"/>
        <v>43</v>
      </c>
      <c r="AZ4298">
        <f t="shared" si="135"/>
        <v>3</v>
      </c>
    </row>
    <row r="4299" spans="1:52" ht="55.2">
      <c r="A4299" s="3" t="s">
        <v>4343</v>
      </c>
      <c r="B4299">
        <v>5</v>
      </c>
      <c r="P4299">
        <v>2</v>
      </c>
      <c r="AY4299">
        <f t="shared" si="134"/>
        <v>43</v>
      </c>
      <c r="AZ4299">
        <f t="shared" si="135"/>
        <v>3</v>
      </c>
    </row>
    <row r="4300" spans="1:52" ht="55.2">
      <c r="A4300" s="3" t="s">
        <v>4344</v>
      </c>
      <c r="B4300">
        <v>5</v>
      </c>
      <c r="P4300">
        <v>2</v>
      </c>
      <c r="AY4300">
        <f t="shared" si="134"/>
        <v>43</v>
      </c>
      <c r="AZ4300">
        <f t="shared" si="135"/>
        <v>3</v>
      </c>
    </row>
    <row r="4301" spans="1:52" ht="55.2">
      <c r="A4301" s="3" t="s">
        <v>4345</v>
      </c>
      <c r="B4301">
        <v>5</v>
      </c>
      <c r="P4301">
        <v>2</v>
      </c>
      <c r="AY4301">
        <f t="shared" si="134"/>
        <v>43</v>
      </c>
      <c r="AZ4301">
        <f t="shared" si="135"/>
        <v>3</v>
      </c>
    </row>
    <row r="4302" spans="1:52" ht="55.2">
      <c r="A4302" s="3" t="s">
        <v>4346</v>
      </c>
      <c r="B4302">
        <v>5</v>
      </c>
      <c r="P4302">
        <v>2</v>
      </c>
      <c r="AY4302">
        <f t="shared" si="134"/>
        <v>43</v>
      </c>
      <c r="AZ4302">
        <f t="shared" si="135"/>
        <v>3</v>
      </c>
    </row>
    <row r="4303" spans="1:52" ht="55.2">
      <c r="A4303" s="3" t="s">
        <v>4347</v>
      </c>
      <c r="B4303">
        <v>5</v>
      </c>
      <c r="P4303">
        <v>2</v>
      </c>
      <c r="AY4303">
        <f t="shared" si="134"/>
        <v>43</v>
      </c>
      <c r="AZ4303">
        <f t="shared" si="135"/>
        <v>3</v>
      </c>
    </row>
    <row r="4304" spans="1:52" ht="55.2">
      <c r="A4304" s="3" t="s">
        <v>4348</v>
      </c>
      <c r="B4304">
        <v>5</v>
      </c>
      <c r="P4304">
        <v>2</v>
      </c>
      <c r="AY4304">
        <f t="shared" si="134"/>
        <v>43</v>
      </c>
      <c r="AZ4304">
        <f t="shared" si="135"/>
        <v>3</v>
      </c>
    </row>
    <row r="4305" spans="1:52" ht="55.2">
      <c r="A4305" s="3" t="s">
        <v>4349</v>
      </c>
      <c r="B4305">
        <v>5</v>
      </c>
      <c r="P4305">
        <v>2</v>
      </c>
      <c r="AY4305">
        <f t="shared" si="134"/>
        <v>43</v>
      </c>
      <c r="AZ4305">
        <f t="shared" si="135"/>
        <v>3</v>
      </c>
    </row>
    <row r="4306" spans="1:52" ht="55.2">
      <c r="A4306" s="3" t="s">
        <v>4350</v>
      </c>
      <c r="B4306">
        <v>5</v>
      </c>
      <c r="K4306">
        <v>11</v>
      </c>
      <c r="AY4306">
        <f t="shared" si="134"/>
        <v>43</v>
      </c>
      <c r="AZ4306">
        <f t="shared" si="135"/>
        <v>3</v>
      </c>
    </row>
    <row r="4307" spans="1:52" ht="55.2">
      <c r="A4307" s="3" t="s">
        <v>4351</v>
      </c>
      <c r="B4307">
        <v>5</v>
      </c>
      <c r="K4307">
        <v>11</v>
      </c>
      <c r="AY4307">
        <f t="shared" si="134"/>
        <v>43</v>
      </c>
      <c r="AZ4307">
        <f t="shared" si="135"/>
        <v>3</v>
      </c>
    </row>
    <row r="4308" spans="1:52" ht="55.2">
      <c r="A4308" s="3" t="s">
        <v>4352</v>
      </c>
      <c r="B4308">
        <v>5</v>
      </c>
      <c r="K4308">
        <v>11</v>
      </c>
      <c r="AY4308">
        <f t="shared" si="134"/>
        <v>43</v>
      </c>
      <c r="AZ4308">
        <f t="shared" si="135"/>
        <v>3</v>
      </c>
    </row>
    <row r="4309" spans="1:52" ht="55.2">
      <c r="A4309" s="3" t="s">
        <v>4353</v>
      </c>
      <c r="B4309">
        <v>5</v>
      </c>
      <c r="K4309">
        <v>11</v>
      </c>
      <c r="AY4309">
        <f t="shared" si="134"/>
        <v>43</v>
      </c>
      <c r="AZ4309">
        <f t="shared" si="135"/>
        <v>3</v>
      </c>
    </row>
    <row r="4310" spans="1:52" ht="55.2">
      <c r="A4310" s="3" t="s">
        <v>4354</v>
      </c>
      <c r="B4310">
        <v>5</v>
      </c>
      <c r="K4310">
        <v>11</v>
      </c>
      <c r="AY4310">
        <f t="shared" si="134"/>
        <v>43</v>
      </c>
      <c r="AZ4310">
        <f t="shared" si="135"/>
        <v>3</v>
      </c>
    </row>
    <row r="4311" spans="1:52" ht="55.2">
      <c r="A4311" s="3" t="s">
        <v>4355</v>
      </c>
      <c r="B4311">
        <v>5</v>
      </c>
      <c r="K4311">
        <v>11</v>
      </c>
      <c r="AY4311">
        <f t="shared" si="134"/>
        <v>43</v>
      </c>
      <c r="AZ4311">
        <f t="shared" si="135"/>
        <v>3</v>
      </c>
    </row>
    <row r="4312" spans="1:52" ht="55.2">
      <c r="A4312" s="3" t="s">
        <v>4356</v>
      </c>
      <c r="B4312">
        <v>5</v>
      </c>
      <c r="K4312">
        <v>11</v>
      </c>
      <c r="AY4312">
        <f t="shared" si="134"/>
        <v>43</v>
      </c>
      <c r="AZ4312">
        <f t="shared" si="135"/>
        <v>3</v>
      </c>
    </row>
    <row r="4313" spans="1:52" ht="55.2">
      <c r="A4313" s="3" t="s">
        <v>4357</v>
      </c>
      <c r="B4313">
        <v>5</v>
      </c>
      <c r="K4313">
        <v>11</v>
      </c>
      <c r="AY4313">
        <f t="shared" si="134"/>
        <v>43</v>
      </c>
      <c r="AZ4313">
        <f t="shared" si="135"/>
        <v>3</v>
      </c>
    </row>
    <row r="4314" spans="1:52" ht="55.2">
      <c r="A4314" s="3" t="s">
        <v>4358</v>
      </c>
      <c r="B4314">
        <v>5</v>
      </c>
      <c r="K4314">
        <v>11</v>
      </c>
      <c r="AY4314">
        <f t="shared" si="134"/>
        <v>43</v>
      </c>
      <c r="AZ4314">
        <f t="shared" si="135"/>
        <v>3</v>
      </c>
    </row>
    <row r="4315" spans="1:52" ht="55.2">
      <c r="A4315" s="3" t="s">
        <v>4359</v>
      </c>
      <c r="B4315">
        <v>5</v>
      </c>
      <c r="K4315">
        <v>11</v>
      </c>
      <c r="AY4315">
        <f t="shared" si="134"/>
        <v>43</v>
      </c>
      <c r="AZ4315">
        <f t="shared" si="135"/>
        <v>3</v>
      </c>
    </row>
    <row r="4316" spans="1:52" ht="55.2">
      <c r="A4316" s="3" t="s">
        <v>4360</v>
      </c>
      <c r="B4316">
        <v>5</v>
      </c>
      <c r="K4316">
        <v>11</v>
      </c>
      <c r="AY4316">
        <f t="shared" si="134"/>
        <v>43</v>
      </c>
      <c r="AZ4316">
        <f t="shared" si="135"/>
        <v>3</v>
      </c>
    </row>
    <row r="4317" spans="1:52" ht="55.2">
      <c r="A4317" s="3" t="s">
        <v>4361</v>
      </c>
      <c r="B4317">
        <v>5</v>
      </c>
      <c r="K4317">
        <v>11</v>
      </c>
      <c r="AY4317">
        <f t="shared" si="134"/>
        <v>43</v>
      </c>
      <c r="AZ4317">
        <f t="shared" si="135"/>
        <v>3</v>
      </c>
    </row>
    <row r="4318" spans="1:52" ht="55.2">
      <c r="A4318" s="3" t="s">
        <v>4362</v>
      </c>
      <c r="B4318">
        <v>5</v>
      </c>
      <c r="K4318">
        <v>11</v>
      </c>
      <c r="AY4318">
        <f t="shared" si="134"/>
        <v>43</v>
      </c>
      <c r="AZ4318">
        <f t="shared" si="135"/>
        <v>3</v>
      </c>
    </row>
    <row r="4319" spans="1:52" ht="55.2">
      <c r="A4319" s="3" t="s">
        <v>4363</v>
      </c>
      <c r="B4319">
        <v>5</v>
      </c>
      <c r="K4319">
        <v>11</v>
      </c>
      <c r="AY4319">
        <f t="shared" si="134"/>
        <v>43</v>
      </c>
      <c r="AZ4319">
        <f t="shared" si="135"/>
        <v>3</v>
      </c>
    </row>
    <row r="4320" spans="1:52" ht="55.2">
      <c r="A4320" s="3" t="s">
        <v>4364</v>
      </c>
      <c r="B4320">
        <v>5</v>
      </c>
      <c r="K4320">
        <v>11</v>
      </c>
      <c r="AY4320">
        <f t="shared" si="134"/>
        <v>43</v>
      </c>
      <c r="AZ4320">
        <f t="shared" si="135"/>
        <v>3</v>
      </c>
    </row>
    <row r="4321" spans="1:52" ht="55.2">
      <c r="A4321" s="3" t="s">
        <v>4365</v>
      </c>
      <c r="B4321">
        <v>5</v>
      </c>
      <c r="K4321">
        <v>11</v>
      </c>
      <c r="AY4321">
        <f t="shared" ref="AY4321:AY4384" si="136">COUNTBLANK(F4321:AW4321)</f>
        <v>43</v>
      </c>
      <c r="AZ4321">
        <f t="shared" ref="AZ4321:AZ4384" si="137">COUNTBLANK(B4321:E4321)</f>
        <v>3</v>
      </c>
    </row>
    <row r="4322" spans="1:52" ht="55.2">
      <c r="A4322" s="3" t="s">
        <v>4366</v>
      </c>
      <c r="B4322">
        <v>5</v>
      </c>
      <c r="K4322">
        <v>11</v>
      </c>
      <c r="AY4322">
        <f t="shared" si="136"/>
        <v>43</v>
      </c>
      <c r="AZ4322">
        <f t="shared" si="137"/>
        <v>3</v>
      </c>
    </row>
    <row r="4323" spans="1:52" ht="55.2">
      <c r="A4323" s="3" t="s">
        <v>4367</v>
      </c>
      <c r="B4323">
        <v>5</v>
      </c>
      <c r="K4323">
        <v>11</v>
      </c>
      <c r="AY4323">
        <f t="shared" si="136"/>
        <v>43</v>
      </c>
      <c r="AZ4323">
        <f t="shared" si="137"/>
        <v>3</v>
      </c>
    </row>
    <row r="4324" spans="1:52" ht="55.2">
      <c r="A4324" s="3" t="s">
        <v>4368</v>
      </c>
      <c r="B4324">
        <v>5</v>
      </c>
      <c r="K4324">
        <v>11</v>
      </c>
      <c r="AY4324">
        <f t="shared" si="136"/>
        <v>43</v>
      </c>
      <c r="AZ4324">
        <f t="shared" si="137"/>
        <v>3</v>
      </c>
    </row>
    <row r="4325" spans="1:52" ht="55.2">
      <c r="A4325" s="3" t="s">
        <v>4369</v>
      </c>
      <c r="B4325">
        <v>5</v>
      </c>
      <c r="K4325">
        <v>11</v>
      </c>
      <c r="AY4325">
        <f t="shared" si="136"/>
        <v>43</v>
      </c>
      <c r="AZ4325">
        <f t="shared" si="137"/>
        <v>3</v>
      </c>
    </row>
    <row r="4326" spans="1:52" ht="55.2">
      <c r="A4326" s="3" t="s">
        <v>4370</v>
      </c>
      <c r="B4326">
        <v>5</v>
      </c>
      <c r="K4326">
        <v>11</v>
      </c>
      <c r="AY4326">
        <f t="shared" si="136"/>
        <v>43</v>
      </c>
      <c r="AZ4326">
        <f t="shared" si="137"/>
        <v>3</v>
      </c>
    </row>
    <row r="4327" spans="1:52" ht="55.2">
      <c r="A4327" s="3" t="s">
        <v>4371</v>
      </c>
      <c r="B4327">
        <v>5</v>
      </c>
      <c r="K4327">
        <v>11</v>
      </c>
      <c r="AY4327">
        <f t="shared" si="136"/>
        <v>43</v>
      </c>
      <c r="AZ4327">
        <f t="shared" si="137"/>
        <v>3</v>
      </c>
    </row>
    <row r="4328" spans="1:52" ht="55.2">
      <c r="A4328" s="3" t="s">
        <v>4372</v>
      </c>
      <c r="B4328">
        <v>5</v>
      </c>
      <c r="K4328">
        <v>11</v>
      </c>
      <c r="AY4328">
        <f t="shared" si="136"/>
        <v>43</v>
      </c>
      <c r="AZ4328">
        <f t="shared" si="137"/>
        <v>3</v>
      </c>
    </row>
    <row r="4329" spans="1:52" ht="55.2">
      <c r="A4329" s="3" t="s">
        <v>4373</v>
      </c>
      <c r="B4329">
        <v>5</v>
      </c>
      <c r="AW4329">
        <v>13</v>
      </c>
      <c r="AY4329">
        <f t="shared" si="136"/>
        <v>43</v>
      </c>
      <c r="AZ4329">
        <f t="shared" si="137"/>
        <v>3</v>
      </c>
    </row>
    <row r="4330" spans="1:52" ht="55.2">
      <c r="A4330" s="3" t="s">
        <v>4374</v>
      </c>
      <c r="B4330">
        <v>5</v>
      </c>
      <c r="J4330">
        <v>43</v>
      </c>
      <c r="AY4330">
        <f t="shared" si="136"/>
        <v>43</v>
      </c>
      <c r="AZ4330">
        <f t="shared" si="137"/>
        <v>3</v>
      </c>
    </row>
    <row r="4331" spans="1:52" ht="55.2">
      <c r="A4331" s="3" t="s">
        <v>4375</v>
      </c>
      <c r="B4331">
        <v>5</v>
      </c>
      <c r="C4331">
        <v>5</v>
      </c>
      <c r="J4331">
        <v>43</v>
      </c>
      <c r="AY4331">
        <f t="shared" si="136"/>
        <v>43</v>
      </c>
      <c r="AZ4331">
        <f t="shared" si="137"/>
        <v>2</v>
      </c>
    </row>
    <row r="4332" spans="1:52" ht="55.2">
      <c r="A4332" s="3" t="s">
        <v>4376</v>
      </c>
      <c r="B4332">
        <v>5</v>
      </c>
      <c r="C4332">
        <v>5</v>
      </c>
      <c r="J4332">
        <v>43</v>
      </c>
      <c r="AY4332">
        <f t="shared" si="136"/>
        <v>43</v>
      </c>
      <c r="AZ4332">
        <f t="shared" si="137"/>
        <v>2</v>
      </c>
    </row>
    <row r="4333" spans="1:52" ht="55.2">
      <c r="A4333" s="3" t="s">
        <v>4377</v>
      </c>
      <c r="B4333">
        <v>5</v>
      </c>
      <c r="C4333">
        <v>5</v>
      </c>
      <c r="J4333">
        <v>43</v>
      </c>
      <c r="AY4333">
        <f t="shared" si="136"/>
        <v>43</v>
      </c>
      <c r="AZ4333">
        <f t="shared" si="137"/>
        <v>2</v>
      </c>
    </row>
    <row r="4334" spans="1:52" ht="55.2">
      <c r="A4334" s="3" t="s">
        <v>4378</v>
      </c>
      <c r="B4334">
        <v>5</v>
      </c>
      <c r="C4334">
        <v>5</v>
      </c>
      <c r="J4334">
        <v>43</v>
      </c>
      <c r="AY4334">
        <f t="shared" si="136"/>
        <v>43</v>
      </c>
      <c r="AZ4334">
        <f t="shared" si="137"/>
        <v>2</v>
      </c>
    </row>
    <row r="4335" spans="1:52" ht="55.2">
      <c r="A4335" s="3" t="s">
        <v>4379</v>
      </c>
      <c r="B4335">
        <v>5</v>
      </c>
      <c r="C4335">
        <v>5</v>
      </c>
      <c r="J4335">
        <v>43</v>
      </c>
      <c r="AY4335">
        <f t="shared" si="136"/>
        <v>43</v>
      </c>
      <c r="AZ4335">
        <f t="shared" si="137"/>
        <v>2</v>
      </c>
    </row>
    <row r="4336" spans="1:52" ht="55.2">
      <c r="A4336" s="3" t="s">
        <v>4380</v>
      </c>
      <c r="B4336">
        <v>5</v>
      </c>
      <c r="C4336">
        <v>5</v>
      </c>
      <c r="J4336">
        <v>43</v>
      </c>
      <c r="AY4336">
        <f t="shared" si="136"/>
        <v>43</v>
      </c>
      <c r="AZ4336">
        <f t="shared" si="137"/>
        <v>2</v>
      </c>
    </row>
    <row r="4337" spans="1:52" ht="55.2">
      <c r="A4337" s="3" t="s">
        <v>4381</v>
      </c>
      <c r="B4337">
        <v>5</v>
      </c>
      <c r="C4337">
        <v>5</v>
      </c>
      <c r="J4337">
        <v>43</v>
      </c>
      <c r="AY4337">
        <f t="shared" si="136"/>
        <v>43</v>
      </c>
      <c r="AZ4337">
        <f t="shared" si="137"/>
        <v>2</v>
      </c>
    </row>
    <row r="4338" spans="1:52" ht="55.2">
      <c r="A4338" s="3" t="s">
        <v>4382</v>
      </c>
      <c r="B4338">
        <v>5</v>
      </c>
      <c r="C4338">
        <v>5</v>
      </c>
      <c r="L4338">
        <v>5</v>
      </c>
      <c r="AY4338">
        <f t="shared" si="136"/>
        <v>43</v>
      </c>
      <c r="AZ4338">
        <f t="shared" si="137"/>
        <v>2</v>
      </c>
    </row>
    <row r="4339" spans="1:52" ht="55.2">
      <c r="A4339" s="3" t="s">
        <v>4383</v>
      </c>
      <c r="B4339">
        <v>5</v>
      </c>
      <c r="C4339">
        <v>5</v>
      </c>
      <c r="L4339">
        <v>5</v>
      </c>
      <c r="AY4339">
        <f t="shared" si="136"/>
        <v>43</v>
      </c>
      <c r="AZ4339">
        <f t="shared" si="137"/>
        <v>2</v>
      </c>
    </row>
    <row r="4340" spans="1:52" ht="55.2">
      <c r="A4340" s="3" t="s">
        <v>4384</v>
      </c>
      <c r="B4340">
        <v>5</v>
      </c>
      <c r="C4340">
        <v>5</v>
      </c>
      <c r="L4340">
        <v>5</v>
      </c>
      <c r="AY4340">
        <f t="shared" si="136"/>
        <v>43</v>
      </c>
      <c r="AZ4340">
        <f t="shared" si="137"/>
        <v>2</v>
      </c>
    </row>
    <row r="4341" spans="1:52" ht="55.2">
      <c r="A4341" s="3" t="s">
        <v>4385</v>
      </c>
      <c r="B4341">
        <v>5</v>
      </c>
      <c r="C4341">
        <v>5</v>
      </c>
      <c r="L4341">
        <v>5</v>
      </c>
      <c r="AY4341">
        <f t="shared" si="136"/>
        <v>43</v>
      </c>
      <c r="AZ4341">
        <f t="shared" si="137"/>
        <v>2</v>
      </c>
    </row>
    <row r="4342" spans="1:52" ht="55.2">
      <c r="A4342" s="3" t="s">
        <v>4386</v>
      </c>
      <c r="B4342">
        <v>5</v>
      </c>
      <c r="C4342">
        <v>5</v>
      </c>
      <c r="L4342">
        <v>5</v>
      </c>
      <c r="AY4342">
        <f t="shared" si="136"/>
        <v>43</v>
      </c>
      <c r="AZ4342">
        <f t="shared" si="137"/>
        <v>2</v>
      </c>
    </row>
    <row r="4343" spans="1:52" ht="55.2">
      <c r="A4343" s="3" t="s">
        <v>4387</v>
      </c>
      <c r="B4343">
        <v>5</v>
      </c>
      <c r="C4343">
        <v>5</v>
      </c>
      <c r="L4343">
        <v>5</v>
      </c>
      <c r="AY4343">
        <f t="shared" si="136"/>
        <v>43</v>
      </c>
      <c r="AZ4343">
        <f t="shared" si="137"/>
        <v>2</v>
      </c>
    </row>
    <row r="4344" spans="1:52" ht="55.2">
      <c r="A4344" s="3" t="s">
        <v>4388</v>
      </c>
      <c r="B4344">
        <v>5</v>
      </c>
      <c r="C4344">
        <v>5</v>
      </c>
      <c r="L4344">
        <v>5</v>
      </c>
      <c r="AY4344">
        <f t="shared" si="136"/>
        <v>43</v>
      </c>
      <c r="AZ4344">
        <f t="shared" si="137"/>
        <v>2</v>
      </c>
    </row>
    <row r="4345" spans="1:52" ht="55.2">
      <c r="A4345" s="3" t="s">
        <v>4389</v>
      </c>
      <c r="B4345">
        <v>5</v>
      </c>
      <c r="C4345">
        <v>5</v>
      </c>
      <c r="L4345">
        <v>5</v>
      </c>
      <c r="AY4345">
        <f t="shared" si="136"/>
        <v>43</v>
      </c>
      <c r="AZ4345">
        <f t="shared" si="137"/>
        <v>2</v>
      </c>
    </row>
    <row r="4346" spans="1:52" ht="55.2">
      <c r="A4346" s="3" t="s">
        <v>4390</v>
      </c>
      <c r="B4346">
        <v>5</v>
      </c>
      <c r="C4346">
        <v>5</v>
      </c>
      <c r="L4346">
        <v>5</v>
      </c>
      <c r="AY4346">
        <f t="shared" si="136"/>
        <v>43</v>
      </c>
      <c r="AZ4346">
        <f t="shared" si="137"/>
        <v>2</v>
      </c>
    </row>
    <row r="4347" spans="1:52" ht="55.2">
      <c r="A4347" s="3" t="s">
        <v>4391</v>
      </c>
      <c r="B4347">
        <v>5</v>
      </c>
      <c r="C4347">
        <v>5</v>
      </c>
      <c r="L4347">
        <v>5</v>
      </c>
      <c r="AY4347">
        <f t="shared" si="136"/>
        <v>43</v>
      </c>
      <c r="AZ4347">
        <f t="shared" si="137"/>
        <v>2</v>
      </c>
    </row>
    <row r="4348" spans="1:52" ht="55.2">
      <c r="A4348" s="3" t="s">
        <v>4392</v>
      </c>
      <c r="B4348">
        <v>5</v>
      </c>
      <c r="C4348">
        <v>5</v>
      </c>
      <c r="L4348">
        <v>5</v>
      </c>
      <c r="AY4348">
        <f t="shared" si="136"/>
        <v>43</v>
      </c>
      <c r="AZ4348">
        <f t="shared" si="137"/>
        <v>2</v>
      </c>
    </row>
    <row r="4349" spans="1:52" ht="55.2">
      <c r="A4349" s="3" t="s">
        <v>4393</v>
      </c>
      <c r="B4349">
        <v>5</v>
      </c>
      <c r="C4349">
        <v>5</v>
      </c>
      <c r="L4349">
        <v>5</v>
      </c>
      <c r="AY4349">
        <f t="shared" si="136"/>
        <v>43</v>
      </c>
      <c r="AZ4349">
        <f t="shared" si="137"/>
        <v>2</v>
      </c>
    </row>
    <row r="4350" spans="1:52" ht="55.2">
      <c r="A4350" s="3" t="s">
        <v>4394</v>
      </c>
      <c r="B4350">
        <v>5</v>
      </c>
      <c r="C4350">
        <v>5</v>
      </c>
      <c r="L4350">
        <v>5</v>
      </c>
      <c r="AY4350">
        <f t="shared" si="136"/>
        <v>43</v>
      </c>
      <c r="AZ4350">
        <f t="shared" si="137"/>
        <v>2</v>
      </c>
    </row>
    <row r="4351" spans="1:52" ht="55.2">
      <c r="A4351" s="3" t="s">
        <v>4395</v>
      </c>
      <c r="B4351">
        <v>5</v>
      </c>
      <c r="C4351">
        <v>5</v>
      </c>
      <c r="L4351">
        <v>5</v>
      </c>
      <c r="AY4351">
        <f t="shared" si="136"/>
        <v>43</v>
      </c>
      <c r="AZ4351">
        <f t="shared" si="137"/>
        <v>2</v>
      </c>
    </row>
    <row r="4352" spans="1:52" ht="55.2">
      <c r="A4352" s="3" t="s">
        <v>4396</v>
      </c>
      <c r="B4352">
        <v>5</v>
      </c>
      <c r="C4352">
        <v>5</v>
      </c>
      <c r="L4352">
        <v>5</v>
      </c>
      <c r="AY4352">
        <f t="shared" si="136"/>
        <v>43</v>
      </c>
      <c r="AZ4352">
        <f t="shared" si="137"/>
        <v>2</v>
      </c>
    </row>
    <row r="4353" spans="1:52" ht="55.2">
      <c r="A4353" s="3" t="s">
        <v>4397</v>
      </c>
      <c r="B4353">
        <v>5</v>
      </c>
      <c r="C4353">
        <v>5</v>
      </c>
      <c r="L4353">
        <v>5</v>
      </c>
      <c r="AY4353">
        <f t="shared" si="136"/>
        <v>43</v>
      </c>
      <c r="AZ4353">
        <f t="shared" si="137"/>
        <v>2</v>
      </c>
    </row>
    <row r="4354" spans="1:52" ht="55.2">
      <c r="A4354" s="3" t="s">
        <v>4398</v>
      </c>
      <c r="B4354">
        <v>5</v>
      </c>
      <c r="C4354">
        <v>5</v>
      </c>
      <c r="L4354">
        <v>5</v>
      </c>
      <c r="AY4354">
        <f t="shared" si="136"/>
        <v>43</v>
      </c>
      <c r="AZ4354">
        <f t="shared" si="137"/>
        <v>2</v>
      </c>
    </row>
    <row r="4355" spans="1:52" ht="55.2">
      <c r="A4355" s="3" t="s">
        <v>4399</v>
      </c>
      <c r="B4355">
        <v>5</v>
      </c>
      <c r="C4355">
        <v>5</v>
      </c>
      <c r="L4355">
        <v>5</v>
      </c>
      <c r="AY4355">
        <f t="shared" si="136"/>
        <v>43</v>
      </c>
      <c r="AZ4355">
        <f t="shared" si="137"/>
        <v>2</v>
      </c>
    </row>
    <row r="4356" spans="1:52" ht="55.2">
      <c r="A4356" s="3" t="s">
        <v>4400</v>
      </c>
      <c r="B4356">
        <v>5</v>
      </c>
      <c r="C4356">
        <v>5</v>
      </c>
      <c r="L4356">
        <v>5</v>
      </c>
      <c r="AY4356">
        <f t="shared" si="136"/>
        <v>43</v>
      </c>
      <c r="AZ4356">
        <f t="shared" si="137"/>
        <v>2</v>
      </c>
    </row>
    <row r="4357" spans="1:52" ht="55.2">
      <c r="A4357" s="3" t="s">
        <v>4401</v>
      </c>
      <c r="B4357">
        <v>5</v>
      </c>
      <c r="C4357">
        <v>5</v>
      </c>
      <c r="L4357">
        <v>5</v>
      </c>
      <c r="AY4357">
        <f t="shared" si="136"/>
        <v>43</v>
      </c>
      <c r="AZ4357">
        <f t="shared" si="137"/>
        <v>2</v>
      </c>
    </row>
    <row r="4358" spans="1:52" ht="55.2">
      <c r="A4358" s="3" t="s">
        <v>4402</v>
      </c>
      <c r="B4358">
        <v>5</v>
      </c>
      <c r="C4358">
        <v>5</v>
      </c>
      <c r="L4358">
        <v>5</v>
      </c>
      <c r="AY4358">
        <f t="shared" si="136"/>
        <v>43</v>
      </c>
      <c r="AZ4358">
        <f t="shared" si="137"/>
        <v>2</v>
      </c>
    </row>
    <row r="4359" spans="1:52" ht="55.2">
      <c r="A4359" s="3" t="s">
        <v>4403</v>
      </c>
      <c r="B4359">
        <v>5</v>
      </c>
      <c r="C4359">
        <v>5</v>
      </c>
      <c r="L4359">
        <v>5</v>
      </c>
      <c r="AY4359">
        <f t="shared" si="136"/>
        <v>43</v>
      </c>
      <c r="AZ4359">
        <f t="shared" si="137"/>
        <v>2</v>
      </c>
    </row>
    <row r="4360" spans="1:52" ht="55.2">
      <c r="A4360" s="3" t="s">
        <v>4404</v>
      </c>
      <c r="B4360">
        <v>5</v>
      </c>
      <c r="C4360">
        <v>5</v>
      </c>
      <c r="L4360">
        <v>5</v>
      </c>
      <c r="AY4360">
        <f t="shared" si="136"/>
        <v>43</v>
      </c>
      <c r="AZ4360">
        <f t="shared" si="137"/>
        <v>2</v>
      </c>
    </row>
    <row r="4361" spans="1:52" ht="55.2">
      <c r="A4361" s="3" t="s">
        <v>4405</v>
      </c>
      <c r="B4361">
        <v>5</v>
      </c>
      <c r="C4361">
        <v>5</v>
      </c>
      <c r="L4361">
        <v>5</v>
      </c>
      <c r="AY4361">
        <f t="shared" si="136"/>
        <v>43</v>
      </c>
      <c r="AZ4361">
        <f t="shared" si="137"/>
        <v>2</v>
      </c>
    </row>
    <row r="4362" spans="1:52" ht="55.2">
      <c r="A4362" s="3" t="s">
        <v>4406</v>
      </c>
      <c r="B4362">
        <v>5</v>
      </c>
      <c r="C4362">
        <v>5</v>
      </c>
      <c r="L4362">
        <v>5</v>
      </c>
      <c r="AY4362">
        <f t="shared" si="136"/>
        <v>43</v>
      </c>
      <c r="AZ4362">
        <f t="shared" si="137"/>
        <v>2</v>
      </c>
    </row>
    <row r="4363" spans="1:52" ht="55.2">
      <c r="A4363" s="3" t="s">
        <v>4407</v>
      </c>
      <c r="B4363">
        <v>5</v>
      </c>
      <c r="C4363">
        <v>5</v>
      </c>
      <c r="L4363">
        <v>5</v>
      </c>
      <c r="AY4363">
        <f t="shared" si="136"/>
        <v>43</v>
      </c>
      <c r="AZ4363">
        <f t="shared" si="137"/>
        <v>2</v>
      </c>
    </row>
    <row r="4364" spans="1:52" ht="55.2">
      <c r="A4364" s="3" t="s">
        <v>4408</v>
      </c>
      <c r="B4364">
        <v>5</v>
      </c>
      <c r="C4364">
        <v>5</v>
      </c>
      <c r="L4364">
        <v>5</v>
      </c>
      <c r="AY4364">
        <f t="shared" si="136"/>
        <v>43</v>
      </c>
      <c r="AZ4364">
        <f t="shared" si="137"/>
        <v>2</v>
      </c>
    </row>
    <row r="4365" spans="1:52" ht="55.2">
      <c r="A4365" s="3" t="s">
        <v>4409</v>
      </c>
      <c r="B4365">
        <v>5</v>
      </c>
      <c r="C4365">
        <v>5</v>
      </c>
      <c r="L4365">
        <v>5</v>
      </c>
      <c r="AY4365">
        <f t="shared" si="136"/>
        <v>43</v>
      </c>
      <c r="AZ4365">
        <f t="shared" si="137"/>
        <v>2</v>
      </c>
    </row>
    <row r="4366" spans="1:52" ht="55.2">
      <c r="A4366" s="3" t="s">
        <v>4410</v>
      </c>
      <c r="B4366">
        <v>5</v>
      </c>
      <c r="C4366">
        <v>5</v>
      </c>
      <c r="L4366">
        <v>5</v>
      </c>
      <c r="AY4366">
        <f t="shared" si="136"/>
        <v>43</v>
      </c>
      <c r="AZ4366">
        <f t="shared" si="137"/>
        <v>2</v>
      </c>
    </row>
    <row r="4367" spans="1:52" ht="55.2">
      <c r="A4367" s="3" t="s">
        <v>4411</v>
      </c>
      <c r="B4367">
        <v>5</v>
      </c>
      <c r="C4367">
        <v>5</v>
      </c>
      <c r="L4367">
        <v>5</v>
      </c>
      <c r="AY4367">
        <f t="shared" si="136"/>
        <v>43</v>
      </c>
      <c r="AZ4367">
        <f t="shared" si="137"/>
        <v>2</v>
      </c>
    </row>
    <row r="4368" spans="1:52" ht="55.2">
      <c r="A4368" s="3" t="s">
        <v>4412</v>
      </c>
      <c r="B4368">
        <v>5</v>
      </c>
      <c r="C4368">
        <v>5</v>
      </c>
      <c r="L4368">
        <v>5</v>
      </c>
      <c r="AY4368">
        <f t="shared" si="136"/>
        <v>43</v>
      </c>
      <c r="AZ4368">
        <f t="shared" si="137"/>
        <v>2</v>
      </c>
    </row>
    <row r="4369" spans="1:52" ht="55.2">
      <c r="A4369" s="3" t="s">
        <v>4413</v>
      </c>
      <c r="B4369">
        <v>5</v>
      </c>
      <c r="C4369">
        <v>5</v>
      </c>
      <c r="L4369">
        <v>5</v>
      </c>
      <c r="AY4369">
        <f t="shared" si="136"/>
        <v>43</v>
      </c>
      <c r="AZ4369">
        <f t="shared" si="137"/>
        <v>2</v>
      </c>
    </row>
    <row r="4370" spans="1:52" ht="55.2">
      <c r="A4370" s="3" t="s">
        <v>4414</v>
      </c>
      <c r="B4370">
        <v>5</v>
      </c>
      <c r="C4370">
        <v>5</v>
      </c>
      <c r="L4370">
        <v>5</v>
      </c>
      <c r="AY4370">
        <f t="shared" si="136"/>
        <v>43</v>
      </c>
      <c r="AZ4370">
        <f t="shared" si="137"/>
        <v>2</v>
      </c>
    </row>
    <row r="4371" spans="1:52" ht="55.2">
      <c r="A4371" s="3" t="s">
        <v>4415</v>
      </c>
      <c r="B4371">
        <v>5</v>
      </c>
      <c r="C4371">
        <v>5</v>
      </c>
      <c r="L4371">
        <v>5</v>
      </c>
      <c r="AY4371">
        <f t="shared" si="136"/>
        <v>43</v>
      </c>
      <c r="AZ4371">
        <f t="shared" si="137"/>
        <v>2</v>
      </c>
    </row>
    <row r="4372" spans="1:52" ht="55.2">
      <c r="A4372" s="3" t="s">
        <v>4416</v>
      </c>
      <c r="B4372">
        <v>5</v>
      </c>
      <c r="C4372">
        <v>5</v>
      </c>
      <c r="L4372">
        <v>5</v>
      </c>
      <c r="AY4372">
        <f t="shared" si="136"/>
        <v>43</v>
      </c>
      <c r="AZ4372">
        <f t="shared" si="137"/>
        <v>2</v>
      </c>
    </row>
    <row r="4373" spans="1:52" ht="55.2">
      <c r="A4373" s="3" t="s">
        <v>4417</v>
      </c>
      <c r="B4373">
        <v>5</v>
      </c>
      <c r="C4373">
        <v>5</v>
      </c>
      <c r="L4373">
        <v>5</v>
      </c>
      <c r="AY4373">
        <f t="shared" si="136"/>
        <v>43</v>
      </c>
      <c r="AZ4373">
        <f t="shared" si="137"/>
        <v>2</v>
      </c>
    </row>
    <row r="4374" spans="1:52" ht="55.2">
      <c r="A4374" s="3" t="s">
        <v>4418</v>
      </c>
      <c r="B4374">
        <v>5</v>
      </c>
      <c r="C4374">
        <v>5</v>
      </c>
      <c r="L4374">
        <v>5</v>
      </c>
      <c r="AY4374">
        <f t="shared" si="136"/>
        <v>43</v>
      </c>
      <c r="AZ4374">
        <f t="shared" si="137"/>
        <v>2</v>
      </c>
    </row>
    <row r="4375" spans="1:52" ht="55.2">
      <c r="A4375" s="3" t="s">
        <v>4419</v>
      </c>
      <c r="B4375">
        <v>5</v>
      </c>
      <c r="C4375">
        <v>5</v>
      </c>
      <c r="L4375">
        <v>5</v>
      </c>
      <c r="AY4375">
        <f t="shared" si="136"/>
        <v>43</v>
      </c>
      <c r="AZ4375">
        <f t="shared" si="137"/>
        <v>2</v>
      </c>
    </row>
    <row r="4376" spans="1:52" ht="55.2">
      <c r="A4376" s="3" t="s">
        <v>4420</v>
      </c>
      <c r="B4376">
        <v>5</v>
      </c>
      <c r="C4376">
        <v>5</v>
      </c>
      <c r="L4376">
        <v>5</v>
      </c>
      <c r="AY4376">
        <f t="shared" si="136"/>
        <v>43</v>
      </c>
      <c r="AZ4376">
        <f t="shared" si="137"/>
        <v>2</v>
      </c>
    </row>
    <row r="4377" spans="1:52" ht="55.2">
      <c r="A4377" s="3" t="s">
        <v>4421</v>
      </c>
      <c r="B4377">
        <v>5</v>
      </c>
      <c r="C4377">
        <v>5</v>
      </c>
      <c r="L4377">
        <v>5</v>
      </c>
      <c r="AY4377">
        <f t="shared" si="136"/>
        <v>43</v>
      </c>
      <c r="AZ4377">
        <f t="shared" si="137"/>
        <v>2</v>
      </c>
    </row>
    <row r="4378" spans="1:52" ht="55.2">
      <c r="A4378" s="3" t="s">
        <v>4422</v>
      </c>
      <c r="B4378">
        <v>5</v>
      </c>
      <c r="C4378">
        <v>5</v>
      </c>
      <c r="L4378">
        <v>5</v>
      </c>
      <c r="AY4378">
        <f t="shared" si="136"/>
        <v>43</v>
      </c>
      <c r="AZ4378">
        <f t="shared" si="137"/>
        <v>2</v>
      </c>
    </row>
    <row r="4379" spans="1:52" ht="55.2">
      <c r="A4379" s="3" t="s">
        <v>4423</v>
      </c>
      <c r="B4379">
        <v>5</v>
      </c>
      <c r="C4379">
        <v>5</v>
      </c>
      <c r="L4379">
        <v>5</v>
      </c>
      <c r="AY4379">
        <f t="shared" si="136"/>
        <v>43</v>
      </c>
      <c r="AZ4379">
        <f t="shared" si="137"/>
        <v>2</v>
      </c>
    </row>
    <row r="4380" spans="1:52" ht="55.2">
      <c r="A4380" s="3" t="s">
        <v>4424</v>
      </c>
      <c r="B4380">
        <v>5</v>
      </c>
      <c r="C4380">
        <v>5</v>
      </c>
      <c r="L4380">
        <v>5</v>
      </c>
      <c r="AY4380">
        <f t="shared" si="136"/>
        <v>43</v>
      </c>
      <c r="AZ4380">
        <f t="shared" si="137"/>
        <v>2</v>
      </c>
    </row>
    <row r="4381" spans="1:52" ht="55.2">
      <c r="A4381" s="3" t="s">
        <v>4425</v>
      </c>
      <c r="B4381">
        <v>5</v>
      </c>
      <c r="C4381">
        <v>5</v>
      </c>
      <c r="L4381">
        <v>5</v>
      </c>
      <c r="AY4381">
        <f t="shared" si="136"/>
        <v>43</v>
      </c>
      <c r="AZ4381">
        <f t="shared" si="137"/>
        <v>2</v>
      </c>
    </row>
    <row r="4382" spans="1:52" ht="55.2">
      <c r="A4382" s="3" t="s">
        <v>4426</v>
      </c>
      <c r="B4382">
        <v>5</v>
      </c>
      <c r="C4382">
        <v>5</v>
      </c>
      <c r="L4382">
        <v>5</v>
      </c>
      <c r="AY4382">
        <f t="shared" si="136"/>
        <v>43</v>
      </c>
      <c r="AZ4382">
        <f t="shared" si="137"/>
        <v>2</v>
      </c>
    </row>
    <row r="4383" spans="1:52" ht="55.2">
      <c r="A4383" s="3" t="s">
        <v>4427</v>
      </c>
      <c r="B4383">
        <v>5</v>
      </c>
      <c r="C4383">
        <v>5</v>
      </c>
      <c r="L4383">
        <v>5</v>
      </c>
      <c r="AY4383">
        <f t="shared" si="136"/>
        <v>43</v>
      </c>
      <c r="AZ4383">
        <f t="shared" si="137"/>
        <v>2</v>
      </c>
    </row>
    <row r="4384" spans="1:52" ht="55.2">
      <c r="A4384" s="3" t="s">
        <v>4428</v>
      </c>
      <c r="B4384">
        <v>5</v>
      </c>
      <c r="C4384">
        <v>5</v>
      </c>
      <c r="L4384">
        <v>5</v>
      </c>
      <c r="AY4384">
        <f t="shared" si="136"/>
        <v>43</v>
      </c>
      <c r="AZ4384">
        <f t="shared" si="137"/>
        <v>2</v>
      </c>
    </row>
    <row r="4385" spans="1:52" ht="55.2">
      <c r="A4385" s="3" t="s">
        <v>4429</v>
      </c>
      <c r="B4385">
        <v>5</v>
      </c>
      <c r="C4385">
        <v>5</v>
      </c>
      <c r="L4385">
        <v>5</v>
      </c>
      <c r="AY4385">
        <f t="shared" ref="AY4385:AY4448" si="138">COUNTBLANK(F4385:AW4385)</f>
        <v>43</v>
      </c>
      <c r="AZ4385">
        <f t="shared" ref="AZ4385:AZ4448" si="139">COUNTBLANK(B4385:E4385)</f>
        <v>2</v>
      </c>
    </row>
    <row r="4386" spans="1:52" ht="55.2">
      <c r="A4386" s="3" t="s">
        <v>4430</v>
      </c>
      <c r="B4386">
        <v>5</v>
      </c>
      <c r="C4386">
        <v>5</v>
      </c>
      <c r="L4386">
        <v>5</v>
      </c>
      <c r="AY4386">
        <f t="shared" si="138"/>
        <v>43</v>
      </c>
      <c r="AZ4386">
        <f t="shared" si="139"/>
        <v>2</v>
      </c>
    </row>
    <row r="4387" spans="1:52" ht="55.2">
      <c r="A4387" s="3" t="s">
        <v>4431</v>
      </c>
      <c r="B4387">
        <v>5</v>
      </c>
      <c r="C4387">
        <v>5</v>
      </c>
      <c r="L4387">
        <v>5</v>
      </c>
      <c r="AY4387">
        <f t="shared" si="138"/>
        <v>43</v>
      </c>
      <c r="AZ4387">
        <f t="shared" si="139"/>
        <v>2</v>
      </c>
    </row>
    <row r="4388" spans="1:52" ht="55.2">
      <c r="A4388" s="3" t="s">
        <v>4432</v>
      </c>
      <c r="B4388">
        <v>5</v>
      </c>
      <c r="C4388">
        <v>5</v>
      </c>
      <c r="L4388">
        <v>5</v>
      </c>
      <c r="AY4388">
        <f t="shared" si="138"/>
        <v>43</v>
      </c>
      <c r="AZ4388">
        <f t="shared" si="139"/>
        <v>2</v>
      </c>
    </row>
    <row r="4389" spans="1:52" ht="55.2">
      <c r="A4389" s="3" t="s">
        <v>4433</v>
      </c>
      <c r="B4389">
        <v>5</v>
      </c>
      <c r="C4389">
        <v>5</v>
      </c>
      <c r="L4389">
        <v>5</v>
      </c>
      <c r="AY4389">
        <f t="shared" si="138"/>
        <v>43</v>
      </c>
      <c r="AZ4389">
        <f t="shared" si="139"/>
        <v>2</v>
      </c>
    </row>
    <row r="4390" spans="1:52" ht="55.2">
      <c r="A4390" s="3" t="s">
        <v>4434</v>
      </c>
      <c r="B4390">
        <v>5</v>
      </c>
      <c r="C4390">
        <v>5</v>
      </c>
      <c r="L4390">
        <v>5</v>
      </c>
      <c r="AY4390">
        <f t="shared" si="138"/>
        <v>43</v>
      </c>
      <c r="AZ4390">
        <f t="shared" si="139"/>
        <v>2</v>
      </c>
    </row>
    <row r="4391" spans="1:52" ht="55.2">
      <c r="A4391" s="3" t="s">
        <v>4435</v>
      </c>
      <c r="B4391">
        <v>5</v>
      </c>
      <c r="C4391">
        <v>5</v>
      </c>
      <c r="L4391">
        <v>5</v>
      </c>
      <c r="AY4391">
        <f t="shared" si="138"/>
        <v>43</v>
      </c>
      <c r="AZ4391">
        <f t="shared" si="139"/>
        <v>2</v>
      </c>
    </row>
    <row r="4392" spans="1:52" ht="55.2">
      <c r="A4392" s="3" t="s">
        <v>4436</v>
      </c>
      <c r="B4392">
        <v>5</v>
      </c>
      <c r="C4392">
        <v>5</v>
      </c>
      <c r="L4392">
        <v>5</v>
      </c>
      <c r="AY4392">
        <f t="shared" si="138"/>
        <v>43</v>
      </c>
      <c r="AZ4392">
        <f t="shared" si="139"/>
        <v>2</v>
      </c>
    </row>
    <row r="4393" spans="1:52" ht="55.2">
      <c r="A4393" s="3" t="s">
        <v>4437</v>
      </c>
      <c r="B4393">
        <v>5</v>
      </c>
      <c r="C4393">
        <v>5</v>
      </c>
      <c r="L4393">
        <v>5</v>
      </c>
      <c r="AY4393">
        <f t="shared" si="138"/>
        <v>43</v>
      </c>
      <c r="AZ4393">
        <f t="shared" si="139"/>
        <v>2</v>
      </c>
    </row>
    <row r="4394" spans="1:52" ht="55.2">
      <c r="A4394" s="3" t="s">
        <v>4438</v>
      </c>
      <c r="B4394">
        <v>5</v>
      </c>
      <c r="C4394">
        <v>5</v>
      </c>
      <c r="L4394">
        <v>5</v>
      </c>
      <c r="AY4394">
        <f t="shared" si="138"/>
        <v>43</v>
      </c>
      <c r="AZ4394">
        <f t="shared" si="139"/>
        <v>2</v>
      </c>
    </row>
    <row r="4395" spans="1:52" ht="55.2">
      <c r="A4395" s="3" t="s">
        <v>4439</v>
      </c>
      <c r="B4395">
        <v>5</v>
      </c>
      <c r="C4395">
        <v>5</v>
      </c>
      <c r="L4395">
        <v>5</v>
      </c>
      <c r="AY4395">
        <f t="shared" si="138"/>
        <v>43</v>
      </c>
      <c r="AZ4395">
        <f t="shared" si="139"/>
        <v>2</v>
      </c>
    </row>
    <row r="4396" spans="1:52" ht="55.2">
      <c r="A4396" s="3" t="s">
        <v>4440</v>
      </c>
      <c r="B4396">
        <v>5</v>
      </c>
      <c r="C4396">
        <v>5</v>
      </c>
      <c r="L4396">
        <v>5</v>
      </c>
      <c r="AY4396">
        <f t="shared" si="138"/>
        <v>43</v>
      </c>
      <c r="AZ4396">
        <f t="shared" si="139"/>
        <v>2</v>
      </c>
    </row>
    <row r="4397" spans="1:52" ht="55.2">
      <c r="A4397" s="3" t="s">
        <v>4441</v>
      </c>
      <c r="B4397">
        <v>5</v>
      </c>
      <c r="C4397">
        <v>5</v>
      </c>
      <c r="L4397">
        <v>5</v>
      </c>
      <c r="AY4397">
        <f t="shared" si="138"/>
        <v>43</v>
      </c>
      <c r="AZ4397">
        <f t="shared" si="139"/>
        <v>2</v>
      </c>
    </row>
    <row r="4398" spans="1:52" ht="55.2">
      <c r="A4398" s="3" t="s">
        <v>4442</v>
      </c>
      <c r="B4398">
        <v>5</v>
      </c>
      <c r="C4398">
        <v>5</v>
      </c>
      <c r="L4398">
        <v>5</v>
      </c>
      <c r="AY4398">
        <f t="shared" si="138"/>
        <v>43</v>
      </c>
      <c r="AZ4398">
        <f t="shared" si="139"/>
        <v>2</v>
      </c>
    </row>
    <row r="4399" spans="1:52" ht="55.2">
      <c r="A4399" s="3" t="s">
        <v>4443</v>
      </c>
      <c r="B4399">
        <v>5</v>
      </c>
      <c r="C4399">
        <v>5</v>
      </c>
      <c r="L4399">
        <v>5</v>
      </c>
      <c r="AY4399">
        <f t="shared" si="138"/>
        <v>43</v>
      </c>
      <c r="AZ4399">
        <f t="shared" si="139"/>
        <v>2</v>
      </c>
    </row>
    <row r="4400" spans="1:52" ht="55.2">
      <c r="A4400" s="3" t="s">
        <v>4444</v>
      </c>
      <c r="B4400">
        <v>5</v>
      </c>
      <c r="C4400">
        <v>5</v>
      </c>
      <c r="L4400">
        <v>5</v>
      </c>
      <c r="AY4400">
        <f t="shared" si="138"/>
        <v>43</v>
      </c>
      <c r="AZ4400">
        <f t="shared" si="139"/>
        <v>2</v>
      </c>
    </row>
    <row r="4401" spans="1:52" ht="55.2">
      <c r="A4401" s="3" t="s">
        <v>4445</v>
      </c>
      <c r="B4401">
        <v>5</v>
      </c>
      <c r="C4401">
        <v>5</v>
      </c>
      <c r="L4401">
        <v>5</v>
      </c>
      <c r="AY4401">
        <f t="shared" si="138"/>
        <v>43</v>
      </c>
      <c r="AZ4401">
        <f t="shared" si="139"/>
        <v>2</v>
      </c>
    </row>
    <row r="4402" spans="1:52" ht="55.2">
      <c r="A4402" s="3" t="s">
        <v>4446</v>
      </c>
      <c r="B4402">
        <v>5</v>
      </c>
      <c r="C4402">
        <v>5</v>
      </c>
      <c r="L4402">
        <v>5</v>
      </c>
      <c r="AY4402">
        <f t="shared" si="138"/>
        <v>43</v>
      </c>
      <c r="AZ4402">
        <f t="shared" si="139"/>
        <v>2</v>
      </c>
    </row>
    <row r="4403" spans="1:52" ht="55.2">
      <c r="A4403" s="3" t="s">
        <v>4447</v>
      </c>
      <c r="B4403">
        <v>5</v>
      </c>
      <c r="C4403">
        <v>5</v>
      </c>
      <c r="L4403">
        <v>5</v>
      </c>
      <c r="AY4403">
        <f t="shared" si="138"/>
        <v>43</v>
      </c>
      <c r="AZ4403">
        <f t="shared" si="139"/>
        <v>2</v>
      </c>
    </row>
    <row r="4404" spans="1:52" ht="55.2">
      <c r="A4404" s="3" t="s">
        <v>4448</v>
      </c>
      <c r="B4404">
        <v>5</v>
      </c>
      <c r="C4404">
        <v>5</v>
      </c>
      <c r="L4404">
        <v>5</v>
      </c>
      <c r="AY4404">
        <f t="shared" si="138"/>
        <v>43</v>
      </c>
      <c r="AZ4404">
        <f t="shared" si="139"/>
        <v>2</v>
      </c>
    </row>
    <row r="4405" spans="1:52" ht="55.2">
      <c r="A4405" s="3" t="s">
        <v>4449</v>
      </c>
      <c r="B4405">
        <v>5</v>
      </c>
      <c r="C4405">
        <v>5</v>
      </c>
      <c r="L4405">
        <v>5</v>
      </c>
      <c r="AY4405">
        <f t="shared" si="138"/>
        <v>43</v>
      </c>
      <c r="AZ4405">
        <f t="shared" si="139"/>
        <v>2</v>
      </c>
    </row>
    <row r="4406" spans="1:52" ht="55.2">
      <c r="A4406" s="3" t="s">
        <v>4450</v>
      </c>
      <c r="B4406">
        <v>5</v>
      </c>
      <c r="C4406">
        <v>5</v>
      </c>
      <c r="L4406">
        <v>5</v>
      </c>
      <c r="AY4406">
        <f t="shared" si="138"/>
        <v>43</v>
      </c>
      <c r="AZ4406">
        <f t="shared" si="139"/>
        <v>2</v>
      </c>
    </row>
    <row r="4407" spans="1:52" ht="55.2">
      <c r="A4407" s="3" t="s">
        <v>4451</v>
      </c>
      <c r="B4407">
        <v>5</v>
      </c>
      <c r="C4407">
        <v>5</v>
      </c>
      <c r="L4407">
        <v>5</v>
      </c>
      <c r="AY4407">
        <f t="shared" si="138"/>
        <v>43</v>
      </c>
      <c r="AZ4407">
        <f t="shared" si="139"/>
        <v>2</v>
      </c>
    </row>
    <row r="4408" spans="1:52" ht="55.2">
      <c r="A4408" s="3" t="s">
        <v>4452</v>
      </c>
      <c r="B4408">
        <v>5</v>
      </c>
      <c r="C4408">
        <v>5</v>
      </c>
      <c r="L4408">
        <v>5</v>
      </c>
      <c r="AY4408">
        <f t="shared" si="138"/>
        <v>43</v>
      </c>
      <c r="AZ4408">
        <f t="shared" si="139"/>
        <v>2</v>
      </c>
    </row>
    <row r="4409" spans="1:52" ht="55.2">
      <c r="A4409" s="3" t="s">
        <v>4453</v>
      </c>
      <c r="B4409">
        <v>5</v>
      </c>
      <c r="C4409">
        <v>5</v>
      </c>
      <c r="L4409">
        <v>5</v>
      </c>
      <c r="AY4409">
        <f t="shared" si="138"/>
        <v>43</v>
      </c>
      <c r="AZ4409">
        <f t="shared" si="139"/>
        <v>2</v>
      </c>
    </row>
    <row r="4410" spans="1:52" ht="55.2">
      <c r="A4410" s="3" t="s">
        <v>4454</v>
      </c>
      <c r="B4410">
        <v>5</v>
      </c>
      <c r="C4410">
        <v>5</v>
      </c>
      <c r="L4410">
        <v>5</v>
      </c>
      <c r="AY4410">
        <f t="shared" si="138"/>
        <v>43</v>
      </c>
      <c r="AZ4410">
        <f t="shared" si="139"/>
        <v>2</v>
      </c>
    </row>
    <row r="4411" spans="1:52" ht="55.2">
      <c r="A4411" s="3" t="s">
        <v>4455</v>
      </c>
      <c r="B4411">
        <v>5</v>
      </c>
      <c r="C4411">
        <v>5</v>
      </c>
      <c r="L4411">
        <v>5</v>
      </c>
      <c r="AY4411">
        <f t="shared" si="138"/>
        <v>43</v>
      </c>
      <c r="AZ4411">
        <f t="shared" si="139"/>
        <v>2</v>
      </c>
    </row>
    <row r="4412" spans="1:52" ht="55.2">
      <c r="A4412" s="3" t="s">
        <v>4456</v>
      </c>
      <c r="B4412">
        <v>5</v>
      </c>
      <c r="C4412">
        <v>5</v>
      </c>
      <c r="L4412">
        <v>5</v>
      </c>
      <c r="AY4412">
        <f t="shared" si="138"/>
        <v>43</v>
      </c>
      <c r="AZ4412">
        <f t="shared" si="139"/>
        <v>2</v>
      </c>
    </row>
    <row r="4413" spans="1:52" ht="55.2">
      <c r="A4413" s="3" t="s">
        <v>4457</v>
      </c>
      <c r="B4413">
        <v>5</v>
      </c>
      <c r="C4413">
        <v>5</v>
      </c>
      <c r="L4413">
        <v>5</v>
      </c>
      <c r="AY4413">
        <f t="shared" si="138"/>
        <v>43</v>
      </c>
      <c r="AZ4413">
        <f t="shared" si="139"/>
        <v>2</v>
      </c>
    </row>
    <row r="4414" spans="1:52" ht="55.2">
      <c r="A4414" s="3" t="s">
        <v>4458</v>
      </c>
      <c r="B4414">
        <v>5</v>
      </c>
      <c r="C4414">
        <v>5</v>
      </c>
      <c r="J4414">
        <v>44</v>
      </c>
      <c r="AY4414">
        <f t="shared" si="138"/>
        <v>43</v>
      </c>
      <c r="AZ4414">
        <f t="shared" si="139"/>
        <v>2</v>
      </c>
    </row>
    <row r="4415" spans="1:52" ht="55.2">
      <c r="A4415" s="3" t="s">
        <v>4459</v>
      </c>
      <c r="B4415">
        <v>5</v>
      </c>
      <c r="C4415">
        <v>5</v>
      </c>
      <c r="J4415">
        <v>44</v>
      </c>
      <c r="AY4415">
        <f t="shared" si="138"/>
        <v>43</v>
      </c>
      <c r="AZ4415">
        <f t="shared" si="139"/>
        <v>2</v>
      </c>
    </row>
    <row r="4416" spans="1:52" ht="55.2">
      <c r="A4416" s="3" t="s">
        <v>4460</v>
      </c>
      <c r="B4416">
        <v>5</v>
      </c>
      <c r="C4416">
        <v>5</v>
      </c>
      <c r="J4416">
        <v>44</v>
      </c>
      <c r="AY4416">
        <f t="shared" si="138"/>
        <v>43</v>
      </c>
      <c r="AZ4416">
        <f t="shared" si="139"/>
        <v>2</v>
      </c>
    </row>
    <row r="4417" spans="1:52" ht="55.2">
      <c r="A4417" s="3" t="s">
        <v>4461</v>
      </c>
      <c r="B4417">
        <v>5</v>
      </c>
      <c r="C4417">
        <v>5</v>
      </c>
      <c r="J4417">
        <v>44</v>
      </c>
      <c r="AY4417">
        <f t="shared" si="138"/>
        <v>43</v>
      </c>
      <c r="AZ4417">
        <f t="shared" si="139"/>
        <v>2</v>
      </c>
    </row>
    <row r="4418" spans="1:52" ht="55.2">
      <c r="A4418" s="3" t="s">
        <v>4462</v>
      </c>
      <c r="B4418">
        <v>5</v>
      </c>
      <c r="C4418">
        <v>5</v>
      </c>
      <c r="J4418">
        <v>44</v>
      </c>
      <c r="AY4418">
        <f t="shared" si="138"/>
        <v>43</v>
      </c>
      <c r="AZ4418">
        <f t="shared" si="139"/>
        <v>2</v>
      </c>
    </row>
    <row r="4419" spans="1:52" ht="55.2">
      <c r="A4419" s="3" t="s">
        <v>4463</v>
      </c>
      <c r="B4419">
        <v>5</v>
      </c>
      <c r="C4419">
        <v>5</v>
      </c>
      <c r="J4419">
        <v>44</v>
      </c>
      <c r="AY4419">
        <f t="shared" si="138"/>
        <v>43</v>
      </c>
      <c r="AZ4419">
        <f t="shared" si="139"/>
        <v>2</v>
      </c>
    </row>
    <row r="4420" spans="1:52" ht="55.2">
      <c r="A4420" s="3" t="s">
        <v>4464</v>
      </c>
      <c r="B4420">
        <v>5</v>
      </c>
      <c r="C4420">
        <v>5</v>
      </c>
      <c r="J4420">
        <v>44</v>
      </c>
      <c r="AY4420">
        <f t="shared" si="138"/>
        <v>43</v>
      </c>
      <c r="AZ4420">
        <f t="shared" si="139"/>
        <v>2</v>
      </c>
    </row>
    <row r="4421" spans="1:52" ht="55.2">
      <c r="A4421" s="3" t="s">
        <v>4465</v>
      </c>
      <c r="B4421">
        <v>5</v>
      </c>
      <c r="C4421">
        <v>5</v>
      </c>
      <c r="J4421">
        <v>44</v>
      </c>
      <c r="AY4421">
        <f t="shared" si="138"/>
        <v>43</v>
      </c>
      <c r="AZ4421">
        <f t="shared" si="139"/>
        <v>2</v>
      </c>
    </row>
    <row r="4422" spans="1:52" ht="55.2">
      <c r="A4422" s="3" t="s">
        <v>4466</v>
      </c>
      <c r="B4422">
        <v>5</v>
      </c>
      <c r="C4422">
        <v>5</v>
      </c>
      <c r="J4422">
        <v>44</v>
      </c>
      <c r="AY4422">
        <f t="shared" si="138"/>
        <v>43</v>
      </c>
      <c r="AZ4422">
        <f t="shared" si="139"/>
        <v>2</v>
      </c>
    </row>
    <row r="4423" spans="1:52" ht="55.2">
      <c r="A4423" s="3" t="s">
        <v>4467</v>
      </c>
      <c r="B4423">
        <v>5</v>
      </c>
      <c r="C4423">
        <v>5</v>
      </c>
      <c r="J4423">
        <v>44</v>
      </c>
      <c r="AY4423">
        <f t="shared" si="138"/>
        <v>43</v>
      </c>
      <c r="AZ4423">
        <f t="shared" si="139"/>
        <v>2</v>
      </c>
    </row>
    <row r="4424" spans="1:52" ht="55.2">
      <c r="A4424" s="3" t="s">
        <v>4468</v>
      </c>
      <c r="B4424">
        <v>5</v>
      </c>
      <c r="C4424">
        <v>5</v>
      </c>
      <c r="J4424">
        <v>44</v>
      </c>
      <c r="AY4424">
        <f t="shared" si="138"/>
        <v>43</v>
      </c>
      <c r="AZ4424">
        <f t="shared" si="139"/>
        <v>2</v>
      </c>
    </row>
    <row r="4425" spans="1:52" ht="55.2">
      <c r="A4425" s="3" t="s">
        <v>4469</v>
      </c>
      <c r="B4425">
        <v>5</v>
      </c>
      <c r="C4425">
        <v>5</v>
      </c>
      <c r="J4425">
        <v>44</v>
      </c>
      <c r="AY4425">
        <f t="shared" si="138"/>
        <v>43</v>
      </c>
      <c r="AZ4425">
        <f t="shared" si="139"/>
        <v>2</v>
      </c>
    </row>
    <row r="4426" spans="1:52" ht="55.2">
      <c r="A4426" s="3" t="s">
        <v>4470</v>
      </c>
      <c r="B4426">
        <v>5</v>
      </c>
      <c r="C4426">
        <v>5</v>
      </c>
      <c r="J4426">
        <v>44</v>
      </c>
      <c r="AY4426">
        <f t="shared" si="138"/>
        <v>43</v>
      </c>
      <c r="AZ4426">
        <f t="shared" si="139"/>
        <v>2</v>
      </c>
    </row>
    <row r="4427" spans="1:52" ht="55.2">
      <c r="A4427" s="3" t="s">
        <v>4471</v>
      </c>
      <c r="B4427">
        <v>5</v>
      </c>
      <c r="C4427">
        <v>5</v>
      </c>
      <c r="J4427">
        <v>44</v>
      </c>
      <c r="AY4427">
        <f t="shared" si="138"/>
        <v>43</v>
      </c>
      <c r="AZ4427">
        <f t="shared" si="139"/>
        <v>2</v>
      </c>
    </row>
    <row r="4428" spans="1:52" ht="55.2">
      <c r="A4428" s="3" t="s">
        <v>4472</v>
      </c>
      <c r="B4428">
        <v>5</v>
      </c>
      <c r="C4428">
        <v>5</v>
      </c>
      <c r="J4428">
        <v>44</v>
      </c>
      <c r="AY4428">
        <f t="shared" si="138"/>
        <v>43</v>
      </c>
      <c r="AZ4428">
        <f t="shared" si="139"/>
        <v>2</v>
      </c>
    </row>
    <row r="4429" spans="1:52" ht="55.2">
      <c r="A4429" s="3" t="s">
        <v>4473</v>
      </c>
      <c r="B4429">
        <v>5</v>
      </c>
      <c r="C4429">
        <v>5</v>
      </c>
      <c r="J4429">
        <v>44</v>
      </c>
      <c r="AY4429">
        <f t="shared" si="138"/>
        <v>43</v>
      </c>
      <c r="AZ4429">
        <f t="shared" si="139"/>
        <v>2</v>
      </c>
    </row>
    <row r="4430" spans="1:52" ht="55.2">
      <c r="A4430" s="3" t="s">
        <v>4474</v>
      </c>
      <c r="B4430">
        <v>5</v>
      </c>
      <c r="C4430">
        <v>5</v>
      </c>
      <c r="J4430">
        <v>44</v>
      </c>
      <c r="AY4430">
        <f t="shared" si="138"/>
        <v>43</v>
      </c>
      <c r="AZ4430">
        <f t="shared" si="139"/>
        <v>2</v>
      </c>
    </row>
    <row r="4431" spans="1:52" ht="55.2">
      <c r="A4431" s="3" t="s">
        <v>4475</v>
      </c>
      <c r="B4431">
        <v>5</v>
      </c>
      <c r="C4431">
        <v>5</v>
      </c>
      <c r="J4431">
        <v>44</v>
      </c>
      <c r="AY4431">
        <f t="shared" si="138"/>
        <v>43</v>
      </c>
      <c r="AZ4431">
        <f t="shared" si="139"/>
        <v>2</v>
      </c>
    </row>
    <row r="4432" spans="1:52" ht="55.2">
      <c r="A4432" s="3" t="s">
        <v>4476</v>
      </c>
      <c r="B4432">
        <v>5</v>
      </c>
      <c r="C4432">
        <v>5</v>
      </c>
      <c r="J4432">
        <v>44</v>
      </c>
      <c r="AY4432">
        <f t="shared" si="138"/>
        <v>43</v>
      </c>
      <c r="AZ4432">
        <f t="shared" si="139"/>
        <v>2</v>
      </c>
    </row>
    <row r="4433" spans="1:52" ht="55.2">
      <c r="A4433" s="3" t="s">
        <v>4477</v>
      </c>
      <c r="B4433">
        <v>5</v>
      </c>
      <c r="C4433">
        <v>5</v>
      </c>
      <c r="J4433">
        <v>44</v>
      </c>
      <c r="AY4433">
        <f t="shared" si="138"/>
        <v>43</v>
      </c>
      <c r="AZ4433">
        <f t="shared" si="139"/>
        <v>2</v>
      </c>
    </row>
    <row r="4434" spans="1:52" ht="55.2">
      <c r="A4434" s="3" t="s">
        <v>4478</v>
      </c>
      <c r="B4434">
        <v>5</v>
      </c>
      <c r="C4434">
        <v>5</v>
      </c>
      <c r="J4434">
        <v>44</v>
      </c>
      <c r="AY4434">
        <f t="shared" si="138"/>
        <v>43</v>
      </c>
      <c r="AZ4434">
        <f t="shared" si="139"/>
        <v>2</v>
      </c>
    </row>
    <row r="4435" spans="1:52" ht="55.2">
      <c r="A4435" s="3" t="s">
        <v>4479</v>
      </c>
      <c r="B4435">
        <v>5</v>
      </c>
      <c r="C4435">
        <v>5</v>
      </c>
      <c r="J4435">
        <v>44</v>
      </c>
      <c r="AY4435">
        <f t="shared" si="138"/>
        <v>43</v>
      </c>
      <c r="AZ4435">
        <f t="shared" si="139"/>
        <v>2</v>
      </c>
    </row>
    <row r="4436" spans="1:52" ht="55.2">
      <c r="A4436" s="3" t="s">
        <v>4480</v>
      </c>
      <c r="B4436">
        <v>5</v>
      </c>
      <c r="C4436">
        <v>5</v>
      </c>
      <c r="J4436">
        <v>44</v>
      </c>
      <c r="AY4436">
        <f t="shared" si="138"/>
        <v>43</v>
      </c>
      <c r="AZ4436">
        <f t="shared" si="139"/>
        <v>2</v>
      </c>
    </row>
    <row r="4437" spans="1:52" ht="55.2">
      <c r="A4437" s="3" t="s">
        <v>4481</v>
      </c>
      <c r="B4437">
        <v>5</v>
      </c>
      <c r="C4437">
        <v>5</v>
      </c>
      <c r="J4437">
        <v>44</v>
      </c>
      <c r="AY4437">
        <f t="shared" si="138"/>
        <v>43</v>
      </c>
      <c r="AZ4437">
        <f t="shared" si="139"/>
        <v>2</v>
      </c>
    </row>
    <row r="4438" spans="1:52" ht="55.2">
      <c r="A4438" s="3" t="s">
        <v>4482</v>
      </c>
      <c r="B4438">
        <v>5</v>
      </c>
      <c r="C4438">
        <v>5</v>
      </c>
      <c r="J4438">
        <v>44</v>
      </c>
      <c r="AY4438">
        <f t="shared" si="138"/>
        <v>43</v>
      </c>
      <c r="AZ4438">
        <f t="shared" si="139"/>
        <v>2</v>
      </c>
    </row>
    <row r="4439" spans="1:52" ht="55.2">
      <c r="A4439" s="3" t="s">
        <v>4483</v>
      </c>
      <c r="B4439">
        <v>5</v>
      </c>
      <c r="C4439">
        <v>5</v>
      </c>
      <c r="J4439">
        <v>44</v>
      </c>
      <c r="AY4439">
        <f t="shared" si="138"/>
        <v>43</v>
      </c>
      <c r="AZ4439">
        <f t="shared" si="139"/>
        <v>2</v>
      </c>
    </row>
    <row r="4440" spans="1:52" ht="55.2">
      <c r="A4440" s="3" t="s">
        <v>4484</v>
      </c>
      <c r="B4440">
        <v>5</v>
      </c>
      <c r="C4440">
        <v>5</v>
      </c>
      <c r="J4440">
        <v>44</v>
      </c>
      <c r="AY4440">
        <f t="shared" si="138"/>
        <v>43</v>
      </c>
      <c r="AZ4440">
        <f t="shared" si="139"/>
        <v>2</v>
      </c>
    </row>
    <row r="4441" spans="1:52" ht="55.2">
      <c r="A4441" s="3" t="s">
        <v>4485</v>
      </c>
      <c r="B4441">
        <v>5</v>
      </c>
      <c r="C4441">
        <v>5</v>
      </c>
      <c r="J4441">
        <v>44</v>
      </c>
      <c r="AY4441">
        <f t="shared" si="138"/>
        <v>43</v>
      </c>
      <c r="AZ4441">
        <f t="shared" si="139"/>
        <v>2</v>
      </c>
    </row>
    <row r="4442" spans="1:52" ht="55.2">
      <c r="A4442" s="3" t="s">
        <v>4486</v>
      </c>
      <c r="B4442">
        <v>5</v>
      </c>
      <c r="C4442">
        <v>5</v>
      </c>
      <c r="J4442">
        <v>44</v>
      </c>
      <c r="AY4442">
        <f t="shared" si="138"/>
        <v>43</v>
      </c>
      <c r="AZ4442">
        <f t="shared" si="139"/>
        <v>2</v>
      </c>
    </row>
    <row r="4443" spans="1:52" ht="55.2">
      <c r="A4443" s="3" t="s">
        <v>4487</v>
      </c>
      <c r="B4443">
        <v>5</v>
      </c>
      <c r="C4443">
        <v>5</v>
      </c>
      <c r="J4443">
        <v>44</v>
      </c>
      <c r="AY4443">
        <f t="shared" si="138"/>
        <v>43</v>
      </c>
      <c r="AZ4443">
        <f t="shared" si="139"/>
        <v>2</v>
      </c>
    </row>
    <row r="4444" spans="1:52" ht="55.2">
      <c r="A4444" s="3" t="s">
        <v>4488</v>
      </c>
      <c r="B4444">
        <v>5</v>
      </c>
      <c r="C4444">
        <v>5</v>
      </c>
      <c r="J4444">
        <v>44</v>
      </c>
      <c r="AY4444">
        <f t="shared" si="138"/>
        <v>43</v>
      </c>
      <c r="AZ4444">
        <f t="shared" si="139"/>
        <v>2</v>
      </c>
    </row>
    <row r="4445" spans="1:52" ht="55.2">
      <c r="A4445" s="3" t="s">
        <v>4489</v>
      </c>
      <c r="B4445">
        <v>5</v>
      </c>
      <c r="C4445">
        <v>5</v>
      </c>
      <c r="J4445">
        <v>44</v>
      </c>
      <c r="AY4445">
        <f t="shared" si="138"/>
        <v>43</v>
      </c>
      <c r="AZ4445">
        <f t="shared" si="139"/>
        <v>2</v>
      </c>
    </row>
    <row r="4446" spans="1:52" ht="55.2">
      <c r="A4446" s="3" t="s">
        <v>4490</v>
      </c>
      <c r="B4446">
        <v>5</v>
      </c>
      <c r="C4446">
        <v>5</v>
      </c>
      <c r="J4446">
        <v>44</v>
      </c>
      <c r="AY4446">
        <f t="shared" si="138"/>
        <v>43</v>
      </c>
      <c r="AZ4446">
        <f t="shared" si="139"/>
        <v>2</v>
      </c>
    </row>
    <row r="4447" spans="1:52" ht="55.2">
      <c r="A4447" s="3" t="s">
        <v>4491</v>
      </c>
      <c r="C4447">
        <v>5</v>
      </c>
      <c r="J4447">
        <v>44</v>
      </c>
      <c r="AY4447">
        <f t="shared" si="138"/>
        <v>43</v>
      </c>
      <c r="AZ4447">
        <f t="shared" si="139"/>
        <v>3</v>
      </c>
    </row>
    <row r="4448" spans="1:52" ht="55.2">
      <c r="A4448" s="3" t="s">
        <v>4492</v>
      </c>
      <c r="C4448">
        <v>5</v>
      </c>
      <c r="J4448">
        <v>44</v>
      </c>
      <c r="AY4448">
        <f t="shared" si="138"/>
        <v>43</v>
      </c>
      <c r="AZ4448">
        <f t="shared" si="139"/>
        <v>3</v>
      </c>
    </row>
    <row r="4449" spans="1:52" ht="55.2">
      <c r="A4449" s="3" t="s">
        <v>4493</v>
      </c>
      <c r="C4449">
        <v>5</v>
      </c>
      <c r="J4449">
        <v>44</v>
      </c>
      <c r="AY4449">
        <f t="shared" ref="AY4449:AY4512" si="140">COUNTBLANK(F4449:AW4449)</f>
        <v>43</v>
      </c>
      <c r="AZ4449">
        <f t="shared" ref="AZ4449:AZ4512" si="141">COUNTBLANK(B4449:E4449)</f>
        <v>3</v>
      </c>
    </row>
    <row r="4450" spans="1:52" ht="55.2">
      <c r="A4450" s="3" t="s">
        <v>4494</v>
      </c>
      <c r="C4450">
        <v>5</v>
      </c>
      <c r="J4450">
        <v>44</v>
      </c>
      <c r="AY4450">
        <f t="shared" si="140"/>
        <v>43</v>
      </c>
      <c r="AZ4450">
        <f t="shared" si="141"/>
        <v>3</v>
      </c>
    </row>
    <row r="4451" spans="1:52" ht="55.2">
      <c r="A4451" s="3" t="s">
        <v>4495</v>
      </c>
      <c r="C4451">
        <v>5</v>
      </c>
      <c r="J4451">
        <v>44</v>
      </c>
      <c r="AY4451">
        <f t="shared" si="140"/>
        <v>43</v>
      </c>
      <c r="AZ4451">
        <f t="shared" si="141"/>
        <v>3</v>
      </c>
    </row>
    <row r="4452" spans="1:52" ht="55.2">
      <c r="A4452" s="3" t="s">
        <v>4496</v>
      </c>
      <c r="C4452">
        <v>5</v>
      </c>
      <c r="J4452">
        <v>44</v>
      </c>
      <c r="AY4452">
        <f t="shared" si="140"/>
        <v>43</v>
      </c>
      <c r="AZ4452">
        <f t="shared" si="141"/>
        <v>3</v>
      </c>
    </row>
    <row r="4453" spans="1:52" ht="55.2">
      <c r="A4453" s="3" t="s">
        <v>4497</v>
      </c>
      <c r="C4453">
        <v>5</v>
      </c>
      <c r="J4453">
        <v>44</v>
      </c>
      <c r="AY4453">
        <f t="shared" si="140"/>
        <v>43</v>
      </c>
      <c r="AZ4453">
        <f t="shared" si="141"/>
        <v>3</v>
      </c>
    </row>
    <row r="4454" spans="1:52" ht="55.2">
      <c r="A4454" s="3" t="s">
        <v>4498</v>
      </c>
      <c r="C4454">
        <v>5</v>
      </c>
      <c r="L4454">
        <v>6</v>
      </c>
      <c r="AY4454">
        <f t="shared" si="140"/>
        <v>43</v>
      </c>
      <c r="AZ4454">
        <f t="shared" si="141"/>
        <v>3</v>
      </c>
    </row>
    <row r="4455" spans="1:52" ht="55.2">
      <c r="A4455" s="3" t="s">
        <v>4499</v>
      </c>
      <c r="C4455">
        <v>5</v>
      </c>
      <c r="L4455">
        <v>6</v>
      </c>
      <c r="AY4455">
        <f t="shared" si="140"/>
        <v>43</v>
      </c>
      <c r="AZ4455">
        <f t="shared" si="141"/>
        <v>3</v>
      </c>
    </row>
    <row r="4456" spans="1:52" ht="55.2">
      <c r="A4456" s="3" t="s">
        <v>4500</v>
      </c>
      <c r="C4456">
        <v>5</v>
      </c>
      <c r="L4456">
        <v>6</v>
      </c>
      <c r="AY4456">
        <f t="shared" si="140"/>
        <v>43</v>
      </c>
      <c r="AZ4456">
        <f t="shared" si="141"/>
        <v>3</v>
      </c>
    </row>
    <row r="4457" spans="1:52" ht="55.2">
      <c r="A4457" s="3" t="s">
        <v>4501</v>
      </c>
      <c r="C4457">
        <v>5</v>
      </c>
      <c r="L4457">
        <v>6</v>
      </c>
      <c r="AY4457">
        <f t="shared" si="140"/>
        <v>43</v>
      </c>
      <c r="AZ4457">
        <f t="shared" si="141"/>
        <v>3</v>
      </c>
    </row>
    <row r="4458" spans="1:52" ht="55.2">
      <c r="A4458" s="3" t="s">
        <v>4502</v>
      </c>
      <c r="C4458">
        <v>5</v>
      </c>
      <c r="L4458">
        <v>6</v>
      </c>
      <c r="AY4458">
        <f t="shared" si="140"/>
        <v>43</v>
      </c>
      <c r="AZ4458">
        <f t="shared" si="141"/>
        <v>3</v>
      </c>
    </row>
    <row r="4459" spans="1:52" ht="55.2">
      <c r="A4459" s="3" t="s">
        <v>4503</v>
      </c>
      <c r="C4459">
        <v>5</v>
      </c>
      <c r="L4459">
        <v>6</v>
      </c>
      <c r="AY4459">
        <f t="shared" si="140"/>
        <v>43</v>
      </c>
      <c r="AZ4459">
        <f t="shared" si="141"/>
        <v>3</v>
      </c>
    </row>
    <row r="4460" spans="1:52" ht="55.2">
      <c r="A4460" s="3" t="s">
        <v>4504</v>
      </c>
      <c r="C4460">
        <v>5</v>
      </c>
      <c r="L4460">
        <v>6</v>
      </c>
      <c r="AY4460">
        <f t="shared" si="140"/>
        <v>43</v>
      </c>
      <c r="AZ4460">
        <f t="shared" si="141"/>
        <v>3</v>
      </c>
    </row>
    <row r="4461" spans="1:52" ht="55.2">
      <c r="A4461" s="3" t="s">
        <v>4505</v>
      </c>
      <c r="C4461">
        <v>5</v>
      </c>
      <c r="L4461">
        <v>6</v>
      </c>
      <c r="AY4461">
        <f t="shared" si="140"/>
        <v>43</v>
      </c>
      <c r="AZ4461">
        <f t="shared" si="141"/>
        <v>3</v>
      </c>
    </row>
    <row r="4462" spans="1:52" ht="55.2">
      <c r="A4462" s="3" t="s">
        <v>4506</v>
      </c>
      <c r="C4462">
        <v>5</v>
      </c>
      <c r="L4462">
        <v>6</v>
      </c>
      <c r="AY4462">
        <f t="shared" si="140"/>
        <v>43</v>
      </c>
      <c r="AZ4462">
        <f t="shared" si="141"/>
        <v>3</v>
      </c>
    </row>
    <row r="4463" spans="1:52" ht="55.2">
      <c r="A4463" s="3" t="s">
        <v>4507</v>
      </c>
      <c r="C4463">
        <v>5</v>
      </c>
      <c r="L4463">
        <v>6</v>
      </c>
      <c r="AY4463">
        <f t="shared" si="140"/>
        <v>43</v>
      </c>
      <c r="AZ4463">
        <f t="shared" si="141"/>
        <v>3</v>
      </c>
    </row>
    <row r="4464" spans="1:52" ht="55.2">
      <c r="A4464" s="3" t="s">
        <v>4508</v>
      </c>
      <c r="C4464">
        <v>5</v>
      </c>
      <c r="L4464">
        <v>6</v>
      </c>
      <c r="AY4464">
        <f t="shared" si="140"/>
        <v>43</v>
      </c>
      <c r="AZ4464">
        <f t="shared" si="141"/>
        <v>3</v>
      </c>
    </row>
    <row r="4465" spans="1:52" ht="55.2">
      <c r="A4465" s="3" t="s">
        <v>4509</v>
      </c>
      <c r="C4465">
        <v>5</v>
      </c>
      <c r="L4465">
        <v>6</v>
      </c>
      <c r="AY4465">
        <f t="shared" si="140"/>
        <v>43</v>
      </c>
      <c r="AZ4465">
        <f t="shared" si="141"/>
        <v>3</v>
      </c>
    </row>
    <row r="4466" spans="1:52" ht="55.2">
      <c r="A4466" s="3" t="s">
        <v>4510</v>
      </c>
      <c r="C4466">
        <v>5</v>
      </c>
      <c r="L4466">
        <v>6</v>
      </c>
      <c r="AY4466">
        <f t="shared" si="140"/>
        <v>43</v>
      </c>
      <c r="AZ4466">
        <f t="shared" si="141"/>
        <v>3</v>
      </c>
    </row>
    <row r="4467" spans="1:52" ht="55.2">
      <c r="A4467" s="3" t="s">
        <v>4511</v>
      </c>
      <c r="C4467">
        <v>5</v>
      </c>
      <c r="L4467">
        <v>6</v>
      </c>
      <c r="AY4467">
        <f t="shared" si="140"/>
        <v>43</v>
      </c>
      <c r="AZ4467">
        <f t="shared" si="141"/>
        <v>3</v>
      </c>
    </row>
    <row r="4468" spans="1:52" ht="55.2">
      <c r="A4468" s="3" t="s">
        <v>4512</v>
      </c>
      <c r="C4468">
        <v>5</v>
      </c>
      <c r="L4468">
        <v>6</v>
      </c>
      <c r="AY4468">
        <f t="shared" si="140"/>
        <v>43</v>
      </c>
      <c r="AZ4468">
        <f t="shared" si="141"/>
        <v>3</v>
      </c>
    </row>
    <row r="4469" spans="1:52" ht="55.2">
      <c r="A4469" s="3" t="s">
        <v>4513</v>
      </c>
      <c r="C4469">
        <v>5</v>
      </c>
      <c r="L4469">
        <v>6</v>
      </c>
      <c r="AY4469">
        <f t="shared" si="140"/>
        <v>43</v>
      </c>
      <c r="AZ4469">
        <f t="shared" si="141"/>
        <v>3</v>
      </c>
    </row>
    <row r="4470" spans="1:52" ht="55.2">
      <c r="A4470" s="3" t="s">
        <v>4514</v>
      </c>
      <c r="C4470">
        <v>5</v>
      </c>
      <c r="L4470">
        <v>6</v>
      </c>
      <c r="AY4470">
        <f t="shared" si="140"/>
        <v>43</v>
      </c>
      <c r="AZ4470">
        <f t="shared" si="141"/>
        <v>3</v>
      </c>
    </row>
    <row r="4471" spans="1:52" ht="55.2">
      <c r="A4471" s="3" t="s">
        <v>4515</v>
      </c>
      <c r="C4471">
        <v>5</v>
      </c>
      <c r="L4471">
        <v>6</v>
      </c>
      <c r="AY4471">
        <f t="shared" si="140"/>
        <v>43</v>
      </c>
      <c r="AZ4471">
        <f t="shared" si="141"/>
        <v>3</v>
      </c>
    </row>
    <row r="4472" spans="1:52" ht="55.2">
      <c r="A4472" s="3" t="s">
        <v>4516</v>
      </c>
      <c r="C4472">
        <v>5</v>
      </c>
      <c r="L4472">
        <v>6</v>
      </c>
      <c r="AY4472">
        <f t="shared" si="140"/>
        <v>43</v>
      </c>
      <c r="AZ4472">
        <f t="shared" si="141"/>
        <v>3</v>
      </c>
    </row>
    <row r="4473" spans="1:52" ht="55.2">
      <c r="A4473" s="3" t="s">
        <v>4517</v>
      </c>
      <c r="C4473">
        <v>5</v>
      </c>
      <c r="L4473">
        <v>6</v>
      </c>
      <c r="AY4473">
        <f t="shared" si="140"/>
        <v>43</v>
      </c>
      <c r="AZ4473">
        <f t="shared" si="141"/>
        <v>3</v>
      </c>
    </row>
    <row r="4474" spans="1:52" ht="55.2">
      <c r="A4474" s="3" t="s">
        <v>4518</v>
      </c>
      <c r="C4474">
        <v>5</v>
      </c>
      <c r="L4474">
        <v>6</v>
      </c>
      <c r="AY4474">
        <f t="shared" si="140"/>
        <v>43</v>
      </c>
      <c r="AZ4474">
        <f t="shared" si="141"/>
        <v>3</v>
      </c>
    </row>
    <row r="4475" spans="1:52" ht="55.2">
      <c r="A4475" s="3" t="s">
        <v>4519</v>
      </c>
      <c r="C4475">
        <v>5</v>
      </c>
      <c r="L4475">
        <v>6</v>
      </c>
      <c r="AY4475">
        <f t="shared" si="140"/>
        <v>43</v>
      </c>
      <c r="AZ4475">
        <f t="shared" si="141"/>
        <v>3</v>
      </c>
    </row>
    <row r="4476" spans="1:52" ht="55.2">
      <c r="A4476" s="3" t="s">
        <v>4520</v>
      </c>
      <c r="C4476">
        <v>5</v>
      </c>
      <c r="J4476">
        <v>45</v>
      </c>
      <c r="AY4476">
        <f t="shared" si="140"/>
        <v>43</v>
      </c>
      <c r="AZ4476">
        <f t="shared" si="141"/>
        <v>3</v>
      </c>
    </row>
    <row r="4477" spans="1:52" ht="55.2">
      <c r="A4477" s="3" t="s">
        <v>4521</v>
      </c>
      <c r="C4477">
        <v>5</v>
      </c>
      <c r="J4477">
        <v>45</v>
      </c>
      <c r="AY4477">
        <f t="shared" si="140"/>
        <v>43</v>
      </c>
      <c r="AZ4477">
        <f t="shared" si="141"/>
        <v>3</v>
      </c>
    </row>
    <row r="4478" spans="1:52" ht="55.2">
      <c r="A4478" s="3" t="s">
        <v>4522</v>
      </c>
      <c r="C4478">
        <v>5</v>
      </c>
      <c r="J4478">
        <v>45</v>
      </c>
      <c r="AY4478">
        <f t="shared" si="140"/>
        <v>43</v>
      </c>
      <c r="AZ4478">
        <f t="shared" si="141"/>
        <v>3</v>
      </c>
    </row>
    <row r="4479" spans="1:52" ht="55.2">
      <c r="A4479" s="3" t="s">
        <v>4523</v>
      </c>
      <c r="C4479">
        <v>5</v>
      </c>
      <c r="J4479">
        <v>45</v>
      </c>
      <c r="AY4479">
        <f t="shared" si="140"/>
        <v>43</v>
      </c>
      <c r="AZ4479">
        <f t="shared" si="141"/>
        <v>3</v>
      </c>
    </row>
    <row r="4480" spans="1:52" ht="55.2">
      <c r="A4480" s="3" t="s">
        <v>4524</v>
      </c>
      <c r="C4480">
        <v>5</v>
      </c>
      <c r="J4480">
        <v>45</v>
      </c>
      <c r="AY4480">
        <f t="shared" si="140"/>
        <v>43</v>
      </c>
      <c r="AZ4480">
        <f t="shared" si="141"/>
        <v>3</v>
      </c>
    </row>
    <row r="4481" spans="1:52" ht="55.2">
      <c r="A4481" s="3" t="s">
        <v>4525</v>
      </c>
      <c r="C4481">
        <v>5</v>
      </c>
      <c r="J4481">
        <v>45</v>
      </c>
      <c r="AY4481">
        <f t="shared" si="140"/>
        <v>43</v>
      </c>
      <c r="AZ4481">
        <f t="shared" si="141"/>
        <v>3</v>
      </c>
    </row>
    <row r="4482" spans="1:52" ht="55.2">
      <c r="A4482" s="3" t="s">
        <v>4526</v>
      </c>
      <c r="C4482">
        <v>5</v>
      </c>
      <c r="J4482">
        <v>45</v>
      </c>
      <c r="AY4482">
        <f t="shared" si="140"/>
        <v>43</v>
      </c>
      <c r="AZ4482">
        <f t="shared" si="141"/>
        <v>3</v>
      </c>
    </row>
    <row r="4483" spans="1:52" ht="55.2">
      <c r="A4483" s="3" t="s">
        <v>4527</v>
      </c>
      <c r="C4483">
        <v>5</v>
      </c>
      <c r="J4483">
        <v>45</v>
      </c>
      <c r="AY4483">
        <f t="shared" si="140"/>
        <v>43</v>
      </c>
      <c r="AZ4483">
        <f t="shared" si="141"/>
        <v>3</v>
      </c>
    </row>
    <row r="4484" spans="1:52" ht="55.2">
      <c r="A4484" s="3" t="s">
        <v>4528</v>
      </c>
      <c r="C4484">
        <v>5</v>
      </c>
      <c r="J4484">
        <v>45</v>
      </c>
      <c r="AY4484">
        <f t="shared" si="140"/>
        <v>43</v>
      </c>
      <c r="AZ4484">
        <f t="shared" si="141"/>
        <v>3</v>
      </c>
    </row>
    <row r="4485" spans="1:52" ht="55.2">
      <c r="A4485" s="3" t="s">
        <v>4529</v>
      </c>
      <c r="C4485">
        <v>5</v>
      </c>
      <c r="J4485">
        <v>45</v>
      </c>
      <c r="AY4485">
        <f t="shared" si="140"/>
        <v>43</v>
      </c>
      <c r="AZ4485">
        <f t="shared" si="141"/>
        <v>3</v>
      </c>
    </row>
    <row r="4486" spans="1:52" ht="55.2">
      <c r="A4486" s="3" t="s">
        <v>4530</v>
      </c>
      <c r="C4486">
        <v>5</v>
      </c>
      <c r="J4486">
        <v>45</v>
      </c>
      <c r="AY4486">
        <f t="shared" si="140"/>
        <v>43</v>
      </c>
      <c r="AZ4486">
        <f t="shared" si="141"/>
        <v>3</v>
      </c>
    </row>
    <row r="4487" spans="1:52" ht="55.2">
      <c r="A4487" s="3" t="s">
        <v>4531</v>
      </c>
      <c r="C4487">
        <v>5</v>
      </c>
      <c r="J4487">
        <v>45</v>
      </c>
      <c r="AY4487">
        <f t="shared" si="140"/>
        <v>43</v>
      </c>
      <c r="AZ4487">
        <f t="shared" si="141"/>
        <v>3</v>
      </c>
    </row>
    <row r="4488" spans="1:52" ht="55.2">
      <c r="A4488" s="3" t="s">
        <v>4532</v>
      </c>
      <c r="C4488">
        <v>5</v>
      </c>
      <c r="J4488">
        <v>45</v>
      </c>
      <c r="AY4488">
        <f t="shared" si="140"/>
        <v>43</v>
      </c>
      <c r="AZ4488">
        <f t="shared" si="141"/>
        <v>3</v>
      </c>
    </row>
    <row r="4489" spans="1:52" ht="55.2">
      <c r="A4489" s="3" t="s">
        <v>4533</v>
      </c>
      <c r="C4489">
        <v>5</v>
      </c>
      <c r="J4489">
        <v>45</v>
      </c>
      <c r="AY4489">
        <f t="shared" si="140"/>
        <v>43</v>
      </c>
      <c r="AZ4489">
        <f t="shared" si="141"/>
        <v>3</v>
      </c>
    </row>
    <row r="4490" spans="1:52" ht="55.2">
      <c r="A4490" s="3" t="s">
        <v>4534</v>
      </c>
      <c r="C4490">
        <v>5</v>
      </c>
      <c r="J4490">
        <v>45</v>
      </c>
      <c r="AY4490">
        <f t="shared" si="140"/>
        <v>43</v>
      </c>
      <c r="AZ4490">
        <f t="shared" si="141"/>
        <v>3</v>
      </c>
    </row>
    <row r="4491" spans="1:52" ht="55.2">
      <c r="A4491" s="3" t="s">
        <v>4535</v>
      </c>
      <c r="C4491">
        <v>5</v>
      </c>
      <c r="J4491">
        <v>45</v>
      </c>
      <c r="AY4491">
        <f t="shared" si="140"/>
        <v>43</v>
      </c>
      <c r="AZ4491">
        <f t="shared" si="141"/>
        <v>3</v>
      </c>
    </row>
    <row r="4492" spans="1:52" ht="55.2">
      <c r="A4492" s="3" t="s">
        <v>4536</v>
      </c>
      <c r="C4492">
        <v>5</v>
      </c>
      <c r="J4492">
        <v>45</v>
      </c>
      <c r="AY4492">
        <f t="shared" si="140"/>
        <v>43</v>
      </c>
      <c r="AZ4492">
        <f t="shared" si="141"/>
        <v>3</v>
      </c>
    </row>
    <row r="4493" spans="1:52" ht="55.2">
      <c r="A4493" s="3" t="s">
        <v>4537</v>
      </c>
      <c r="C4493">
        <v>5</v>
      </c>
      <c r="J4493">
        <v>45</v>
      </c>
      <c r="AY4493">
        <f t="shared" si="140"/>
        <v>43</v>
      </c>
      <c r="AZ4493">
        <f t="shared" si="141"/>
        <v>3</v>
      </c>
    </row>
    <row r="4494" spans="1:52" ht="55.2">
      <c r="A4494" s="3" t="s">
        <v>4538</v>
      </c>
      <c r="C4494">
        <v>5</v>
      </c>
      <c r="J4494">
        <v>45</v>
      </c>
      <c r="AY4494">
        <f t="shared" si="140"/>
        <v>43</v>
      </c>
      <c r="AZ4494">
        <f t="shared" si="141"/>
        <v>3</v>
      </c>
    </row>
    <row r="4495" spans="1:52" ht="55.2">
      <c r="A4495" s="3" t="s">
        <v>4539</v>
      </c>
      <c r="C4495">
        <v>5</v>
      </c>
      <c r="J4495">
        <v>45</v>
      </c>
      <c r="AY4495">
        <f t="shared" si="140"/>
        <v>43</v>
      </c>
      <c r="AZ4495">
        <f t="shared" si="141"/>
        <v>3</v>
      </c>
    </row>
    <row r="4496" spans="1:52" ht="55.2">
      <c r="A4496" s="3" t="s">
        <v>4540</v>
      </c>
      <c r="C4496">
        <v>5</v>
      </c>
      <c r="J4496">
        <v>45</v>
      </c>
      <c r="AY4496">
        <f t="shared" si="140"/>
        <v>43</v>
      </c>
      <c r="AZ4496">
        <f t="shared" si="141"/>
        <v>3</v>
      </c>
    </row>
    <row r="4497" spans="1:52" ht="55.2">
      <c r="A4497" s="3" t="s">
        <v>4541</v>
      </c>
      <c r="C4497">
        <v>5</v>
      </c>
      <c r="J4497">
        <v>45</v>
      </c>
      <c r="AY4497">
        <f t="shared" si="140"/>
        <v>43</v>
      </c>
      <c r="AZ4497">
        <f t="shared" si="141"/>
        <v>3</v>
      </c>
    </row>
    <row r="4498" spans="1:52" ht="55.2">
      <c r="A4498" s="3" t="s">
        <v>4542</v>
      </c>
      <c r="C4498">
        <v>5</v>
      </c>
      <c r="J4498">
        <v>45</v>
      </c>
      <c r="AY4498">
        <f t="shared" si="140"/>
        <v>43</v>
      </c>
      <c r="AZ4498">
        <f t="shared" si="141"/>
        <v>3</v>
      </c>
    </row>
    <row r="4499" spans="1:52" ht="55.2">
      <c r="A4499" s="3" t="s">
        <v>4543</v>
      </c>
      <c r="C4499">
        <v>5</v>
      </c>
      <c r="J4499">
        <v>45</v>
      </c>
      <c r="AY4499">
        <f t="shared" si="140"/>
        <v>43</v>
      </c>
      <c r="AZ4499">
        <f t="shared" si="141"/>
        <v>3</v>
      </c>
    </row>
    <row r="4500" spans="1:52" ht="55.2">
      <c r="A4500" s="3" t="s">
        <v>4544</v>
      </c>
      <c r="C4500">
        <v>5</v>
      </c>
      <c r="J4500">
        <v>45</v>
      </c>
      <c r="AY4500">
        <f t="shared" si="140"/>
        <v>43</v>
      </c>
      <c r="AZ4500">
        <f t="shared" si="141"/>
        <v>3</v>
      </c>
    </row>
    <row r="4501" spans="1:52" ht="55.2">
      <c r="A4501" s="3" t="s">
        <v>4545</v>
      </c>
      <c r="C4501">
        <v>5</v>
      </c>
      <c r="J4501">
        <v>45</v>
      </c>
      <c r="AY4501">
        <f t="shared" si="140"/>
        <v>43</v>
      </c>
      <c r="AZ4501">
        <f t="shared" si="141"/>
        <v>3</v>
      </c>
    </row>
    <row r="4502" spans="1:52" ht="55.2">
      <c r="A4502" s="3" t="s">
        <v>4546</v>
      </c>
      <c r="C4502">
        <v>5</v>
      </c>
      <c r="J4502">
        <v>45</v>
      </c>
      <c r="AY4502">
        <f t="shared" si="140"/>
        <v>43</v>
      </c>
      <c r="AZ4502">
        <f t="shared" si="141"/>
        <v>3</v>
      </c>
    </row>
    <row r="4503" spans="1:52" ht="55.2">
      <c r="A4503" s="3" t="s">
        <v>4547</v>
      </c>
      <c r="C4503">
        <v>5</v>
      </c>
      <c r="J4503">
        <v>45</v>
      </c>
      <c r="AY4503">
        <f t="shared" si="140"/>
        <v>43</v>
      </c>
      <c r="AZ4503">
        <f t="shared" si="141"/>
        <v>3</v>
      </c>
    </row>
    <row r="4504" spans="1:52" ht="55.2">
      <c r="A4504" s="3" t="s">
        <v>4548</v>
      </c>
      <c r="C4504">
        <v>5</v>
      </c>
      <c r="J4504">
        <v>45</v>
      </c>
      <c r="AY4504">
        <f t="shared" si="140"/>
        <v>43</v>
      </c>
      <c r="AZ4504">
        <f t="shared" si="141"/>
        <v>3</v>
      </c>
    </row>
    <row r="4505" spans="1:52" ht="55.2">
      <c r="A4505" s="3" t="s">
        <v>4549</v>
      </c>
      <c r="C4505">
        <v>5</v>
      </c>
      <c r="J4505">
        <v>45</v>
      </c>
      <c r="AY4505">
        <f t="shared" si="140"/>
        <v>43</v>
      </c>
      <c r="AZ4505">
        <f t="shared" si="141"/>
        <v>3</v>
      </c>
    </row>
    <row r="4506" spans="1:52" ht="55.2">
      <c r="A4506" s="3" t="s">
        <v>4550</v>
      </c>
      <c r="C4506">
        <v>5</v>
      </c>
      <c r="J4506">
        <v>45</v>
      </c>
      <c r="AY4506">
        <f t="shared" si="140"/>
        <v>43</v>
      </c>
      <c r="AZ4506">
        <f t="shared" si="141"/>
        <v>3</v>
      </c>
    </row>
    <row r="4507" spans="1:52" ht="55.2">
      <c r="A4507" s="3" t="s">
        <v>4551</v>
      </c>
      <c r="C4507">
        <v>5</v>
      </c>
      <c r="J4507">
        <v>45</v>
      </c>
      <c r="AY4507">
        <f t="shared" si="140"/>
        <v>43</v>
      </c>
      <c r="AZ4507">
        <f t="shared" si="141"/>
        <v>3</v>
      </c>
    </row>
    <row r="4508" spans="1:52" ht="55.2">
      <c r="A4508" s="3" t="s">
        <v>4552</v>
      </c>
      <c r="C4508">
        <v>5</v>
      </c>
      <c r="J4508">
        <v>45</v>
      </c>
      <c r="AY4508">
        <f t="shared" si="140"/>
        <v>43</v>
      </c>
      <c r="AZ4508">
        <f t="shared" si="141"/>
        <v>3</v>
      </c>
    </row>
    <row r="4509" spans="1:52" ht="55.2">
      <c r="A4509" s="3" t="s">
        <v>4553</v>
      </c>
      <c r="C4509">
        <v>5</v>
      </c>
      <c r="J4509">
        <v>45</v>
      </c>
      <c r="AY4509">
        <f t="shared" si="140"/>
        <v>43</v>
      </c>
      <c r="AZ4509">
        <f t="shared" si="141"/>
        <v>3</v>
      </c>
    </row>
    <row r="4510" spans="1:52" ht="55.2">
      <c r="A4510" s="3" t="s">
        <v>4554</v>
      </c>
      <c r="C4510">
        <v>5</v>
      </c>
      <c r="J4510">
        <v>45</v>
      </c>
      <c r="AY4510">
        <f t="shared" si="140"/>
        <v>43</v>
      </c>
      <c r="AZ4510">
        <f t="shared" si="141"/>
        <v>3</v>
      </c>
    </row>
    <row r="4511" spans="1:52" ht="55.2">
      <c r="A4511" s="3" t="s">
        <v>4555</v>
      </c>
      <c r="C4511">
        <v>5</v>
      </c>
      <c r="J4511">
        <v>45</v>
      </c>
      <c r="AY4511">
        <f t="shared" si="140"/>
        <v>43</v>
      </c>
      <c r="AZ4511">
        <f t="shared" si="141"/>
        <v>3</v>
      </c>
    </row>
    <row r="4512" spans="1:52" ht="55.2">
      <c r="A4512" s="3" t="s">
        <v>4556</v>
      </c>
      <c r="C4512">
        <v>5</v>
      </c>
      <c r="J4512">
        <v>45</v>
      </c>
      <c r="AY4512">
        <f t="shared" si="140"/>
        <v>43</v>
      </c>
      <c r="AZ4512">
        <f t="shared" si="141"/>
        <v>3</v>
      </c>
    </row>
    <row r="4513" spans="1:52" ht="55.2">
      <c r="A4513" s="3" t="s">
        <v>4557</v>
      </c>
      <c r="C4513">
        <v>5</v>
      </c>
      <c r="J4513">
        <v>45</v>
      </c>
      <c r="AY4513">
        <f t="shared" ref="AY4513:AY4576" si="142">COUNTBLANK(F4513:AW4513)</f>
        <v>43</v>
      </c>
      <c r="AZ4513">
        <f t="shared" ref="AZ4513:AZ4576" si="143">COUNTBLANK(B4513:E4513)</f>
        <v>3</v>
      </c>
    </row>
    <row r="4514" spans="1:52" ht="55.2">
      <c r="A4514" s="3" t="s">
        <v>4558</v>
      </c>
      <c r="C4514">
        <v>5</v>
      </c>
      <c r="J4514">
        <v>45</v>
      </c>
      <c r="AY4514">
        <f t="shared" si="142"/>
        <v>43</v>
      </c>
      <c r="AZ4514">
        <f t="shared" si="143"/>
        <v>3</v>
      </c>
    </row>
    <row r="4515" spans="1:52" ht="55.2">
      <c r="A4515" s="3" t="s">
        <v>4559</v>
      </c>
      <c r="C4515">
        <v>5</v>
      </c>
      <c r="J4515">
        <v>45</v>
      </c>
      <c r="AY4515">
        <f t="shared" si="142"/>
        <v>43</v>
      </c>
      <c r="AZ4515">
        <f t="shared" si="143"/>
        <v>3</v>
      </c>
    </row>
    <row r="4516" spans="1:52" ht="55.2">
      <c r="A4516" s="3" t="s">
        <v>4560</v>
      </c>
      <c r="C4516">
        <v>5</v>
      </c>
      <c r="J4516">
        <v>45</v>
      </c>
      <c r="AY4516">
        <f t="shared" si="142"/>
        <v>43</v>
      </c>
      <c r="AZ4516">
        <f t="shared" si="143"/>
        <v>3</v>
      </c>
    </row>
    <row r="4517" spans="1:52" ht="55.2">
      <c r="A4517" s="3" t="s">
        <v>4561</v>
      </c>
      <c r="C4517">
        <v>5</v>
      </c>
      <c r="J4517">
        <v>45</v>
      </c>
      <c r="AY4517">
        <f t="shared" si="142"/>
        <v>43</v>
      </c>
      <c r="AZ4517">
        <f t="shared" si="143"/>
        <v>3</v>
      </c>
    </row>
    <row r="4518" spans="1:52" ht="55.2">
      <c r="A4518" s="3" t="s">
        <v>4562</v>
      </c>
      <c r="C4518">
        <v>5</v>
      </c>
      <c r="J4518">
        <v>45</v>
      </c>
      <c r="AY4518">
        <f t="shared" si="142"/>
        <v>43</v>
      </c>
      <c r="AZ4518">
        <f t="shared" si="143"/>
        <v>3</v>
      </c>
    </row>
    <row r="4519" spans="1:52" ht="55.2">
      <c r="A4519" s="3" t="s">
        <v>4563</v>
      </c>
      <c r="C4519">
        <v>5</v>
      </c>
      <c r="J4519">
        <v>45</v>
      </c>
      <c r="AY4519">
        <f t="shared" si="142"/>
        <v>43</v>
      </c>
      <c r="AZ4519">
        <f t="shared" si="143"/>
        <v>3</v>
      </c>
    </row>
    <row r="4520" spans="1:52" ht="55.2">
      <c r="A4520" s="3" t="s">
        <v>4564</v>
      </c>
      <c r="C4520">
        <v>5</v>
      </c>
      <c r="AT4520">
        <v>10</v>
      </c>
      <c r="AY4520">
        <f t="shared" si="142"/>
        <v>43</v>
      </c>
      <c r="AZ4520">
        <f t="shared" si="143"/>
        <v>3</v>
      </c>
    </row>
    <row r="4521" spans="1:52" ht="55.2">
      <c r="A4521" s="3" t="s">
        <v>4565</v>
      </c>
      <c r="C4521">
        <v>5</v>
      </c>
      <c r="AT4521">
        <v>10</v>
      </c>
      <c r="AY4521">
        <f t="shared" si="142"/>
        <v>43</v>
      </c>
      <c r="AZ4521">
        <f t="shared" si="143"/>
        <v>3</v>
      </c>
    </row>
    <row r="4522" spans="1:52" ht="55.2">
      <c r="A4522" s="3" t="s">
        <v>4566</v>
      </c>
      <c r="C4522">
        <v>5</v>
      </c>
      <c r="AT4522">
        <v>10</v>
      </c>
      <c r="AY4522">
        <f t="shared" si="142"/>
        <v>43</v>
      </c>
      <c r="AZ4522">
        <f t="shared" si="143"/>
        <v>3</v>
      </c>
    </row>
    <row r="4523" spans="1:52" ht="55.2">
      <c r="A4523" s="3" t="s">
        <v>4567</v>
      </c>
      <c r="C4523">
        <v>5</v>
      </c>
      <c r="AT4523">
        <v>10</v>
      </c>
      <c r="AY4523">
        <f t="shared" si="142"/>
        <v>43</v>
      </c>
      <c r="AZ4523">
        <f t="shared" si="143"/>
        <v>3</v>
      </c>
    </row>
    <row r="4524" spans="1:52" ht="55.2">
      <c r="A4524" s="3" t="s">
        <v>4568</v>
      </c>
      <c r="C4524">
        <v>5</v>
      </c>
      <c r="AT4524">
        <v>10</v>
      </c>
      <c r="AY4524">
        <f t="shared" si="142"/>
        <v>43</v>
      </c>
      <c r="AZ4524">
        <f t="shared" si="143"/>
        <v>3</v>
      </c>
    </row>
    <row r="4525" spans="1:52" ht="55.2">
      <c r="A4525" s="3" t="s">
        <v>4569</v>
      </c>
      <c r="C4525">
        <v>5</v>
      </c>
      <c r="AT4525">
        <v>10</v>
      </c>
      <c r="AY4525">
        <f t="shared" si="142"/>
        <v>43</v>
      </c>
      <c r="AZ4525">
        <f t="shared" si="143"/>
        <v>3</v>
      </c>
    </row>
    <row r="4526" spans="1:52" ht="55.2">
      <c r="A4526" s="3" t="s">
        <v>4570</v>
      </c>
      <c r="C4526">
        <v>5</v>
      </c>
      <c r="AT4526">
        <v>10</v>
      </c>
      <c r="AY4526">
        <f t="shared" si="142"/>
        <v>43</v>
      </c>
      <c r="AZ4526">
        <f t="shared" si="143"/>
        <v>3</v>
      </c>
    </row>
    <row r="4527" spans="1:52" ht="55.2">
      <c r="A4527" s="3" t="s">
        <v>4571</v>
      </c>
      <c r="C4527">
        <v>5</v>
      </c>
      <c r="AT4527">
        <v>10</v>
      </c>
      <c r="AY4527">
        <f t="shared" si="142"/>
        <v>43</v>
      </c>
      <c r="AZ4527">
        <f t="shared" si="143"/>
        <v>3</v>
      </c>
    </row>
    <row r="4528" spans="1:52" ht="55.2">
      <c r="A4528" s="3" t="s">
        <v>4572</v>
      </c>
      <c r="C4528">
        <v>5</v>
      </c>
      <c r="AT4528">
        <v>10</v>
      </c>
      <c r="AY4528">
        <f t="shared" si="142"/>
        <v>43</v>
      </c>
      <c r="AZ4528">
        <f t="shared" si="143"/>
        <v>3</v>
      </c>
    </row>
    <row r="4529" spans="1:52" ht="55.2">
      <c r="A4529" s="3" t="s">
        <v>4573</v>
      </c>
      <c r="C4529">
        <v>5</v>
      </c>
      <c r="AT4529">
        <v>10</v>
      </c>
      <c r="AY4529">
        <f t="shared" si="142"/>
        <v>43</v>
      </c>
      <c r="AZ4529">
        <f t="shared" si="143"/>
        <v>3</v>
      </c>
    </row>
    <row r="4530" spans="1:52" ht="55.2">
      <c r="A4530" s="3" t="s">
        <v>4574</v>
      </c>
      <c r="C4530">
        <v>5</v>
      </c>
      <c r="AT4530">
        <v>10</v>
      </c>
      <c r="AY4530">
        <f t="shared" si="142"/>
        <v>43</v>
      </c>
      <c r="AZ4530">
        <f t="shared" si="143"/>
        <v>3</v>
      </c>
    </row>
    <row r="4531" spans="1:52" ht="55.2">
      <c r="A4531" s="3" t="s">
        <v>4575</v>
      </c>
      <c r="C4531">
        <v>5</v>
      </c>
      <c r="AT4531">
        <v>10</v>
      </c>
      <c r="AY4531">
        <f t="shared" si="142"/>
        <v>43</v>
      </c>
      <c r="AZ4531">
        <f t="shared" si="143"/>
        <v>3</v>
      </c>
    </row>
    <row r="4532" spans="1:52" ht="55.2">
      <c r="A4532" s="3" t="s">
        <v>4576</v>
      </c>
      <c r="C4532">
        <v>5</v>
      </c>
      <c r="AT4532">
        <v>10</v>
      </c>
      <c r="AY4532">
        <f t="shared" si="142"/>
        <v>43</v>
      </c>
      <c r="AZ4532">
        <f t="shared" si="143"/>
        <v>3</v>
      </c>
    </row>
    <row r="4533" spans="1:52" ht="55.2">
      <c r="A4533" s="3" t="s">
        <v>4577</v>
      </c>
      <c r="C4533">
        <v>5</v>
      </c>
      <c r="AT4533">
        <v>10</v>
      </c>
      <c r="AY4533">
        <f t="shared" si="142"/>
        <v>43</v>
      </c>
      <c r="AZ4533">
        <f t="shared" si="143"/>
        <v>3</v>
      </c>
    </row>
    <row r="4534" spans="1:52" ht="55.2">
      <c r="A4534" s="3" t="s">
        <v>4578</v>
      </c>
      <c r="C4534">
        <v>5</v>
      </c>
      <c r="AT4534">
        <v>10</v>
      </c>
      <c r="AY4534">
        <f t="shared" si="142"/>
        <v>43</v>
      </c>
      <c r="AZ4534">
        <f t="shared" si="143"/>
        <v>3</v>
      </c>
    </row>
    <row r="4535" spans="1:52" ht="55.2">
      <c r="A4535" s="3" t="s">
        <v>4579</v>
      </c>
      <c r="C4535">
        <v>5</v>
      </c>
      <c r="AT4535">
        <v>10</v>
      </c>
      <c r="AY4535">
        <f t="shared" si="142"/>
        <v>43</v>
      </c>
      <c r="AZ4535">
        <f t="shared" si="143"/>
        <v>3</v>
      </c>
    </row>
    <row r="4536" spans="1:52" ht="55.2">
      <c r="A4536" s="3" t="s">
        <v>4580</v>
      </c>
      <c r="C4536">
        <v>5</v>
      </c>
      <c r="AT4536">
        <v>10</v>
      </c>
      <c r="AY4536">
        <f t="shared" si="142"/>
        <v>43</v>
      </c>
      <c r="AZ4536">
        <f t="shared" si="143"/>
        <v>3</v>
      </c>
    </row>
    <row r="4537" spans="1:52" ht="55.2">
      <c r="A4537" s="3" t="s">
        <v>4581</v>
      </c>
      <c r="C4537">
        <v>5</v>
      </c>
      <c r="AT4537">
        <v>10</v>
      </c>
      <c r="AY4537">
        <f t="shared" si="142"/>
        <v>43</v>
      </c>
      <c r="AZ4537">
        <f t="shared" si="143"/>
        <v>3</v>
      </c>
    </row>
    <row r="4538" spans="1:52" ht="55.2">
      <c r="A4538" s="3" t="s">
        <v>4582</v>
      </c>
      <c r="C4538">
        <v>5</v>
      </c>
      <c r="AT4538">
        <v>10</v>
      </c>
      <c r="AY4538">
        <f t="shared" si="142"/>
        <v>43</v>
      </c>
      <c r="AZ4538">
        <f t="shared" si="143"/>
        <v>3</v>
      </c>
    </row>
    <row r="4539" spans="1:52" ht="55.2">
      <c r="A4539" s="3" t="s">
        <v>4583</v>
      </c>
      <c r="C4539">
        <v>5</v>
      </c>
      <c r="AT4539">
        <v>10</v>
      </c>
      <c r="AY4539">
        <f t="shared" si="142"/>
        <v>43</v>
      </c>
      <c r="AZ4539">
        <f t="shared" si="143"/>
        <v>3</v>
      </c>
    </row>
    <row r="4540" spans="1:52" ht="55.2">
      <c r="A4540" s="3" t="s">
        <v>4584</v>
      </c>
      <c r="C4540">
        <v>5</v>
      </c>
      <c r="AT4540">
        <v>10</v>
      </c>
      <c r="AY4540">
        <f t="shared" si="142"/>
        <v>43</v>
      </c>
      <c r="AZ4540">
        <f t="shared" si="143"/>
        <v>3</v>
      </c>
    </row>
    <row r="4541" spans="1:52" ht="55.2">
      <c r="A4541" s="3" t="s">
        <v>4585</v>
      </c>
      <c r="C4541">
        <v>5</v>
      </c>
      <c r="AT4541">
        <v>10</v>
      </c>
      <c r="AY4541">
        <f t="shared" si="142"/>
        <v>43</v>
      </c>
      <c r="AZ4541">
        <f t="shared" si="143"/>
        <v>3</v>
      </c>
    </row>
    <row r="4542" spans="1:52" ht="55.2">
      <c r="A4542" s="3" t="s">
        <v>4586</v>
      </c>
      <c r="C4542">
        <v>5</v>
      </c>
      <c r="AT4542">
        <v>10</v>
      </c>
      <c r="AY4542">
        <f t="shared" si="142"/>
        <v>43</v>
      </c>
      <c r="AZ4542">
        <f t="shared" si="143"/>
        <v>3</v>
      </c>
    </row>
    <row r="4543" spans="1:52" ht="55.2">
      <c r="A4543" s="3" t="s">
        <v>4587</v>
      </c>
      <c r="C4543">
        <v>5</v>
      </c>
      <c r="J4543">
        <v>46</v>
      </c>
      <c r="AY4543">
        <f t="shared" si="142"/>
        <v>43</v>
      </c>
      <c r="AZ4543">
        <f t="shared" si="143"/>
        <v>3</v>
      </c>
    </row>
    <row r="4544" spans="1:52" ht="55.2">
      <c r="A4544" s="3" t="s">
        <v>4588</v>
      </c>
      <c r="C4544">
        <v>5</v>
      </c>
      <c r="J4544">
        <v>46</v>
      </c>
      <c r="AY4544">
        <f t="shared" si="142"/>
        <v>43</v>
      </c>
      <c r="AZ4544">
        <f t="shared" si="143"/>
        <v>3</v>
      </c>
    </row>
    <row r="4545" spans="1:52" ht="55.2">
      <c r="A4545" s="3" t="s">
        <v>4589</v>
      </c>
      <c r="C4545">
        <v>5</v>
      </c>
      <c r="J4545">
        <v>46</v>
      </c>
      <c r="AY4545">
        <f t="shared" si="142"/>
        <v>43</v>
      </c>
      <c r="AZ4545">
        <f t="shared" si="143"/>
        <v>3</v>
      </c>
    </row>
    <row r="4546" spans="1:52" ht="55.2">
      <c r="A4546" s="3" t="s">
        <v>4590</v>
      </c>
      <c r="C4546">
        <v>5</v>
      </c>
      <c r="J4546">
        <v>46</v>
      </c>
      <c r="AY4546">
        <f t="shared" si="142"/>
        <v>43</v>
      </c>
      <c r="AZ4546">
        <f t="shared" si="143"/>
        <v>3</v>
      </c>
    </row>
    <row r="4547" spans="1:52" ht="55.2">
      <c r="A4547" s="3" t="s">
        <v>4591</v>
      </c>
      <c r="C4547">
        <v>5</v>
      </c>
      <c r="J4547">
        <v>46</v>
      </c>
      <c r="AY4547">
        <f t="shared" si="142"/>
        <v>43</v>
      </c>
      <c r="AZ4547">
        <f t="shared" si="143"/>
        <v>3</v>
      </c>
    </row>
    <row r="4548" spans="1:52" ht="55.2">
      <c r="A4548" s="3" t="s">
        <v>4592</v>
      </c>
      <c r="C4548">
        <v>5</v>
      </c>
      <c r="J4548">
        <v>46</v>
      </c>
      <c r="AY4548">
        <f t="shared" si="142"/>
        <v>43</v>
      </c>
      <c r="AZ4548">
        <f t="shared" si="143"/>
        <v>3</v>
      </c>
    </row>
    <row r="4549" spans="1:52" ht="55.2">
      <c r="A4549" s="3" t="s">
        <v>4593</v>
      </c>
      <c r="C4549">
        <v>5</v>
      </c>
      <c r="J4549">
        <v>46</v>
      </c>
      <c r="AY4549">
        <f t="shared" si="142"/>
        <v>43</v>
      </c>
      <c r="AZ4549">
        <f t="shared" si="143"/>
        <v>3</v>
      </c>
    </row>
    <row r="4550" spans="1:52" ht="55.2">
      <c r="A4550" s="3" t="s">
        <v>4594</v>
      </c>
      <c r="C4550">
        <v>5</v>
      </c>
      <c r="J4550">
        <v>46</v>
      </c>
      <c r="AY4550">
        <f t="shared" si="142"/>
        <v>43</v>
      </c>
      <c r="AZ4550">
        <f t="shared" si="143"/>
        <v>3</v>
      </c>
    </row>
    <row r="4551" spans="1:52" ht="55.2">
      <c r="A4551" s="3" t="s">
        <v>4595</v>
      </c>
      <c r="C4551">
        <v>5</v>
      </c>
      <c r="J4551">
        <v>46</v>
      </c>
      <c r="AY4551">
        <f t="shared" si="142"/>
        <v>43</v>
      </c>
      <c r="AZ4551">
        <f t="shared" si="143"/>
        <v>3</v>
      </c>
    </row>
    <row r="4552" spans="1:52" ht="55.2">
      <c r="A4552" s="3" t="s">
        <v>4596</v>
      </c>
      <c r="C4552">
        <v>5</v>
      </c>
      <c r="J4552">
        <v>46</v>
      </c>
      <c r="AY4552">
        <f t="shared" si="142"/>
        <v>43</v>
      </c>
      <c r="AZ4552">
        <f t="shared" si="143"/>
        <v>3</v>
      </c>
    </row>
    <row r="4553" spans="1:52" ht="55.2">
      <c r="A4553" s="3" t="s">
        <v>4597</v>
      </c>
      <c r="C4553">
        <v>5</v>
      </c>
      <c r="J4553">
        <v>46</v>
      </c>
      <c r="AY4553">
        <f t="shared" si="142"/>
        <v>43</v>
      </c>
      <c r="AZ4553">
        <f t="shared" si="143"/>
        <v>3</v>
      </c>
    </row>
    <row r="4554" spans="1:52" ht="55.2">
      <c r="A4554" s="3" t="s">
        <v>4598</v>
      </c>
      <c r="C4554">
        <v>5</v>
      </c>
      <c r="J4554">
        <v>46</v>
      </c>
      <c r="AY4554">
        <f t="shared" si="142"/>
        <v>43</v>
      </c>
      <c r="AZ4554">
        <f t="shared" si="143"/>
        <v>3</v>
      </c>
    </row>
    <row r="4555" spans="1:52" ht="55.2">
      <c r="A4555" s="3" t="s">
        <v>4599</v>
      </c>
      <c r="C4555">
        <v>5</v>
      </c>
      <c r="AT4555">
        <v>11</v>
      </c>
      <c r="AY4555">
        <f t="shared" si="142"/>
        <v>43</v>
      </c>
      <c r="AZ4555">
        <f t="shared" si="143"/>
        <v>3</v>
      </c>
    </row>
    <row r="4556" spans="1:52" ht="55.2">
      <c r="A4556" s="3" t="s">
        <v>4600</v>
      </c>
      <c r="C4556">
        <v>5</v>
      </c>
      <c r="AT4556">
        <v>11</v>
      </c>
      <c r="AY4556">
        <f t="shared" si="142"/>
        <v>43</v>
      </c>
      <c r="AZ4556">
        <f t="shared" si="143"/>
        <v>3</v>
      </c>
    </row>
    <row r="4557" spans="1:52" ht="55.2">
      <c r="A4557" s="3" t="s">
        <v>4601</v>
      </c>
      <c r="C4557">
        <v>5</v>
      </c>
      <c r="AT4557">
        <v>11</v>
      </c>
      <c r="AY4557">
        <f t="shared" si="142"/>
        <v>43</v>
      </c>
      <c r="AZ4557">
        <f t="shared" si="143"/>
        <v>3</v>
      </c>
    </row>
    <row r="4558" spans="1:52" ht="55.2">
      <c r="A4558" s="3" t="s">
        <v>4602</v>
      </c>
      <c r="C4558">
        <v>5</v>
      </c>
      <c r="AT4558">
        <v>11</v>
      </c>
      <c r="AY4558">
        <f t="shared" si="142"/>
        <v>43</v>
      </c>
      <c r="AZ4558">
        <f t="shared" si="143"/>
        <v>3</v>
      </c>
    </row>
    <row r="4559" spans="1:52" ht="55.2">
      <c r="A4559" s="3" t="s">
        <v>4603</v>
      </c>
      <c r="C4559">
        <v>5</v>
      </c>
      <c r="AT4559">
        <v>11</v>
      </c>
      <c r="AY4559">
        <f t="shared" si="142"/>
        <v>43</v>
      </c>
      <c r="AZ4559">
        <f t="shared" si="143"/>
        <v>3</v>
      </c>
    </row>
    <row r="4560" spans="1:52" ht="55.2">
      <c r="A4560" s="3" t="s">
        <v>4604</v>
      </c>
      <c r="C4560">
        <v>5</v>
      </c>
      <c r="AT4560">
        <v>11</v>
      </c>
      <c r="AY4560">
        <f t="shared" si="142"/>
        <v>43</v>
      </c>
      <c r="AZ4560">
        <f t="shared" si="143"/>
        <v>3</v>
      </c>
    </row>
    <row r="4561" spans="1:52" ht="55.2">
      <c r="A4561" s="3" t="s">
        <v>4605</v>
      </c>
      <c r="C4561">
        <v>5</v>
      </c>
      <c r="AT4561">
        <v>11</v>
      </c>
      <c r="AY4561">
        <f t="shared" si="142"/>
        <v>43</v>
      </c>
      <c r="AZ4561">
        <f t="shared" si="143"/>
        <v>3</v>
      </c>
    </row>
    <row r="4562" spans="1:52" ht="55.2">
      <c r="A4562" s="3" t="s">
        <v>4606</v>
      </c>
      <c r="C4562">
        <v>5</v>
      </c>
      <c r="AT4562">
        <v>11</v>
      </c>
      <c r="AY4562">
        <f t="shared" si="142"/>
        <v>43</v>
      </c>
      <c r="AZ4562">
        <f t="shared" si="143"/>
        <v>3</v>
      </c>
    </row>
    <row r="4563" spans="1:52" ht="55.2">
      <c r="A4563" s="3" t="s">
        <v>4607</v>
      </c>
      <c r="C4563">
        <v>5</v>
      </c>
      <c r="AT4563">
        <v>11</v>
      </c>
      <c r="AY4563">
        <f t="shared" si="142"/>
        <v>43</v>
      </c>
      <c r="AZ4563">
        <f t="shared" si="143"/>
        <v>3</v>
      </c>
    </row>
    <row r="4564" spans="1:52" ht="55.2">
      <c r="A4564" s="3" t="s">
        <v>4608</v>
      </c>
      <c r="C4564">
        <v>5</v>
      </c>
      <c r="AT4564">
        <v>11</v>
      </c>
      <c r="AY4564">
        <f t="shared" si="142"/>
        <v>43</v>
      </c>
      <c r="AZ4564">
        <f t="shared" si="143"/>
        <v>3</v>
      </c>
    </row>
    <row r="4565" spans="1:52" ht="55.2">
      <c r="A4565" s="3" t="s">
        <v>4609</v>
      </c>
      <c r="C4565">
        <v>5</v>
      </c>
      <c r="AT4565">
        <v>11</v>
      </c>
      <c r="AY4565">
        <f t="shared" si="142"/>
        <v>43</v>
      </c>
      <c r="AZ4565">
        <f t="shared" si="143"/>
        <v>3</v>
      </c>
    </row>
    <row r="4566" spans="1:52" ht="55.2">
      <c r="A4566" s="3" t="s">
        <v>4610</v>
      </c>
      <c r="C4566">
        <v>5</v>
      </c>
      <c r="AT4566">
        <v>11</v>
      </c>
      <c r="AY4566">
        <f t="shared" si="142"/>
        <v>43</v>
      </c>
      <c r="AZ4566">
        <f t="shared" si="143"/>
        <v>3</v>
      </c>
    </row>
    <row r="4567" spans="1:52" ht="55.2">
      <c r="A4567" s="3" t="s">
        <v>4611</v>
      </c>
      <c r="C4567">
        <v>5</v>
      </c>
      <c r="AT4567">
        <v>11</v>
      </c>
      <c r="AY4567">
        <f t="shared" si="142"/>
        <v>43</v>
      </c>
      <c r="AZ4567">
        <f t="shared" si="143"/>
        <v>3</v>
      </c>
    </row>
    <row r="4568" spans="1:52" ht="55.2">
      <c r="A4568" s="3" t="s">
        <v>4612</v>
      </c>
      <c r="C4568">
        <v>5</v>
      </c>
      <c r="AT4568">
        <v>11</v>
      </c>
      <c r="AY4568">
        <f t="shared" si="142"/>
        <v>43</v>
      </c>
      <c r="AZ4568">
        <f t="shared" si="143"/>
        <v>3</v>
      </c>
    </row>
    <row r="4569" spans="1:52" ht="55.2">
      <c r="A4569" s="3" t="s">
        <v>4613</v>
      </c>
      <c r="C4569">
        <v>5</v>
      </c>
      <c r="AT4569">
        <v>11</v>
      </c>
      <c r="AY4569">
        <f t="shared" si="142"/>
        <v>43</v>
      </c>
      <c r="AZ4569">
        <f t="shared" si="143"/>
        <v>3</v>
      </c>
    </row>
    <row r="4570" spans="1:52" ht="55.2">
      <c r="A4570" s="3" t="s">
        <v>4614</v>
      </c>
      <c r="C4570">
        <v>5</v>
      </c>
      <c r="AT4570">
        <v>11</v>
      </c>
      <c r="AY4570">
        <f t="shared" si="142"/>
        <v>43</v>
      </c>
      <c r="AZ4570">
        <f t="shared" si="143"/>
        <v>3</v>
      </c>
    </row>
    <row r="4571" spans="1:52" ht="55.2">
      <c r="A4571" s="3" t="s">
        <v>4615</v>
      </c>
      <c r="C4571">
        <v>5</v>
      </c>
      <c r="AT4571">
        <v>11</v>
      </c>
      <c r="AY4571">
        <f t="shared" si="142"/>
        <v>43</v>
      </c>
      <c r="AZ4571">
        <f t="shared" si="143"/>
        <v>3</v>
      </c>
    </row>
    <row r="4572" spans="1:52" ht="55.2">
      <c r="A4572" s="3" t="s">
        <v>4616</v>
      </c>
      <c r="C4572">
        <v>5</v>
      </c>
      <c r="AT4572">
        <v>11</v>
      </c>
      <c r="AY4572">
        <f t="shared" si="142"/>
        <v>43</v>
      </c>
      <c r="AZ4572">
        <f t="shared" si="143"/>
        <v>3</v>
      </c>
    </row>
    <row r="4573" spans="1:52" ht="55.2">
      <c r="A4573" s="3" t="s">
        <v>4617</v>
      </c>
      <c r="C4573">
        <v>5</v>
      </c>
      <c r="AT4573">
        <v>11</v>
      </c>
      <c r="AY4573">
        <f t="shared" si="142"/>
        <v>43</v>
      </c>
      <c r="AZ4573">
        <f t="shared" si="143"/>
        <v>3</v>
      </c>
    </row>
    <row r="4574" spans="1:52" ht="55.2">
      <c r="A4574" s="3" t="s">
        <v>4618</v>
      </c>
      <c r="C4574">
        <v>5</v>
      </c>
      <c r="AT4574">
        <v>11</v>
      </c>
      <c r="AY4574">
        <f t="shared" si="142"/>
        <v>43</v>
      </c>
      <c r="AZ4574">
        <f t="shared" si="143"/>
        <v>3</v>
      </c>
    </row>
    <row r="4575" spans="1:52" ht="55.2">
      <c r="A4575" s="3" t="s">
        <v>4619</v>
      </c>
      <c r="C4575">
        <v>5</v>
      </c>
      <c r="AT4575">
        <v>11</v>
      </c>
      <c r="AY4575">
        <f t="shared" si="142"/>
        <v>43</v>
      </c>
      <c r="AZ4575">
        <f t="shared" si="143"/>
        <v>3</v>
      </c>
    </row>
    <row r="4576" spans="1:52" ht="55.2">
      <c r="A4576" s="3" t="s">
        <v>4620</v>
      </c>
      <c r="C4576">
        <v>5</v>
      </c>
      <c r="AT4576">
        <v>11</v>
      </c>
      <c r="AY4576">
        <f t="shared" si="142"/>
        <v>43</v>
      </c>
      <c r="AZ4576">
        <f t="shared" si="143"/>
        <v>3</v>
      </c>
    </row>
    <row r="4577" spans="1:52" ht="55.2">
      <c r="A4577" s="3" t="s">
        <v>4621</v>
      </c>
      <c r="C4577">
        <v>5</v>
      </c>
      <c r="AT4577">
        <v>11</v>
      </c>
      <c r="AY4577">
        <f t="shared" ref="AY4577:AY4640" si="144">COUNTBLANK(F4577:AW4577)</f>
        <v>43</v>
      </c>
      <c r="AZ4577">
        <f t="shared" ref="AZ4577:AZ4640" si="145">COUNTBLANK(B4577:E4577)</f>
        <v>3</v>
      </c>
    </row>
    <row r="4578" spans="1:52" ht="55.2">
      <c r="A4578" s="3" t="s">
        <v>4622</v>
      </c>
      <c r="C4578">
        <v>5</v>
      </c>
      <c r="AT4578">
        <v>11</v>
      </c>
      <c r="AY4578">
        <f t="shared" si="144"/>
        <v>43</v>
      </c>
      <c r="AZ4578">
        <f t="shared" si="145"/>
        <v>3</v>
      </c>
    </row>
    <row r="4579" spans="1:52" ht="55.2">
      <c r="A4579" s="3" t="s">
        <v>4623</v>
      </c>
      <c r="C4579">
        <v>5</v>
      </c>
      <c r="AT4579">
        <v>11</v>
      </c>
      <c r="AY4579">
        <f t="shared" si="144"/>
        <v>43</v>
      </c>
      <c r="AZ4579">
        <f t="shared" si="145"/>
        <v>3</v>
      </c>
    </row>
    <row r="4580" spans="1:52" ht="55.2">
      <c r="A4580" s="3" t="s">
        <v>4624</v>
      </c>
      <c r="C4580">
        <v>5</v>
      </c>
      <c r="AT4580">
        <v>11</v>
      </c>
      <c r="AY4580">
        <f t="shared" si="144"/>
        <v>43</v>
      </c>
      <c r="AZ4580">
        <f t="shared" si="145"/>
        <v>3</v>
      </c>
    </row>
    <row r="4581" spans="1:52" ht="55.2">
      <c r="A4581" s="3" t="s">
        <v>4625</v>
      </c>
      <c r="C4581">
        <v>5</v>
      </c>
      <c r="AT4581">
        <v>11</v>
      </c>
      <c r="AY4581">
        <f t="shared" si="144"/>
        <v>43</v>
      </c>
      <c r="AZ4581">
        <f t="shared" si="145"/>
        <v>3</v>
      </c>
    </row>
    <row r="4582" spans="1:52" ht="55.2">
      <c r="A4582" s="3" t="s">
        <v>4626</v>
      </c>
      <c r="C4582">
        <v>5</v>
      </c>
      <c r="AT4582">
        <v>11</v>
      </c>
      <c r="AY4582">
        <f t="shared" si="144"/>
        <v>43</v>
      </c>
      <c r="AZ4582">
        <f t="shared" si="145"/>
        <v>3</v>
      </c>
    </row>
    <row r="4583" spans="1:52" ht="55.2">
      <c r="A4583" s="3" t="s">
        <v>4627</v>
      </c>
      <c r="C4583">
        <v>5</v>
      </c>
      <c r="AT4583">
        <v>11</v>
      </c>
      <c r="AY4583">
        <f t="shared" si="144"/>
        <v>43</v>
      </c>
      <c r="AZ4583">
        <f t="shared" si="145"/>
        <v>3</v>
      </c>
    </row>
    <row r="4584" spans="1:52" ht="55.2">
      <c r="A4584" s="3" t="s">
        <v>4628</v>
      </c>
      <c r="C4584">
        <v>5</v>
      </c>
      <c r="AT4584">
        <v>11</v>
      </c>
      <c r="AY4584">
        <f t="shared" si="144"/>
        <v>43</v>
      </c>
      <c r="AZ4584">
        <f t="shared" si="145"/>
        <v>3</v>
      </c>
    </row>
    <row r="4585" spans="1:52" ht="55.2">
      <c r="A4585" s="3" t="s">
        <v>4629</v>
      </c>
      <c r="C4585">
        <v>5</v>
      </c>
      <c r="AT4585">
        <v>11</v>
      </c>
      <c r="AY4585">
        <f t="shared" si="144"/>
        <v>43</v>
      </c>
      <c r="AZ4585">
        <f t="shared" si="145"/>
        <v>3</v>
      </c>
    </row>
    <row r="4586" spans="1:52" ht="55.2">
      <c r="A4586" s="3" t="s">
        <v>4630</v>
      </c>
      <c r="C4586">
        <v>5</v>
      </c>
      <c r="AT4586">
        <v>11</v>
      </c>
      <c r="AY4586">
        <f t="shared" si="144"/>
        <v>43</v>
      </c>
      <c r="AZ4586">
        <f t="shared" si="145"/>
        <v>3</v>
      </c>
    </row>
    <row r="4587" spans="1:52" ht="55.2">
      <c r="A4587" s="3" t="s">
        <v>4631</v>
      </c>
      <c r="C4587">
        <v>5</v>
      </c>
      <c r="AT4587">
        <v>11</v>
      </c>
      <c r="AY4587">
        <f t="shared" si="144"/>
        <v>43</v>
      </c>
      <c r="AZ4587">
        <f t="shared" si="145"/>
        <v>3</v>
      </c>
    </row>
    <row r="4588" spans="1:52" ht="55.2">
      <c r="A4588" s="3" t="s">
        <v>4632</v>
      </c>
      <c r="C4588">
        <v>5</v>
      </c>
      <c r="AT4588">
        <v>11</v>
      </c>
      <c r="AY4588">
        <f t="shared" si="144"/>
        <v>43</v>
      </c>
      <c r="AZ4588">
        <f t="shared" si="145"/>
        <v>3</v>
      </c>
    </row>
    <row r="4589" spans="1:52" ht="55.2">
      <c r="A4589" s="3" t="s">
        <v>4633</v>
      </c>
      <c r="C4589">
        <v>5</v>
      </c>
      <c r="AT4589">
        <v>11</v>
      </c>
      <c r="AY4589">
        <f t="shared" si="144"/>
        <v>43</v>
      </c>
      <c r="AZ4589">
        <f t="shared" si="145"/>
        <v>3</v>
      </c>
    </row>
    <row r="4590" spans="1:52" ht="55.2">
      <c r="A4590" s="3" t="s">
        <v>4634</v>
      </c>
      <c r="C4590">
        <v>5</v>
      </c>
      <c r="AT4590">
        <v>11</v>
      </c>
      <c r="AY4590">
        <f t="shared" si="144"/>
        <v>43</v>
      </c>
      <c r="AZ4590">
        <f t="shared" si="145"/>
        <v>3</v>
      </c>
    </row>
    <row r="4591" spans="1:52" ht="55.2">
      <c r="A4591" s="3" t="s">
        <v>4635</v>
      </c>
      <c r="C4591">
        <v>5</v>
      </c>
      <c r="AT4591">
        <v>11</v>
      </c>
      <c r="AY4591">
        <f t="shared" si="144"/>
        <v>43</v>
      </c>
      <c r="AZ4591">
        <f t="shared" si="145"/>
        <v>3</v>
      </c>
    </row>
    <row r="4592" spans="1:52" ht="55.2">
      <c r="A4592" s="3" t="s">
        <v>4636</v>
      </c>
      <c r="C4592">
        <v>5</v>
      </c>
      <c r="AT4592">
        <v>11</v>
      </c>
      <c r="AY4592">
        <f t="shared" si="144"/>
        <v>43</v>
      </c>
      <c r="AZ4592">
        <f t="shared" si="145"/>
        <v>3</v>
      </c>
    </row>
    <row r="4593" spans="1:52" ht="55.2">
      <c r="A4593" s="3" t="s">
        <v>4637</v>
      </c>
      <c r="C4593">
        <v>5</v>
      </c>
      <c r="AT4593">
        <v>11</v>
      </c>
      <c r="AY4593">
        <f t="shared" si="144"/>
        <v>43</v>
      </c>
      <c r="AZ4593">
        <f t="shared" si="145"/>
        <v>3</v>
      </c>
    </row>
    <row r="4594" spans="1:52" ht="55.2">
      <c r="A4594" s="3" t="s">
        <v>4638</v>
      </c>
      <c r="C4594">
        <v>5</v>
      </c>
      <c r="AT4594">
        <v>11</v>
      </c>
      <c r="AY4594">
        <f t="shared" si="144"/>
        <v>43</v>
      </c>
      <c r="AZ4594">
        <f t="shared" si="145"/>
        <v>3</v>
      </c>
    </row>
    <row r="4595" spans="1:52" ht="55.2">
      <c r="A4595" s="3" t="s">
        <v>4639</v>
      </c>
      <c r="C4595">
        <v>5</v>
      </c>
      <c r="AT4595">
        <v>11</v>
      </c>
      <c r="AY4595">
        <f t="shared" si="144"/>
        <v>43</v>
      </c>
      <c r="AZ4595">
        <f t="shared" si="145"/>
        <v>3</v>
      </c>
    </row>
    <row r="4596" spans="1:52" ht="55.2">
      <c r="A4596" s="3" t="s">
        <v>4640</v>
      </c>
      <c r="C4596">
        <v>5</v>
      </c>
      <c r="AT4596">
        <v>11</v>
      </c>
      <c r="AY4596">
        <f t="shared" si="144"/>
        <v>43</v>
      </c>
      <c r="AZ4596">
        <f t="shared" si="145"/>
        <v>3</v>
      </c>
    </row>
    <row r="4597" spans="1:52" ht="55.2">
      <c r="A4597" s="3" t="s">
        <v>4641</v>
      </c>
      <c r="C4597">
        <v>5</v>
      </c>
      <c r="AT4597">
        <v>11</v>
      </c>
      <c r="AY4597">
        <f t="shared" si="144"/>
        <v>43</v>
      </c>
      <c r="AZ4597">
        <f t="shared" si="145"/>
        <v>3</v>
      </c>
    </row>
    <row r="4598" spans="1:52" ht="55.2">
      <c r="A4598" s="3" t="s">
        <v>4642</v>
      </c>
      <c r="C4598">
        <v>5</v>
      </c>
      <c r="AT4598">
        <v>11</v>
      </c>
      <c r="AY4598">
        <f t="shared" si="144"/>
        <v>43</v>
      </c>
      <c r="AZ4598">
        <f t="shared" si="145"/>
        <v>3</v>
      </c>
    </row>
    <row r="4599" spans="1:52" ht="55.2">
      <c r="A4599" s="3" t="s">
        <v>4643</v>
      </c>
      <c r="C4599">
        <v>5</v>
      </c>
      <c r="AT4599">
        <v>11</v>
      </c>
      <c r="AY4599">
        <f t="shared" si="144"/>
        <v>43</v>
      </c>
      <c r="AZ4599">
        <f t="shared" si="145"/>
        <v>3</v>
      </c>
    </row>
    <row r="4600" spans="1:52" ht="55.2">
      <c r="A4600" s="3" t="s">
        <v>4644</v>
      </c>
      <c r="C4600">
        <v>5</v>
      </c>
      <c r="AT4600">
        <v>11</v>
      </c>
      <c r="AY4600">
        <f t="shared" si="144"/>
        <v>43</v>
      </c>
      <c r="AZ4600">
        <f t="shared" si="145"/>
        <v>3</v>
      </c>
    </row>
    <row r="4601" spans="1:52" ht="55.2">
      <c r="A4601" s="3" t="s">
        <v>4645</v>
      </c>
      <c r="C4601">
        <v>5</v>
      </c>
      <c r="AT4601">
        <v>11</v>
      </c>
      <c r="AY4601">
        <f t="shared" si="144"/>
        <v>43</v>
      </c>
      <c r="AZ4601">
        <f t="shared" si="145"/>
        <v>3</v>
      </c>
    </row>
    <row r="4602" spans="1:52" ht="55.2">
      <c r="A4602" s="3" t="s">
        <v>4646</v>
      </c>
      <c r="C4602">
        <v>5</v>
      </c>
      <c r="AT4602">
        <v>11</v>
      </c>
      <c r="AY4602">
        <f t="shared" si="144"/>
        <v>43</v>
      </c>
      <c r="AZ4602">
        <f t="shared" si="145"/>
        <v>3</v>
      </c>
    </row>
    <row r="4603" spans="1:52" ht="55.2">
      <c r="A4603" s="3" t="s">
        <v>4647</v>
      </c>
      <c r="C4603">
        <v>5</v>
      </c>
      <c r="AT4603">
        <v>11</v>
      </c>
      <c r="AY4603">
        <f t="shared" si="144"/>
        <v>43</v>
      </c>
      <c r="AZ4603">
        <f t="shared" si="145"/>
        <v>3</v>
      </c>
    </row>
    <row r="4604" spans="1:52" ht="55.2">
      <c r="A4604" s="3" t="s">
        <v>4648</v>
      </c>
      <c r="C4604">
        <v>5</v>
      </c>
      <c r="AT4604">
        <v>11</v>
      </c>
      <c r="AY4604">
        <f t="shared" si="144"/>
        <v>43</v>
      </c>
      <c r="AZ4604">
        <f t="shared" si="145"/>
        <v>3</v>
      </c>
    </row>
    <row r="4605" spans="1:52" ht="55.2">
      <c r="A4605" s="3" t="s">
        <v>4649</v>
      </c>
      <c r="C4605">
        <v>5</v>
      </c>
      <c r="AT4605">
        <v>11</v>
      </c>
      <c r="AY4605">
        <f t="shared" si="144"/>
        <v>43</v>
      </c>
      <c r="AZ4605">
        <f t="shared" si="145"/>
        <v>3</v>
      </c>
    </row>
    <row r="4606" spans="1:52" ht="55.2">
      <c r="A4606" s="3" t="s">
        <v>4650</v>
      </c>
      <c r="C4606">
        <v>5</v>
      </c>
      <c r="AT4606">
        <v>11</v>
      </c>
      <c r="AY4606">
        <f t="shared" si="144"/>
        <v>43</v>
      </c>
      <c r="AZ4606">
        <f t="shared" si="145"/>
        <v>3</v>
      </c>
    </row>
    <row r="4607" spans="1:52" ht="55.2">
      <c r="A4607" s="3" t="s">
        <v>4651</v>
      </c>
      <c r="C4607">
        <v>5</v>
      </c>
      <c r="AT4607">
        <v>11</v>
      </c>
      <c r="AY4607">
        <f t="shared" si="144"/>
        <v>43</v>
      </c>
      <c r="AZ4607">
        <f t="shared" si="145"/>
        <v>3</v>
      </c>
    </row>
    <row r="4608" spans="1:52" ht="55.2">
      <c r="A4608" s="3" t="s">
        <v>4652</v>
      </c>
      <c r="C4608">
        <v>5</v>
      </c>
      <c r="AT4608">
        <v>11</v>
      </c>
      <c r="AY4608">
        <f t="shared" si="144"/>
        <v>43</v>
      </c>
      <c r="AZ4608">
        <f t="shared" si="145"/>
        <v>3</v>
      </c>
    </row>
    <row r="4609" spans="1:52" ht="55.2">
      <c r="A4609" s="3" t="s">
        <v>4653</v>
      </c>
      <c r="C4609">
        <v>5</v>
      </c>
      <c r="AT4609">
        <v>11</v>
      </c>
      <c r="AY4609">
        <f t="shared" si="144"/>
        <v>43</v>
      </c>
      <c r="AZ4609">
        <f t="shared" si="145"/>
        <v>3</v>
      </c>
    </row>
    <row r="4610" spans="1:52" ht="55.2">
      <c r="A4610" s="3" t="s">
        <v>4654</v>
      </c>
      <c r="C4610">
        <v>5</v>
      </c>
      <c r="AT4610">
        <v>11</v>
      </c>
      <c r="AY4610">
        <f t="shared" si="144"/>
        <v>43</v>
      </c>
      <c r="AZ4610">
        <f t="shared" si="145"/>
        <v>3</v>
      </c>
    </row>
    <row r="4611" spans="1:52" ht="55.2">
      <c r="A4611" s="3" t="s">
        <v>4655</v>
      </c>
      <c r="C4611">
        <v>5</v>
      </c>
      <c r="AT4611">
        <v>11</v>
      </c>
      <c r="AY4611">
        <f t="shared" si="144"/>
        <v>43</v>
      </c>
      <c r="AZ4611">
        <f t="shared" si="145"/>
        <v>3</v>
      </c>
    </row>
    <row r="4612" spans="1:52" ht="55.2">
      <c r="A4612" s="3" t="s">
        <v>4656</v>
      </c>
      <c r="C4612">
        <v>5</v>
      </c>
      <c r="AT4612">
        <v>11</v>
      </c>
      <c r="AY4612">
        <f t="shared" si="144"/>
        <v>43</v>
      </c>
      <c r="AZ4612">
        <f t="shared" si="145"/>
        <v>3</v>
      </c>
    </row>
    <row r="4613" spans="1:52" ht="55.2">
      <c r="A4613" s="3" t="s">
        <v>4657</v>
      </c>
      <c r="C4613">
        <v>5</v>
      </c>
      <c r="AT4613">
        <v>11</v>
      </c>
      <c r="AY4613">
        <f t="shared" si="144"/>
        <v>43</v>
      </c>
      <c r="AZ4613">
        <f t="shared" si="145"/>
        <v>3</v>
      </c>
    </row>
    <row r="4614" spans="1:52" ht="55.2">
      <c r="A4614" s="3" t="s">
        <v>4658</v>
      </c>
      <c r="C4614">
        <v>5</v>
      </c>
      <c r="AT4614">
        <v>11</v>
      </c>
      <c r="AY4614">
        <f t="shared" si="144"/>
        <v>43</v>
      </c>
      <c r="AZ4614">
        <f t="shared" si="145"/>
        <v>3</v>
      </c>
    </row>
    <row r="4615" spans="1:52" ht="55.2">
      <c r="A4615" s="3" t="s">
        <v>4659</v>
      </c>
      <c r="C4615">
        <v>5</v>
      </c>
      <c r="AT4615">
        <v>11</v>
      </c>
      <c r="AY4615">
        <f t="shared" si="144"/>
        <v>43</v>
      </c>
      <c r="AZ4615">
        <f t="shared" si="145"/>
        <v>3</v>
      </c>
    </row>
    <row r="4616" spans="1:52" ht="55.2">
      <c r="A4616" s="3" t="s">
        <v>4660</v>
      </c>
      <c r="C4616">
        <v>5</v>
      </c>
      <c r="AT4616">
        <v>11</v>
      </c>
      <c r="AY4616">
        <f t="shared" si="144"/>
        <v>43</v>
      </c>
      <c r="AZ4616">
        <f t="shared" si="145"/>
        <v>3</v>
      </c>
    </row>
    <row r="4617" spans="1:52" ht="55.2">
      <c r="A4617" s="3" t="s">
        <v>4661</v>
      </c>
      <c r="C4617">
        <v>5</v>
      </c>
      <c r="AT4617">
        <v>11</v>
      </c>
      <c r="AY4617">
        <f t="shared" si="144"/>
        <v>43</v>
      </c>
      <c r="AZ4617">
        <f t="shared" si="145"/>
        <v>3</v>
      </c>
    </row>
    <row r="4618" spans="1:52" ht="55.2">
      <c r="A4618" s="3" t="s">
        <v>4662</v>
      </c>
      <c r="C4618">
        <v>5</v>
      </c>
      <c r="AT4618">
        <v>11</v>
      </c>
      <c r="AY4618">
        <f t="shared" si="144"/>
        <v>43</v>
      </c>
      <c r="AZ4618">
        <f t="shared" si="145"/>
        <v>3</v>
      </c>
    </row>
    <row r="4619" spans="1:52" ht="55.2">
      <c r="A4619" s="3" t="s">
        <v>4663</v>
      </c>
      <c r="C4619">
        <v>5</v>
      </c>
      <c r="AT4619">
        <v>11</v>
      </c>
      <c r="AY4619">
        <f t="shared" si="144"/>
        <v>43</v>
      </c>
      <c r="AZ4619">
        <f t="shared" si="145"/>
        <v>3</v>
      </c>
    </row>
    <row r="4620" spans="1:52" ht="55.2">
      <c r="A4620" s="3" t="s">
        <v>4664</v>
      </c>
      <c r="C4620">
        <v>5</v>
      </c>
      <c r="J4620">
        <v>47</v>
      </c>
      <c r="AY4620">
        <f t="shared" si="144"/>
        <v>43</v>
      </c>
      <c r="AZ4620">
        <f t="shared" si="145"/>
        <v>3</v>
      </c>
    </row>
    <row r="4621" spans="1:52" ht="55.2">
      <c r="A4621" s="3" t="s">
        <v>4665</v>
      </c>
      <c r="C4621">
        <v>5</v>
      </c>
      <c r="J4621">
        <v>47</v>
      </c>
      <c r="AY4621">
        <f t="shared" si="144"/>
        <v>43</v>
      </c>
      <c r="AZ4621">
        <f t="shared" si="145"/>
        <v>3</v>
      </c>
    </row>
    <row r="4622" spans="1:52" ht="55.2">
      <c r="A4622" s="3" t="s">
        <v>4666</v>
      </c>
      <c r="C4622">
        <v>5</v>
      </c>
      <c r="J4622">
        <v>47</v>
      </c>
      <c r="AY4622">
        <f t="shared" si="144"/>
        <v>43</v>
      </c>
      <c r="AZ4622">
        <f t="shared" si="145"/>
        <v>3</v>
      </c>
    </row>
    <row r="4623" spans="1:52" ht="55.2">
      <c r="A4623" s="3" t="s">
        <v>4667</v>
      </c>
      <c r="C4623">
        <v>5</v>
      </c>
      <c r="J4623">
        <v>47</v>
      </c>
      <c r="AY4623">
        <f t="shared" si="144"/>
        <v>43</v>
      </c>
      <c r="AZ4623">
        <f t="shared" si="145"/>
        <v>3</v>
      </c>
    </row>
    <row r="4624" spans="1:52" ht="55.2">
      <c r="A4624" s="3" t="s">
        <v>4668</v>
      </c>
      <c r="C4624">
        <v>5</v>
      </c>
      <c r="J4624">
        <v>47</v>
      </c>
      <c r="AY4624">
        <f t="shared" si="144"/>
        <v>43</v>
      </c>
      <c r="AZ4624">
        <f t="shared" si="145"/>
        <v>3</v>
      </c>
    </row>
    <row r="4625" spans="1:52" ht="55.2">
      <c r="A4625" s="3" t="s">
        <v>4669</v>
      </c>
      <c r="C4625">
        <v>5</v>
      </c>
      <c r="J4625">
        <v>47</v>
      </c>
      <c r="AY4625">
        <f t="shared" si="144"/>
        <v>43</v>
      </c>
      <c r="AZ4625">
        <f t="shared" si="145"/>
        <v>3</v>
      </c>
    </row>
    <row r="4626" spans="1:52" ht="55.2">
      <c r="A4626" s="3" t="s">
        <v>4670</v>
      </c>
      <c r="C4626">
        <v>5</v>
      </c>
      <c r="J4626">
        <v>47</v>
      </c>
      <c r="AY4626">
        <f t="shared" si="144"/>
        <v>43</v>
      </c>
      <c r="AZ4626">
        <f t="shared" si="145"/>
        <v>3</v>
      </c>
    </row>
    <row r="4627" spans="1:52" ht="55.2">
      <c r="A4627" s="3" t="s">
        <v>4671</v>
      </c>
      <c r="C4627">
        <v>5</v>
      </c>
      <c r="J4627">
        <v>47</v>
      </c>
      <c r="AY4627">
        <f t="shared" si="144"/>
        <v>43</v>
      </c>
      <c r="AZ4627">
        <f t="shared" si="145"/>
        <v>3</v>
      </c>
    </row>
    <row r="4628" spans="1:52" ht="55.2">
      <c r="A4628" s="3" t="s">
        <v>4672</v>
      </c>
      <c r="C4628">
        <v>5</v>
      </c>
      <c r="J4628">
        <v>47</v>
      </c>
      <c r="AY4628">
        <f t="shared" si="144"/>
        <v>43</v>
      </c>
      <c r="AZ4628">
        <f t="shared" si="145"/>
        <v>3</v>
      </c>
    </row>
    <row r="4629" spans="1:52" ht="55.2">
      <c r="A4629" s="3" t="s">
        <v>4673</v>
      </c>
      <c r="C4629">
        <v>5</v>
      </c>
      <c r="J4629">
        <v>47</v>
      </c>
      <c r="AY4629">
        <f t="shared" si="144"/>
        <v>43</v>
      </c>
      <c r="AZ4629">
        <f t="shared" si="145"/>
        <v>3</v>
      </c>
    </row>
    <row r="4630" spans="1:52" ht="55.2">
      <c r="A4630" s="3" t="s">
        <v>4674</v>
      </c>
      <c r="C4630">
        <v>5</v>
      </c>
      <c r="J4630">
        <v>47</v>
      </c>
      <c r="AY4630">
        <f t="shared" si="144"/>
        <v>43</v>
      </c>
      <c r="AZ4630">
        <f t="shared" si="145"/>
        <v>3</v>
      </c>
    </row>
    <row r="4631" spans="1:52" ht="55.2">
      <c r="A4631" s="3" t="s">
        <v>4675</v>
      </c>
      <c r="C4631">
        <v>5</v>
      </c>
      <c r="J4631">
        <v>47</v>
      </c>
      <c r="AY4631">
        <f t="shared" si="144"/>
        <v>43</v>
      </c>
      <c r="AZ4631">
        <f t="shared" si="145"/>
        <v>3</v>
      </c>
    </row>
    <row r="4632" spans="1:52" ht="55.2">
      <c r="A4632" s="3" t="s">
        <v>4676</v>
      </c>
      <c r="C4632">
        <v>5</v>
      </c>
      <c r="J4632">
        <v>47</v>
      </c>
      <c r="AY4632">
        <f t="shared" si="144"/>
        <v>43</v>
      </c>
      <c r="AZ4632">
        <f t="shared" si="145"/>
        <v>3</v>
      </c>
    </row>
    <row r="4633" spans="1:52" ht="55.2">
      <c r="A4633" s="3" t="s">
        <v>4677</v>
      </c>
      <c r="C4633">
        <v>5</v>
      </c>
      <c r="J4633">
        <v>47</v>
      </c>
      <c r="AY4633">
        <f t="shared" si="144"/>
        <v>43</v>
      </c>
      <c r="AZ4633">
        <f t="shared" si="145"/>
        <v>3</v>
      </c>
    </row>
    <row r="4634" spans="1:52" ht="55.2">
      <c r="A4634" s="3" t="s">
        <v>4678</v>
      </c>
      <c r="C4634">
        <v>5</v>
      </c>
      <c r="J4634">
        <v>47</v>
      </c>
      <c r="AY4634">
        <f t="shared" si="144"/>
        <v>43</v>
      </c>
      <c r="AZ4634">
        <f t="shared" si="145"/>
        <v>3</v>
      </c>
    </row>
    <row r="4635" spans="1:52" ht="55.2">
      <c r="A4635" s="3" t="s">
        <v>4679</v>
      </c>
      <c r="C4635">
        <v>5</v>
      </c>
      <c r="J4635">
        <v>47</v>
      </c>
      <c r="AY4635">
        <f t="shared" si="144"/>
        <v>43</v>
      </c>
      <c r="AZ4635">
        <f t="shared" si="145"/>
        <v>3</v>
      </c>
    </row>
    <row r="4636" spans="1:52" ht="55.2">
      <c r="A4636" s="3" t="s">
        <v>4680</v>
      </c>
      <c r="C4636">
        <v>5</v>
      </c>
      <c r="J4636">
        <v>47</v>
      </c>
      <c r="AY4636">
        <f t="shared" si="144"/>
        <v>43</v>
      </c>
      <c r="AZ4636">
        <f t="shared" si="145"/>
        <v>3</v>
      </c>
    </row>
    <row r="4637" spans="1:52" ht="55.2">
      <c r="A4637" s="3" t="s">
        <v>4681</v>
      </c>
      <c r="C4637">
        <v>5</v>
      </c>
      <c r="J4637">
        <v>47</v>
      </c>
      <c r="AY4637">
        <f t="shared" si="144"/>
        <v>43</v>
      </c>
      <c r="AZ4637">
        <f t="shared" si="145"/>
        <v>3</v>
      </c>
    </row>
    <row r="4638" spans="1:52" ht="55.2">
      <c r="A4638" s="3" t="s">
        <v>4682</v>
      </c>
      <c r="C4638">
        <v>5</v>
      </c>
      <c r="J4638">
        <v>47</v>
      </c>
      <c r="AY4638">
        <f t="shared" si="144"/>
        <v>43</v>
      </c>
      <c r="AZ4638">
        <f t="shared" si="145"/>
        <v>3</v>
      </c>
    </row>
    <row r="4639" spans="1:52" ht="55.2">
      <c r="A4639" s="3" t="s">
        <v>4683</v>
      </c>
      <c r="C4639">
        <v>5</v>
      </c>
      <c r="J4639">
        <v>47</v>
      </c>
      <c r="AY4639">
        <f t="shared" si="144"/>
        <v>43</v>
      </c>
      <c r="AZ4639">
        <f t="shared" si="145"/>
        <v>3</v>
      </c>
    </row>
    <row r="4640" spans="1:52" ht="55.2">
      <c r="A4640" s="3" t="s">
        <v>4684</v>
      </c>
      <c r="C4640">
        <v>5</v>
      </c>
      <c r="J4640">
        <v>47</v>
      </c>
      <c r="AY4640">
        <f t="shared" si="144"/>
        <v>43</v>
      </c>
      <c r="AZ4640">
        <f t="shared" si="145"/>
        <v>3</v>
      </c>
    </row>
    <row r="4641" spans="1:52" ht="55.2">
      <c r="A4641" s="3" t="s">
        <v>4685</v>
      </c>
      <c r="C4641">
        <v>5</v>
      </c>
      <c r="J4641">
        <v>47</v>
      </c>
      <c r="AY4641">
        <f t="shared" ref="AY4641:AY4704" si="146">COUNTBLANK(F4641:AW4641)</f>
        <v>43</v>
      </c>
      <c r="AZ4641">
        <f t="shared" ref="AZ4641:AZ4704" si="147">COUNTBLANK(B4641:E4641)</f>
        <v>3</v>
      </c>
    </row>
    <row r="4642" spans="1:52" ht="55.2">
      <c r="A4642" s="3" t="s">
        <v>4686</v>
      </c>
      <c r="C4642">
        <v>5</v>
      </c>
      <c r="K4642">
        <v>12</v>
      </c>
      <c r="AY4642">
        <f t="shared" si="146"/>
        <v>43</v>
      </c>
      <c r="AZ4642">
        <f t="shared" si="147"/>
        <v>3</v>
      </c>
    </row>
    <row r="4643" spans="1:52" ht="55.2">
      <c r="A4643" s="3" t="s">
        <v>4687</v>
      </c>
      <c r="C4643">
        <v>5</v>
      </c>
      <c r="K4643">
        <v>12</v>
      </c>
      <c r="AY4643">
        <f t="shared" si="146"/>
        <v>43</v>
      </c>
      <c r="AZ4643">
        <f t="shared" si="147"/>
        <v>3</v>
      </c>
    </row>
    <row r="4644" spans="1:52" ht="55.2">
      <c r="A4644" s="3" t="s">
        <v>4688</v>
      </c>
      <c r="C4644">
        <v>5</v>
      </c>
      <c r="K4644">
        <v>12</v>
      </c>
      <c r="AY4644">
        <f t="shared" si="146"/>
        <v>43</v>
      </c>
      <c r="AZ4644">
        <f t="shared" si="147"/>
        <v>3</v>
      </c>
    </row>
    <row r="4645" spans="1:52" ht="55.2">
      <c r="A4645" s="3" t="s">
        <v>4689</v>
      </c>
      <c r="C4645">
        <v>5</v>
      </c>
      <c r="K4645">
        <v>12</v>
      </c>
      <c r="AY4645">
        <f t="shared" si="146"/>
        <v>43</v>
      </c>
      <c r="AZ4645">
        <f t="shared" si="147"/>
        <v>3</v>
      </c>
    </row>
    <row r="4646" spans="1:52" ht="55.2">
      <c r="A4646" s="3" t="s">
        <v>4690</v>
      </c>
      <c r="C4646">
        <v>5</v>
      </c>
      <c r="K4646">
        <v>12</v>
      </c>
      <c r="AY4646">
        <f t="shared" si="146"/>
        <v>43</v>
      </c>
      <c r="AZ4646">
        <f t="shared" si="147"/>
        <v>3</v>
      </c>
    </row>
    <row r="4647" spans="1:52" ht="55.2">
      <c r="A4647" s="3" t="s">
        <v>4691</v>
      </c>
      <c r="C4647">
        <v>5</v>
      </c>
      <c r="K4647">
        <v>12</v>
      </c>
      <c r="AY4647">
        <f t="shared" si="146"/>
        <v>43</v>
      </c>
      <c r="AZ4647">
        <f t="shared" si="147"/>
        <v>3</v>
      </c>
    </row>
    <row r="4648" spans="1:52" ht="55.2">
      <c r="A4648" s="3" t="s">
        <v>4692</v>
      </c>
      <c r="C4648">
        <v>5</v>
      </c>
      <c r="K4648">
        <v>12</v>
      </c>
      <c r="AY4648">
        <f t="shared" si="146"/>
        <v>43</v>
      </c>
      <c r="AZ4648">
        <f t="shared" si="147"/>
        <v>3</v>
      </c>
    </row>
    <row r="4649" spans="1:52" ht="55.2">
      <c r="A4649" s="3" t="s">
        <v>4693</v>
      </c>
      <c r="C4649">
        <v>5</v>
      </c>
      <c r="K4649">
        <v>12</v>
      </c>
      <c r="AY4649">
        <f t="shared" si="146"/>
        <v>43</v>
      </c>
      <c r="AZ4649">
        <f t="shared" si="147"/>
        <v>3</v>
      </c>
    </row>
    <row r="4650" spans="1:52" ht="55.2">
      <c r="A4650" s="3" t="s">
        <v>4694</v>
      </c>
      <c r="C4650">
        <v>5</v>
      </c>
      <c r="K4650">
        <v>12</v>
      </c>
      <c r="AY4650">
        <f t="shared" si="146"/>
        <v>43</v>
      </c>
      <c r="AZ4650">
        <f t="shared" si="147"/>
        <v>3</v>
      </c>
    </row>
    <row r="4651" spans="1:52" ht="55.2">
      <c r="A4651" s="3" t="s">
        <v>4695</v>
      </c>
      <c r="C4651">
        <v>5</v>
      </c>
      <c r="K4651">
        <v>12</v>
      </c>
      <c r="AY4651">
        <f t="shared" si="146"/>
        <v>43</v>
      </c>
      <c r="AZ4651">
        <f t="shared" si="147"/>
        <v>3</v>
      </c>
    </row>
    <row r="4652" spans="1:52" ht="55.2">
      <c r="A4652" s="3" t="s">
        <v>4696</v>
      </c>
      <c r="C4652">
        <v>5</v>
      </c>
      <c r="K4652">
        <v>12</v>
      </c>
      <c r="AY4652">
        <f t="shared" si="146"/>
        <v>43</v>
      </c>
      <c r="AZ4652">
        <f t="shared" si="147"/>
        <v>3</v>
      </c>
    </row>
    <row r="4653" spans="1:52" ht="55.2">
      <c r="A4653" s="3" t="s">
        <v>4697</v>
      </c>
      <c r="C4653">
        <v>5</v>
      </c>
      <c r="K4653">
        <v>12</v>
      </c>
      <c r="AY4653">
        <f t="shared" si="146"/>
        <v>43</v>
      </c>
      <c r="AZ4653">
        <f t="shared" si="147"/>
        <v>3</v>
      </c>
    </row>
    <row r="4654" spans="1:52" ht="55.2">
      <c r="A4654" s="3" t="s">
        <v>4698</v>
      </c>
      <c r="C4654">
        <v>5</v>
      </c>
      <c r="K4654">
        <v>12</v>
      </c>
      <c r="AY4654">
        <f t="shared" si="146"/>
        <v>43</v>
      </c>
      <c r="AZ4654">
        <f t="shared" si="147"/>
        <v>3</v>
      </c>
    </row>
    <row r="4655" spans="1:52" ht="55.2">
      <c r="A4655" s="3" t="s">
        <v>4699</v>
      </c>
      <c r="C4655">
        <v>5</v>
      </c>
      <c r="K4655">
        <v>12</v>
      </c>
      <c r="AY4655">
        <f t="shared" si="146"/>
        <v>43</v>
      </c>
      <c r="AZ4655">
        <f t="shared" si="147"/>
        <v>3</v>
      </c>
    </row>
    <row r="4656" spans="1:52" ht="55.2">
      <c r="A4656" s="3" t="s">
        <v>4700</v>
      </c>
      <c r="C4656">
        <v>5</v>
      </c>
      <c r="K4656">
        <v>12</v>
      </c>
      <c r="AY4656">
        <f t="shared" si="146"/>
        <v>43</v>
      </c>
      <c r="AZ4656">
        <f t="shared" si="147"/>
        <v>3</v>
      </c>
    </row>
    <row r="4657" spans="1:52" ht="55.2">
      <c r="A4657" s="3" t="s">
        <v>4701</v>
      </c>
      <c r="C4657">
        <v>5</v>
      </c>
      <c r="K4657">
        <v>12</v>
      </c>
      <c r="AY4657">
        <f t="shared" si="146"/>
        <v>43</v>
      </c>
      <c r="AZ4657">
        <f t="shared" si="147"/>
        <v>3</v>
      </c>
    </row>
    <row r="4658" spans="1:52" ht="55.2">
      <c r="A4658" s="3" t="s">
        <v>4702</v>
      </c>
      <c r="C4658">
        <v>5</v>
      </c>
      <c r="K4658">
        <v>12</v>
      </c>
      <c r="AY4658">
        <f t="shared" si="146"/>
        <v>43</v>
      </c>
      <c r="AZ4658">
        <f t="shared" si="147"/>
        <v>3</v>
      </c>
    </row>
    <row r="4659" spans="1:52" ht="55.2">
      <c r="A4659" s="3" t="s">
        <v>4703</v>
      </c>
      <c r="C4659">
        <v>5</v>
      </c>
      <c r="K4659">
        <v>12</v>
      </c>
      <c r="AY4659">
        <f t="shared" si="146"/>
        <v>43</v>
      </c>
      <c r="AZ4659">
        <f t="shared" si="147"/>
        <v>3</v>
      </c>
    </row>
    <row r="4660" spans="1:52" ht="55.2">
      <c r="A4660" s="3" t="s">
        <v>4704</v>
      </c>
      <c r="C4660">
        <v>5</v>
      </c>
      <c r="K4660">
        <v>12</v>
      </c>
      <c r="AY4660">
        <f t="shared" si="146"/>
        <v>43</v>
      </c>
      <c r="AZ4660">
        <f t="shared" si="147"/>
        <v>3</v>
      </c>
    </row>
    <row r="4661" spans="1:52" ht="55.2">
      <c r="A4661" s="3" t="s">
        <v>4705</v>
      </c>
      <c r="C4661">
        <v>5</v>
      </c>
      <c r="K4661">
        <v>12</v>
      </c>
      <c r="AY4661">
        <f t="shared" si="146"/>
        <v>43</v>
      </c>
      <c r="AZ4661">
        <f t="shared" si="147"/>
        <v>3</v>
      </c>
    </row>
    <row r="4662" spans="1:52" ht="55.2">
      <c r="A4662" s="3" t="s">
        <v>4706</v>
      </c>
      <c r="C4662">
        <v>5</v>
      </c>
      <c r="K4662">
        <v>12</v>
      </c>
      <c r="AY4662">
        <f t="shared" si="146"/>
        <v>43</v>
      </c>
      <c r="AZ4662">
        <f t="shared" si="147"/>
        <v>3</v>
      </c>
    </row>
    <row r="4663" spans="1:52" ht="55.2">
      <c r="A4663" s="3" t="s">
        <v>4707</v>
      </c>
      <c r="C4663">
        <v>5</v>
      </c>
      <c r="K4663">
        <v>12</v>
      </c>
      <c r="AY4663">
        <f t="shared" si="146"/>
        <v>43</v>
      </c>
      <c r="AZ4663">
        <f t="shared" si="147"/>
        <v>3</v>
      </c>
    </row>
    <row r="4664" spans="1:52" ht="55.2">
      <c r="A4664" s="3" t="s">
        <v>4708</v>
      </c>
      <c r="C4664">
        <v>5</v>
      </c>
      <c r="K4664">
        <v>12</v>
      </c>
      <c r="AY4664">
        <f t="shared" si="146"/>
        <v>43</v>
      </c>
      <c r="AZ4664">
        <f t="shared" si="147"/>
        <v>3</v>
      </c>
    </row>
    <row r="4665" spans="1:52" ht="55.2">
      <c r="A4665" s="3" t="s">
        <v>4709</v>
      </c>
      <c r="C4665">
        <v>5</v>
      </c>
      <c r="K4665">
        <v>12</v>
      </c>
      <c r="AY4665">
        <f t="shared" si="146"/>
        <v>43</v>
      </c>
      <c r="AZ4665">
        <f t="shared" si="147"/>
        <v>3</v>
      </c>
    </row>
    <row r="4666" spans="1:52" ht="55.2">
      <c r="A4666" s="3" t="s">
        <v>4710</v>
      </c>
      <c r="C4666">
        <v>5</v>
      </c>
      <c r="K4666">
        <v>12</v>
      </c>
      <c r="AY4666">
        <f t="shared" si="146"/>
        <v>43</v>
      </c>
      <c r="AZ4666">
        <f t="shared" si="147"/>
        <v>3</v>
      </c>
    </row>
    <row r="4667" spans="1:52" ht="55.2">
      <c r="A4667" s="3" t="s">
        <v>4711</v>
      </c>
      <c r="C4667">
        <v>5</v>
      </c>
      <c r="K4667">
        <v>12</v>
      </c>
      <c r="AY4667">
        <f t="shared" si="146"/>
        <v>43</v>
      </c>
      <c r="AZ4667">
        <f t="shared" si="147"/>
        <v>3</v>
      </c>
    </row>
    <row r="4668" spans="1:52" ht="55.2">
      <c r="A4668" s="3" t="s">
        <v>4712</v>
      </c>
      <c r="C4668">
        <v>5</v>
      </c>
      <c r="K4668">
        <v>12</v>
      </c>
      <c r="AY4668">
        <f t="shared" si="146"/>
        <v>43</v>
      </c>
      <c r="AZ4668">
        <f t="shared" si="147"/>
        <v>3</v>
      </c>
    </row>
    <row r="4669" spans="1:52" ht="55.2">
      <c r="A4669" s="3" t="s">
        <v>4713</v>
      </c>
      <c r="C4669">
        <v>5</v>
      </c>
      <c r="K4669">
        <v>12</v>
      </c>
      <c r="AY4669">
        <f t="shared" si="146"/>
        <v>43</v>
      </c>
      <c r="AZ4669">
        <f t="shared" si="147"/>
        <v>3</v>
      </c>
    </row>
    <row r="4670" spans="1:52" ht="55.2">
      <c r="A4670" s="3" t="s">
        <v>4714</v>
      </c>
      <c r="C4670">
        <v>5</v>
      </c>
      <c r="K4670">
        <v>12</v>
      </c>
      <c r="AY4670">
        <f t="shared" si="146"/>
        <v>43</v>
      </c>
      <c r="AZ4670">
        <f t="shared" si="147"/>
        <v>3</v>
      </c>
    </row>
    <row r="4671" spans="1:52" ht="55.2">
      <c r="A4671" s="3" t="s">
        <v>4715</v>
      </c>
      <c r="C4671">
        <v>5</v>
      </c>
      <c r="K4671">
        <v>12</v>
      </c>
      <c r="AY4671">
        <f t="shared" si="146"/>
        <v>43</v>
      </c>
      <c r="AZ4671">
        <f t="shared" si="147"/>
        <v>3</v>
      </c>
    </row>
    <row r="4672" spans="1:52" ht="55.2">
      <c r="A4672" s="3" t="s">
        <v>4716</v>
      </c>
      <c r="C4672">
        <v>5</v>
      </c>
      <c r="K4672">
        <v>12</v>
      </c>
      <c r="AY4672">
        <f t="shared" si="146"/>
        <v>43</v>
      </c>
      <c r="AZ4672">
        <f t="shared" si="147"/>
        <v>3</v>
      </c>
    </row>
    <row r="4673" spans="1:52" ht="55.2">
      <c r="A4673" s="3" t="s">
        <v>4717</v>
      </c>
      <c r="C4673">
        <v>5</v>
      </c>
      <c r="K4673">
        <v>12</v>
      </c>
      <c r="AY4673">
        <f t="shared" si="146"/>
        <v>43</v>
      </c>
      <c r="AZ4673">
        <f t="shared" si="147"/>
        <v>3</v>
      </c>
    </row>
    <row r="4674" spans="1:52" ht="55.2">
      <c r="A4674" s="3" t="s">
        <v>4718</v>
      </c>
      <c r="C4674">
        <v>5</v>
      </c>
      <c r="K4674">
        <v>12</v>
      </c>
      <c r="AY4674">
        <f t="shared" si="146"/>
        <v>43</v>
      </c>
      <c r="AZ4674">
        <f t="shared" si="147"/>
        <v>3</v>
      </c>
    </row>
    <row r="4675" spans="1:52" ht="55.2">
      <c r="A4675" s="3" t="s">
        <v>4719</v>
      </c>
      <c r="C4675">
        <v>5</v>
      </c>
      <c r="K4675">
        <v>12</v>
      </c>
      <c r="AY4675">
        <f t="shared" si="146"/>
        <v>43</v>
      </c>
      <c r="AZ4675">
        <f t="shared" si="147"/>
        <v>3</v>
      </c>
    </row>
    <row r="4676" spans="1:52" ht="55.2">
      <c r="A4676" s="3" t="s">
        <v>4720</v>
      </c>
      <c r="C4676">
        <v>5</v>
      </c>
      <c r="K4676">
        <v>12</v>
      </c>
      <c r="AY4676">
        <f t="shared" si="146"/>
        <v>43</v>
      </c>
      <c r="AZ4676">
        <f t="shared" si="147"/>
        <v>3</v>
      </c>
    </row>
    <row r="4677" spans="1:52" ht="55.2">
      <c r="A4677" s="3" t="s">
        <v>4721</v>
      </c>
      <c r="C4677">
        <v>5</v>
      </c>
      <c r="K4677">
        <v>12</v>
      </c>
      <c r="AY4677">
        <f t="shared" si="146"/>
        <v>43</v>
      </c>
      <c r="AZ4677">
        <f t="shared" si="147"/>
        <v>3</v>
      </c>
    </row>
    <row r="4678" spans="1:52" ht="55.2">
      <c r="A4678" s="3" t="s">
        <v>4722</v>
      </c>
      <c r="C4678">
        <v>5</v>
      </c>
      <c r="K4678">
        <v>12</v>
      </c>
      <c r="AY4678">
        <f t="shared" si="146"/>
        <v>43</v>
      </c>
      <c r="AZ4678">
        <f t="shared" si="147"/>
        <v>3</v>
      </c>
    </row>
    <row r="4679" spans="1:52" ht="55.2">
      <c r="A4679" s="3" t="s">
        <v>4723</v>
      </c>
      <c r="C4679">
        <v>5</v>
      </c>
      <c r="K4679">
        <v>12</v>
      </c>
      <c r="AY4679">
        <f t="shared" si="146"/>
        <v>43</v>
      </c>
      <c r="AZ4679">
        <f t="shared" si="147"/>
        <v>3</v>
      </c>
    </row>
    <row r="4680" spans="1:52" ht="55.2">
      <c r="A4680" s="3" t="s">
        <v>4724</v>
      </c>
      <c r="C4680">
        <v>5</v>
      </c>
      <c r="K4680">
        <v>12</v>
      </c>
      <c r="AY4680">
        <f t="shared" si="146"/>
        <v>43</v>
      </c>
      <c r="AZ4680">
        <f t="shared" si="147"/>
        <v>3</v>
      </c>
    </row>
    <row r="4681" spans="1:52" ht="55.2">
      <c r="A4681" s="3" t="s">
        <v>4725</v>
      </c>
      <c r="C4681">
        <v>5</v>
      </c>
      <c r="K4681">
        <v>12</v>
      </c>
      <c r="AY4681">
        <f t="shared" si="146"/>
        <v>43</v>
      </c>
      <c r="AZ4681">
        <f t="shared" si="147"/>
        <v>3</v>
      </c>
    </row>
    <row r="4682" spans="1:52" ht="55.2">
      <c r="A4682" s="3" t="s">
        <v>4726</v>
      </c>
      <c r="C4682">
        <v>5</v>
      </c>
      <c r="K4682">
        <v>12</v>
      </c>
      <c r="AY4682">
        <f t="shared" si="146"/>
        <v>43</v>
      </c>
      <c r="AZ4682">
        <f t="shared" si="147"/>
        <v>3</v>
      </c>
    </row>
    <row r="4683" spans="1:52" ht="55.2">
      <c r="A4683" s="3" t="s">
        <v>4727</v>
      </c>
      <c r="C4683">
        <v>5</v>
      </c>
      <c r="K4683">
        <v>12</v>
      </c>
      <c r="AY4683">
        <f t="shared" si="146"/>
        <v>43</v>
      </c>
      <c r="AZ4683">
        <f t="shared" si="147"/>
        <v>3</v>
      </c>
    </row>
    <row r="4684" spans="1:52" ht="55.2">
      <c r="A4684" s="3" t="s">
        <v>4728</v>
      </c>
      <c r="C4684">
        <v>5</v>
      </c>
      <c r="K4684">
        <v>12</v>
      </c>
      <c r="AY4684">
        <f t="shared" si="146"/>
        <v>43</v>
      </c>
      <c r="AZ4684">
        <f t="shared" si="147"/>
        <v>3</v>
      </c>
    </row>
    <row r="4685" spans="1:52" ht="55.2">
      <c r="A4685" s="3" t="s">
        <v>4729</v>
      </c>
      <c r="C4685">
        <v>5</v>
      </c>
      <c r="K4685">
        <v>12</v>
      </c>
      <c r="AY4685">
        <f t="shared" si="146"/>
        <v>43</v>
      </c>
      <c r="AZ4685">
        <f t="shared" si="147"/>
        <v>3</v>
      </c>
    </row>
    <row r="4686" spans="1:52" ht="55.2">
      <c r="A4686" s="3" t="s">
        <v>4730</v>
      </c>
      <c r="C4686">
        <v>5</v>
      </c>
      <c r="K4686">
        <v>12</v>
      </c>
      <c r="AY4686">
        <f t="shared" si="146"/>
        <v>43</v>
      </c>
      <c r="AZ4686">
        <f t="shared" si="147"/>
        <v>3</v>
      </c>
    </row>
    <row r="4687" spans="1:52" ht="55.2">
      <c r="A4687" s="3" t="s">
        <v>4731</v>
      </c>
      <c r="C4687">
        <v>5</v>
      </c>
      <c r="K4687">
        <v>12</v>
      </c>
      <c r="AY4687">
        <f t="shared" si="146"/>
        <v>43</v>
      </c>
      <c r="AZ4687">
        <f t="shared" si="147"/>
        <v>3</v>
      </c>
    </row>
    <row r="4688" spans="1:52" ht="55.2">
      <c r="A4688" s="3" t="s">
        <v>4732</v>
      </c>
      <c r="C4688">
        <v>5</v>
      </c>
      <c r="K4688">
        <v>12</v>
      </c>
      <c r="AY4688">
        <f t="shared" si="146"/>
        <v>43</v>
      </c>
      <c r="AZ4688">
        <f t="shared" si="147"/>
        <v>3</v>
      </c>
    </row>
    <row r="4689" spans="1:52" ht="55.2">
      <c r="A4689" s="3" t="s">
        <v>4733</v>
      </c>
      <c r="C4689">
        <v>5</v>
      </c>
      <c r="D4689">
        <v>5</v>
      </c>
      <c r="K4689">
        <v>12</v>
      </c>
      <c r="AY4689">
        <f t="shared" si="146"/>
        <v>43</v>
      </c>
      <c r="AZ4689">
        <f t="shared" si="147"/>
        <v>2</v>
      </c>
    </row>
    <row r="4690" spans="1:52" ht="55.2">
      <c r="A4690" s="3" t="s">
        <v>4734</v>
      </c>
      <c r="C4690">
        <v>5</v>
      </c>
      <c r="D4690">
        <v>5</v>
      </c>
      <c r="J4690">
        <v>48</v>
      </c>
      <c r="AY4690">
        <f t="shared" si="146"/>
        <v>43</v>
      </c>
      <c r="AZ4690">
        <f t="shared" si="147"/>
        <v>2</v>
      </c>
    </row>
    <row r="4691" spans="1:52" ht="55.2">
      <c r="A4691" s="3" t="s">
        <v>4735</v>
      </c>
      <c r="C4691">
        <v>5</v>
      </c>
      <c r="D4691">
        <v>5</v>
      </c>
      <c r="J4691">
        <v>48</v>
      </c>
      <c r="AY4691">
        <f t="shared" si="146"/>
        <v>43</v>
      </c>
      <c r="AZ4691">
        <f t="shared" si="147"/>
        <v>2</v>
      </c>
    </row>
    <row r="4692" spans="1:52" ht="55.2">
      <c r="A4692" s="3" t="s">
        <v>4736</v>
      </c>
      <c r="C4692">
        <v>5</v>
      </c>
      <c r="D4692">
        <v>5</v>
      </c>
      <c r="J4692">
        <v>48</v>
      </c>
      <c r="AY4692">
        <f t="shared" si="146"/>
        <v>43</v>
      </c>
      <c r="AZ4692">
        <f t="shared" si="147"/>
        <v>2</v>
      </c>
    </row>
    <row r="4693" spans="1:52" ht="55.2">
      <c r="A4693" s="3" t="s">
        <v>4737</v>
      </c>
      <c r="C4693">
        <v>5</v>
      </c>
      <c r="D4693">
        <v>5</v>
      </c>
      <c r="J4693">
        <v>48</v>
      </c>
      <c r="AY4693">
        <f t="shared" si="146"/>
        <v>43</v>
      </c>
      <c r="AZ4693">
        <f t="shared" si="147"/>
        <v>2</v>
      </c>
    </row>
    <row r="4694" spans="1:52" ht="55.2">
      <c r="A4694" s="3" t="s">
        <v>4738</v>
      </c>
      <c r="C4694">
        <v>5</v>
      </c>
      <c r="D4694">
        <v>5</v>
      </c>
      <c r="J4694">
        <v>48</v>
      </c>
      <c r="AY4694">
        <f t="shared" si="146"/>
        <v>43</v>
      </c>
      <c r="AZ4694">
        <f t="shared" si="147"/>
        <v>2</v>
      </c>
    </row>
    <row r="4695" spans="1:52" ht="55.2">
      <c r="A4695" s="3" t="s">
        <v>4739</v>
      </c>
      <c r="C4695">
        <v>5</v>
      </c>
      <c r="D4695">
        <v>5</v>
      </c>
      <c r="K4695">
        <v>13</v>
      </c>
      <c r="AY4695">
        <f t="shared" si="146"/>
        <v>43</v>
      </c>
      <c r="AZ4695">
        <f t="shared" si="147"/>
        <v>2</v>
      </c>
    </row>
    <row r="4696" spans="1:52" ht="55.2">
      <c r="A4696" s="3" t="s">
        <v>4740</v>
      </c>
      <c r="D4696">
        <v>5</v>
      </c>
      <c r="K4696">
        <v>13</v>
      </c>
      <c r="AY4696">
        <f t="shared" si="146"/>
        <v>43</v>
      </c>
      <c r="AZ4696">
        <f t="shared" si="147"/>
        <v>3</v>
      </c>
    </row>
    <row r="4697" spans="1:52" ht="55.2">
      <c r="A4697" s="3" t="s">
        <v>4741</v>
      </c>
      <c r="D4697">
        <v>5</v>
      </c>
      <c r="K4697">
        <v>13</v>
      </c>
      <c r="AY4697">
        <f t="shared" si="146"/>
        <v>43</v>
      </c>
      <c r="AZ4697">
        <f t="shared" si="147"/>
        <v>3</v>
      </c>
    </row>
    <row r="4698" spans="1:52" ht="55.2">
      <c r="A4698" s="3" t="s">
        <v>4742</v>
      </c>
      <c r="D4698">
        <v>5</v>
      </c>
      <c r="K4698">
        <v>13</v>
      </c>
      <c r="AY4698">
        <f t="shared" si="146"/>
        <v>43</v>
      </c>
      <c r="AZ4698">
        <f t="shared" si="147"/>
        <v>3</v>
      </c>
    </row>
    <row r="4699" spans="1:52" ht="55.2">
      <c r="A4699" s="3" t="s">
        <v>4743</v>
      </c>
      <c r="D4699">
        <v>5</v>
      </c>
      <c r="K4699">
        <v>13</v>
      </c>
      <c r="AY4699">
        <f t="shared" si="146"/>
        <v>43</v>
      </c>
      <c r="AZ4699">
        <f t="shared" si="147"/>
        <v>3</v>
      </c>
    </row>
    <row r="4700" spans="1:52" ht="55.2">
      <c r="A4700" s="3" t="s">
        <v>4744</v>
      </c>
      <c r="D4700">
        <v>5</v>
      </c>
      <c r="K4700">
        <v>13</v>
      </c>
      <c r="AY4700">
        <f t="shared" si="146"/>
        <v>43</v>
      </c>
      <c r="AZ4700">
        <f t="shared" si="147"/>
        <v>3</v>
      </c>
    </row>
    <row r="4701" spans="1:52" ht="55.2">
      <c r="A4701" s="3" t="s">
        <v>4745</v>
      </c>
      <c r="D4701">
        <v>5</v>
      </c>
      <c r="K4701">
        <v>13</v>
      </c>
      <c r="AY4701">
        <f t="shared" si="146"/>
        <v>43</v>
      </c>
      <c r="AZ4701">
        <f t="shared" si="147"/>
        <v>3</v>
      </c>
    </row>
    <row r="4702" spans="1:52" ht="55.2">
      <c r="A4702" s="3" t="s">
        <v>4746</v>
      </c>
      <c r="D4702">
        <v>5</v>
      </c>
      <c r="K4702">
        <v>13</v>
      </c>
      <c r="AY4702">
        <f t="shared" si="146"/>
        <v>43</v>
      </c>
      <c r="AZ4702">
        <f t="shared" si="147"/>
        <v>3</v>
      </c>
    </row>
    <row r="4703" spans="1:52" ht="55.2">
      <c r="A4703" s="3" t="s">
        <v>4747</v>
      </c>
      <c r="D4703">
        <v>5</v>
      </c>
      <c r="K4703">
        <v>13</v>
      </c>
      <c r="AY4703">
        <f t="shared" si="146"/>
        <v>43</v>
      </c>
      <c r="AZ4703">
        <f t="shared" si="147"/>
        <v>3</v>
      </c>
    </row>
    <row r="4704" spans="1:52" ht="55.2">
      <c r="A4704" s="3" t="s">
        <v>4748</v>
      </c>
      <c r="D4704">
        <v>5</v>
      </c>
      <c r="K4704">
        <v>13</v>
      </c>
      <c r="AY4704">
        <f t="shared" si="146"/>
        <v>43</v>
      </c>
      <c r="AZ4704">
        <f t="shared" si="147"/>
        <v>3</v>
      </c>
    </row>
    <row r="4705" spans="1:52" ht="55.2">
      <c r="A4705" s="3" t="s">
        <v>4749</v>
      </c>
      <c r="D4705">
        <v>5</v>
      </c>
      <c r="K4705">
        <v>13</v>
      </c>
      <c r="AY4705">
        <f t="shared" ref="AY4705:AY4768" si="148">COUNTBLANK(F4705:AW4705)</f>
        <v>43</v>
      </c>
      <c r="AZ4705">
        <f t="shared" ref="AZ4705:AZ4768" si="149">COUNTBLANK(B4705:E4705)</f>
        <v>3</v>
      </c>
    </row>
    <row r="4706" spans="1:52" ht="55.2">
      <c r="A4706" s="3" t="s">
        <v>4750</v>
      </c>
      <c r="D4706">
        <v>5</v>
      </c>
      <c r="K4706">
        <v>13</v>
      </c>
      <c r="AY4706">
        <f t="shared" si="148"/>
        <v>43</v>
      </c>
      <c r="AZ4706">
        <f t="shared" si="149"/>
        <v>3</v>
      </c>
    </row>
    <row r="4707" spans="1:52" ht="55.2">
      <c r="A4707" s="3" t="s">
        <v>4751</v>
      </c>
      <c r="D4707">
        <v>5</v>
      </c>
      <c r="K4707">
        <v>13</v>
      </c>
      <c r="AY4707">
        <f t="shared" si="148"/>
        <v>43</v>
      </c>
      <c r="AZ4707">
        <f t="shared" si="149"/>
        <v>3</v>
      </c>
    </row>
    <row r="4708" spans="1:52" ht="55.2">
      <c r="A4708" s="3" t="s">
        <v>4752</v>
      </c>
      <c r="D4708">
        <v>5</v>
      </c>
      <c r="J4708">
        <v>49</v>
      </c>
      <c r="AY4708">
        <f t="shared" si="148"/>
        <v>43</v>
      </c>
      <c r="AZ4708">
        <f t="shared" si="149"/>
        <v>3</v>
      </c>
    </row>
    <row r="4709" spans="1:52" ht="55.2">
      <c r="A4709" s="3" t="s">
        <v>4753</v>
      </c>
      <c r="D4709">
        <v>5</v>
      </c>
      <c r="J4709">
        <v>49</v>
      </c>
      <c r="AY4709">
        <f t="shared" si="148"/>
        <v>43</v>
      </c>
      <c r="AZ4709">
        <f t="shared" si="149"/>
        <v>3</v>
      </c>
    </row>
    <row r="4710" spans="1:52" ht="55.2">
      <c r="A4710" s="3" t="s">
        <v>4754</v>
      </c>
      <c r="D4710">
        <v>5</v>
      </c>
      <c r="J4710">
        <v>49</v>
      </c>
      <c r="AY4710">
        <f t="shared" si="148"/>
        <v>43</v>
      </c>
      <c r="AZ4710">
        <f t="shared" si="149"/>
        <v>3</v>
      </c>
    </row>
    <row r="4711" spans="1:52" ht="55.2">
      <c r="A4711" s="3" t="s">
        <v>4755</v>
      </c>
      <c r="D4711">
        <v>5</v>
      </c>
      <c r="J4711">
        <v>49</v>
      </c>
      <c r="AY4711">
        <f t="shared" si="148"/>
        <v>43</v>
      </c>
      <c r="AZ4711">
        <f t="shared" si="149"/>
        <v>3</v>
      </c>
    </row>
    <row r="4712" spans="1:52" ht="55.2">
      <c r="A4712" s="3" t="s">
        <v>4756</v>
      </c>
      <c r="D4712">
        <v>5</v>
      </c>
      <c r="J4712">
        <v>49</v>
      </c>
      <c r="AY4712">
        <f t="shared" si="148"/>
        <v>43</v>
      </c>
      <c r="AZ4712">
        <f t="shared" si="149"/>
        <v>3</v>
      </c>
    </row>
    <row r="4713" spans="1:52" ht="55.2">
      <c r="A4713" s="3" t="s">
        <v>4757</v>
      </c>
      <c r="D4713">
        <v>5</v>
      </c>
      <c r="J4713">
        <v>49</v>
      </c>
      <c r="AY4713">
        <f t="shared" si="148"/>
        <v>43</v>
      </c>
      <c r="AZ4713">
        <f t="shared" si="149"/>
        <v>3</v>
      </c>
    </row>
    <row r="4714" spans="1:52" ht="55.2">
      <c r="A4714" s="3" t="s">
        <v>4758</v>
      </c>
      <c r="D4714">
        <v>5</v>
      </c>
      <c r="J4714">
        <v>49</v>
      </c>
      <c r="AY4714">
        <f t="shared" si="148"/>
        <v>43</v>
      </c>
      <c r="AZ4714">
        <f t="shared" si="149"/>
        <v>3</v>
      </c>
    </row>
    <row r="4715" spans="1:52" ht="55.2">
      <c r="A4715" s="3" t="s">
        <v>4759</v>
      </c>
      <c r="D4715">
        <v>5</v>
      </c>
      <c r="J4715">
        <v>49</v>
      </c>
      <c r="AY4715">
        <f t="shared" si="148"/>
        <v>43</v>
      </c>
      <c r="AZ4715">
        <f t="shared" si="149"/>
        <v>3</v>
      </c>
    </row>
    <row r="4716" spans="1:52" ht="55.2">
      <c r="A4716" s="3" t="s">
        <v>4760</v>
      </c>
      <c r="D4716">
        <v>5</v>
      </c>
      <c r="J4716">
        <v>49</v>
      </c>
      <c r="AY4716">
        <f t="shared" si="148"/>
        <v>43</v>
      </c>
      <c r="AZ4716">
        <f t="shared" si="149"/>
        <v>3</v>
      </c>
    </row>
    <row r="4717" spans="1:52" ht="55.2">
      <c r="A4717" s="3" t="s">
        <v>4761</v>
      </c>
      <c r="D4717">
        <v>5</v>
      </c>
      <c r="J4717">
        <v>49</v>
      </c>
      <c r="AY4717">
        <f t="shared" si="148"/>
        <v>43</v>
      </c>
      <c r="AZ4717">
        <f t="shared" si="149"/>
        <v>3</v>
      </c>
    </row>
    <row r="4718" spans="1:52" ht="55.2">
      <c r="A4718" s="3" t="s">
        <v>4762</v>
      </c>
      <c r="D4718">
        <v>5</v>
      </c>
      <c r="J4718">
        <v>49</v>
      </c>
      <c r="AY4718">
        <f t="shared" si="148"/>
        <v>43</v>
      </c>
      <c r="AZ4718">
        <f t="shared" si="149"/>
        <v>3</v>
      </c>
    </row>
    <row r="4719" spans="1:52" ht="55.2">
      <c r="A4719" s="3" t="s">
        <v>4763</v>
      </c>
      <c r="D4719">
        <v>5</v>
      </c>
      <c r="J4719">
        <v>49</v>
      </c>
      <c r="AY4719">
        <f t="shared" si="148"/>
        <v>43</v>
      </c>
      <c r="AZ4719">
        <f t="shared" si="149"/>
        <v>3</v>
      </c>
    </row>
    <row r="4720" spans="1:52" ht="55.2">
      <c r="A4720" s="3" t="s">
        <v>4764</v>
      </c>
      <c r="D4720">
        <v>5</v>
      </c>
      <c r="J4720">
        <v>49</v>
      </c>
      <c r="AY4720">
        <f t="shared" si="148"/>
        <v>43</v>
      </c>
      <c r="AZ4720">
        <f t="shared" si="149"/>
        <v>3</v>
      </c>
    </row>
    <row r="4721" spans="1:52" ht="55.2">
      <c r="A4721" s="3" t="s">
        <v>4765</v>
      </c>
      <c r="D4721">
        <v>5</v>
      </c>
      <c r="J4721">
        <v>49</v>
      </c>
      <c r="AY4721">
        <f t="shared" si="148"/>
        <v>43</v>
      </c>
      <c r="AZ4721">
        <f t="shared" si="149"/>
        <v>3</v>
      </c>
    </row>
    <row r="4722" spans="1:52" ht="55.2">
      <c r="A4722" s="3" t="s">
        <v>4766</v>
      </c>
      <c r="D4722">
        <v>5</v>
      </c>
      <c r="J4722">
        <v>49</v>
      </c>
      <c r="AY4722">
        <f t="shared" si="148"/>
        <v>43</v>
      </c>
      <c r="AZ4722">
        <f t="shared" si="149"/>
        <v>3</v>
      </c>
    </row>
    <row r="4723" spans="1:52" ht="55.2">
      <c r="A4723" s="3" t="s">
        <v>4767</v>
      </c>
      <c r="D4723">
        <v>5</v>
      </c>
      <c r="J4723">
        <v>49</v>
      </c>
      <c r="AY4723">
        <f t="shared" si="148"/>
        <v>43</v>
      </c>
      <c r="AZ4723">
        <f t="shared" si="149"/>
        <v>3</v>
      </c>
    </row>
    <row r="4724" spans="1:52" ht="55.2">
      <c r="A4724" s="3" t="s">
        <v>4768</v>
      </c>
      <c r="D4724">
        <v>5</v>
      </c>
      <c r="J4724">
        <v>49</v>
      </c>
      <c r="AY4724">
        <f t="shared" si="148"/>
        <v>43</v>
      </c>
      <c r="AZ4724">
        <f t="shared" si="149"/>
        <v>3</v>
      </c>
    </row>
    <row r="4725" spans="1:52" ht="55.2">
      <c r="A4725" s="3" t="s">
        <v>4769</v>
      </c>
      <c r="D4725">
        <v>5</v>
      </c>
      <c r="J4725">
        <v>49</v>
      </c>
      <c r="AY4725">
        <f t="shared" si="148"/>
        <v>43</v>
      </c>
      <c r="AZ4725">
        <f t="shared" si="149"/>
        <v>3</v>
      </c>
    </row>
    <row r="4726" spans="1:52" ht="55.2">
      <c r="A4726" s="3" t="s">
        <v>4770</v>
      </c>
      <c r="D4726">
        <v>5</v>
      </c>
      <c r="J4726">
        <v>49</v>
      </c>
      <c r="AY4726">
        <f t="shared" si="148"/>
        <v>43</v>
      </c>
      <c r="AZ4726">
        <f t="shared" si="149"/>
        <v>3</v>
      </c>
    </row>
    <row r="4727" spans="1:52" ht="55.2">
      <c r="A4727" s="3" t="s">
        <v>4771</v>
      </c>
      <c r="D4727">
        <v>5</v>
      </c>
      <c r="J4727">
        <v>49</v>
      </c>
      <c r="AY4727">
        <f t="shared" si="148"/>
        <v>43</v>
      </c>
      <c r="AZ4727">
        <f t="shared" si="149"/>
        <v>3</v>
      </c>
    </row>
    <row r="4728" spans="1:52" ht="55.2">
      <c r="A4728" s="3" t="s">
        <v>4772</v>
      </c>
      <c r="D4728">
        <v>5</v>
      </c>
      <c r="J4728">
        <v>49</v>
      </c>
      <c r="AY4728">
        <f t="shared" si="148"/>
        <v>43</v>
      </c>
      <c r="AZ4728">
        <f t="shared" si="149"/>
        <v>3</v>
      </c>
    </row>
    <row r="4729" spans="1:52" ht="55.2">
      <c r="A4729" s="3" t="s">
        <v>4773</v>
      </c>
      <c r="D4729">
        <v>5</v>
      </c>
      <c r="AD4729">
        <v>1</v>
      </c>
      <c r="AY4729">
        <f t="shared" si="148"/>
        <v>43</v>
      </c>
      <c r="AZ4729">
        <f t="shared" si="149"/>
        <v>3</v>
      </c>
    </row>
    <row r="4730" spans="1:52" ht="55.2">
      <c r="A4730" s="3" t="s">
        <v>4774</v>
      </c>
      <c r="D4730">
        <v>5</v>
      </c>
      <c r="AD4730">
        <v>1</v>
      </c>
      <c r="AY4730">
        <f t="shared" si="148"/>
        <v>43</v>
      </c>
      <c r="AZ4730">
        <f t="shared" si="149"/>
        <v>3</v>
      </c>
    </row>
    <row r="4731" spans="1:52" ht="55.2">
      <c r="A4731" s="3" t="s">
        <v>4775</v>
      </c>
      <c r="D4731">
        <v>5</v>
      </c>
      <c r="AD4731">
        <v>1</v>
      </c>
      <c r="AY4731">
        <f t="shared" si="148"/>
        <v>43</v>
      </c>
      <c r="AZ4731">
        <f t="shared" si="149"/>
        <v>3</v>
      </c>
    </row>
    <row r="4732" spans="1:52" ht="55.2">
      <c r="A4732" s="3" t="s">
        <v>4776</v>
      </c>
      <c r="D4732">
        <v>5</v>
      </c>
      <c r="AD4732">
        <v>1</v>
      </c>
      <c r="AY4732">
        <f t="shared" si="148"/>
        <v>43</v>
      </c>
      <c r="AZ4732">
        <f t="shared" si="149"/>
        <v>3</v>
      </c>
    </row>
    <row r="4733" spans="1:52" ht="55.2">
      <c r="A4733" s="3" t="s">
        <v>4777</v>
      </c>
      <c r="D4733">
        <v>5</v>
      </c>
      <c r="AD4733">
        <v>1</v>
      </c>
      <c r="AY4733">
        <f t="shared" si="148"/>
        <v>43</v>
      </c>
      <c r="AZ4733">
        <f t="shared" si="149"/>
        <v>3</v>
      </c>
    </row>
    <row r="4734" spans="1:52" ht="55.2">
      <c r="A4734" s="3" t="s">
        <v>4778</v>
      </c>
      <c r="D4734">
        <v>5</v>
      </c>
      <c r="AD4734">
        <v>1</v>
      </c>
      <c r="AY4734">
        <f t="shared" si="148"/>
        <v>43</v>
      </c>
      <c r="AZ4734">
        <f t="shared" si="149"/>
        <v>3</v>
      </c>
    </row>
    <row r="4735" spans="1:52" ht="55.2">
      <c r="A4735" s="3" t="s">
        <v>4779</v>
      </c>
      <c r="D4735">
        <v>5</v>
      </c>
      <c r="AD4735">
        <v>1</v>
      </c>
      <c r="AY4735">
        <f t="shared" si="148"/>
        <v>43</v>
      </c>
      <c r="AZ4735">
        <f t="shared" si="149"/>
        <v>3</v>
      </c>
    </row>
    <row r="4736" spans="1:52" ht="55.2">
      <c r="A4736" s="3" t="s">
        <v>4780</v>
      </c>
      <c r="D4736">
        <v>5</v>
      </c>
      <c r="AD4736">
        <v>1</v>
      </c>
      <c r="AY4736">
        <f t="shared" si="148"/>
        <v>43</v>
      </c>
      <c r="AZ4736">
        <f t="shared" si="149"/>
        <v>3</v>
      </c>
    </row>
    <row r="4737" spans="1:52" ht="55.2">
      <c r="A4737" s="3" t="s">
        <v>4781</v>
      </c>
      <c r="D4737">
        <v>5</v>
      </c>
      <c r="AD4737">
        <v>1</v>
      </c>
      <c r="AY4737">
        <f t="shared" si="148"/>
        <v>43</v>
      </c>
      <c r="AZ4737">
        <f t="shared" si="149"/>
        <v>3</v>
      </c>
    </row>
    <row r="4738" spans="1:52" ht="55.2">
      <c r="A4738" s="3" t="s">
        <v>4782</v>
      </c>
      <c r="D4738">
        <v>5</v>
      </c>
      <c r="AD4738">
        <v>1</v>
      </c>
      <c r="AY4738">
        <f t="shared" si="148"/>
        <v>43</v>
      </c>
      <c r="AZ4738">
        <f t="shared" si="149"/>
        <v>3</v>
      </c>
    </row>
    <row r="4739" spans="1:52" ht="55.2">
      <c r="A4739" s="3" t="s">
        <v>4783</v>
      </c>
      <c r="D4739">
        <v>5</v>
      </c>
      <c r="AD4739">
        <v>1</v>
      </c>
      <c r="AY4739">
        <f t="shared" si="148"/>
        <v>43</v>
      </c>
      <c r="AZ4739">
        <f t="shared" si="149"/>
        <v>3</v>
      </c>
    </row>
    <row r="4740" spans="1:52" ht="55.2">
      <c r="A4740" s="3" t="s">
        <v>4784</v>
      </c>
      <c r="D4740">
        <v>5</v>
      </c>
      <c r="AD4740">
        <v>1</v>
      </c>
      <c r="AY4740">
        <f t="shared" si="148"/>
        <v>43</v>
      </c>
      <c r="AZ4740">
        <f t="shared" si="149"/>
        <v>3</v>
      </c>
    </row>
    <row r="4741" spans="1:52" ht="55.2">
      <c r="A4741" s="3" t="s">
        <v>4785</v>
      </c>
      <c r="D4741">
        <v>5</v>
      </c>
      <c r="AD4741">
        <v>1</v>
      </c>
      <c r="AY4741">
        <f t="shared" si="148"/>
        <v>43</v>
      </c>
      <c r="AZ4741">
        <f t="shared" si="149"/>
        <v>3</v>
      </c>
    </row>
    <row r="4742" spans="1:52" ht="55.2">
      <c r="A4742" s="3" t="s">
        <v>4786</v>
      </c>
      <c r="D4742">
        <v>5</v>
      </c>
      <c r="AD4742">
        <v>1</v>
      </c>
      <c r="AY4742">
        <f t="shared" si="148"/>
        <v>43</v>
      </c>
      <c r="AZ4742">
        <f t="shared" si="149"/>
        <v>3</v>
      </c>
    </row>
    <row r="4743" spans="1:52" ht="55.2">
      <c r="A4743" s="3" t="s">
        <v>4787</v>
      </c>
      <c r="D4743">
        <v>5</v>
      </c>
      <c r="AD4743">
        <v>1</v>
      </c>
      <c r="AY4743">
        <f t="shared" si="148"/>
        <v>43</v>
      </c>
      <c r="AZ4743">
        <f t="shared" si="149"/>
        <v>3</v>
      </c>
    </row>
    <row r="4744" spans="1:52" ht="55.2">
      <c r="A4744" s="3" t="s">
        <v>4788</v>
      </c>
      <c r="D4744">
        <v>5</v>
      </c>
      <c r="AD4744">
        <v>1</v>
      </c>
      <c r="AY4744">
        <f t="shared" si="148"/>
        <v>43</v>
      </c>
      <c r="AZ4744">
        <f t="shared" si="149"/>
        <v>3</v>
      </c>
    </row>
    <row r="4745" spans="1:52" ht="55.2">
      <c r="A4745" s="3" t="s">
        <v>4789</v>
      </c>
      <c r="D4745">
        <v>5</v>
      </c>
      <c r="AD4745">
        <v>1</v>
      </c>
      <c r="AY4745">
        <f t="shared" si="148"/>
        <v>43</v>
      </c>
      <c r="AZ4745">
        <f t="shared" si="149"/>
        <v>3</v>
      </c>
    </row>
    <row r="4746" spans="1:52" ht="55.2">
      <c r="A4746" s="3" t="s">
        <v>4790</v>
      </c>
      <c r="D4746">
        <v>5</v>
      </c>
      <c r="AD4746">
        <v>1</v>
      </c>
      <c r="AY4746">
        <f t="shared" si="148"/>
        <v>43</v>
      </c>
      <c r="AZ4746">
        <f t="shared" si="149"/>
        <v>3</v>
      </c>
    </row>
    <row r="4747" spans="1:52" ht="55.2">
      <c r="A4747" s="3" t="s">
        <v>4791</v>
      </c>
      <c r="D4747">
        <v>5</v>
      </c>
      <c r="AD4747">
        <v>1</v>
      </c>
      <c r="AY4747">
        <f t="shared" si="148"/>
        <v>43</v>
      </c>
      <c r="AZ4747">
        <f t="shared" si="149"/>
        <v>3</v>
      </c>
    </row>
    <row r="4748" spans="1:52" ht="55.2">
      <c r="A4748" s="3" t="s">
        <v>4792</v>
      </c>
      <c r="D4748">
        <v>5</v>
      </c>
      <c r="AD4748">
        <v>1</v>
      </c>
      <c r="AY4748">
        <f t="shared" si="148"/>
        <v>43</v>
      </c>
      <c r="AZ4748">
        <f t="shared" si="149"/>
        <v>3</v>
      </c>
    </row>
    <row r="4749" spans="1:52" ht="55.2">
      <c r="A4749" s="3" t="s">
        <v>4793</v>
      </c>
      <c r="D4749">
        <v>5</v>
      </c>
      <c r="AD4749">
        <v>1</v>
      </c>
      <c r="AY4749">
        <f t="shared" si="148"/>
        <v>43</v>
      </c>
      <c r="AZ4749">
        <f t="shared" si="149"/>
        <v>3</v>
      </c>
    </row>
    <row r="4750" spans="1:52" ht="55.2">
      <c r="A4750" s="3" t="s">
        <v>4794</v>
      </c>
      <c r="D4750">
        <v>5</v>
      </c>
      <c r="AD4750">
        <v>1</v>
      </c>
      <c r="AY4750">
        <f t="shared" si="148"/>
        <v>43</v>
      </c>
      <c r="AZ4750">
        <f t="shared" si="149"/>
        <v>3</v>
      </c>
    </row>
    <row r="4751" spans="1:52" ht="55.2">
      <c r="A4751" s="3" t="s">
        <v>4795</v>
      </c>
      <c r="D4751">
        <v>5</v>
      </c>
      <c r="AD4751">
        <v>1</v>
      </c>
      <c r="AY4751">
        <f t="shared" si="148"/>
        <v>43</v>
      </c>
      <c r="AZ4751">
        <f t="shared" si="149"/>
        <v>3</v>
      </c>
    </row>
    <row r="4752" spans="1:52" ht="55.2">
      <c r="A4752" s="3" t="s">
        <v>4796</v>
      </c>
      <c r="D4752">
        <v>5</v>
      </c>
      <c r="AD4752">
        <v>1</v>
      </c>
      <c r="AY4752">
        <f t="shared" si="148"/>
        <v>43</v>
      </c>
      <c r="AZ4752">
        <f t="shared" si="149"/>
        <v>3</v>
      </c>
    </row>
    <row r="4753" spans="1:52" ht="55.2">
      <c r="A4753" s="3" t="s">
        <v>4797</v>
      </c>
      <c r="D4753">
        <v>5</v>
      </c>
      <c r="AD4753">
        <v>1</v>
      </c>
      <c r="AY4753">
        <f t="shared" si="148"/>
        <v>43</v>
      </c>
      <c r="AZ4753">
        <f t="shared" si="149"/>
        <v>3</v>
      </c>
    </row>
    <row r="4754" spans="1:52" ht="55.2">
      <c r="A4754" s="3" t="s">
        <v>4798</v>
      </c>
      <c r="D4754">
        <v>5</v>
      </c>
      <c r="AD4754">
        <v>1</v>
      </c>
      <c r="AY4754">
        <f t="shared" si="148"/>
        <v>43</v>
      </c>
      <c r="AZ4754">
        <f t="shared" si="149"/>
        <v>3</v>
      </c>
    </row>
    <row r="4755" spans="1:52" ht="55.2">
      <c r="A4755" s="3" t="s">
        <v>4799</v>
      </c>
      <c r="D4755">
        <v>5</v>
      </c>
      <c r="AD4755">
        <v>1</v>
      </c>
      <c r="AY4755">
        <f t="shared" si="148"/>
        <v>43</v>
      </c>
      <c r="AZ4755">
        <f t="shared" si="149"/>
        <v>3</v>
      </c>
    </row>
    <row r="4756" spans="1:52" ht="55.2">
      <c r="A4756" s="3" t="s">
        <v>4800</v>
      </c>
      <c r="D4756">
        <v>5</v>
      </c>
      <c r="AD4756">
        <v>1</v>
      </c>
      <c r="AY4756">
        <f t="shared" si="148"/>
        <v>43</v>
      </c>
      <c r="AZ4756">
        <f t="shared" si="149"/>
        <v>3</v>
      </c>
    </row>
    <row r="4757" spans="1:52" ht="55.2">
      <c r="A4757" s="3" t="s">
        <v>4801</v>
      </c>
      <c r="D4757">
        <v>5</v>
      </c>
      <c r="AD4757">
        <v>1</v>
      </c>
      <c r="AY4757">
        <f t="shared" si="148"/>
        <v>43</v>
      </c>
      <c r="AZ4757">
        <f t="shared" si="149"/>
        <v>3</v>
      </c>
    </row>
    <row r="4758" spans="1:52" ht="55.2">
      <c r="A4758" s="3" t="s">
        <v>4802</v>
      </c>
      <c r="D4758">
        <v>5</v>
      </c>
      <c r="AD4758">
        <v>1</v>
      </c>
      <c r="AY4758">
        <f t="shared" si="148"/>
        <v>43</v>
      </c>
      <c r="AZ4758">
        <f t="shared" si="149"/>
        <v>3</v>
      </c>
    </row>
    <row r="4759" spans="1:52" ht="55.2">
      <c r="A4759" s="3" t="s">
        <v>4803</v>
      </c>
      <c r="D4759">
        <v>5</v>
      </c>
      <c r="AD4759">
        <v>1</v>
      </c>
      <c r="AY4759">
        <f t="shared" si="148"/>
        <v>43</v>
      </c>
      <c r="AZ4759">
        <f t="shared" si="149"/>
        <v>3</v>
      </c>
    </row>
    <row r="4760" spans="1:52" ht="55.2">
      <c r="A4760" s="3" t="s">
        <v>4804</v>
      </c>
      <c r="D4760">
        <v>5</v>
      </c>
      <c r="AD4760">
        <v>1</v>
      </c>
      <c r="AY4760">
        <f t="shared" si="148"/>
        <v>43</v>
      </c>
      <c r="AZ4760">
        <f t="shared" si="149"/>
        <v>3</v>
      </c>
    </row>
    <row r="4761" spans="1:52" ht="55.2">
      <c r="A4761" s="3" t="s">
        <v>4805</v>
      </c>
      <c r="D4761">
        <v>5</v>
      </c>
      <c r="AD4761">
        <v>1</v>
      </c>
      <c r="AY4761">
        <f t="shared" si="148"/>
        <v>43</v>
      </c>
      <c r="AZ4761">
        <f t="shared" si="149"/>
        <v>3</v>
      </c>
    </row>
    <row r="4762" spans="1:52" ht="55.2">
      <c r="A4762" s="3" t="s">
        <v>4806</v>
      </c>
      <c r="D4762">
        <v>5</v>
      </c>
      <c r="AD4762">
        <v>1</v>
      </c>
      <c r="AY4762">
        <f t="shared" si="148"/>
        <v>43</v>
      </c>
      <c r="AZ4762">
        <f t="shared" si="149"/>
        <v>3</v>
      </c>
    </row>
    <row r="4763" spans="1:52" ht="55.2">
      <c r="A4763" s="3" t="s">
        <v>4807</v>
      </c>
      <c r="D4763">
        <v>5</v>
      </c>
      <c r="AD4763">
        <v>1</v>
      </c>
      <c r="AY4763">
        <f t="shared" si="148"/>
        <v>43</v>
      </c>
      <c r="AZ4763">
        <f t="shared" si="149"/>
        <v>3</v>
      </c>
    </row>
    <row r="4764" spans="1:52" ht="55.2">
      <c r="A4764" s="3" t="s">
        <v>4808</v>
      </c>
      <c r="D4764">
        <v>5</v>
      </c>
      <c r="AD4764">
        <v>1</v>
      </c>
      <c r="AY4764">
        <f t="shared" si="148"/>
        <v>43</v>
      </c>
      <c r="AZ4764">
        <f t="shared" si="149"/>
        <v>3</v>
      </c>
    </row>
    <row r="4765" spans="1:52" ht="55.2">
      <c r="A4765" s="3" t="s">
        <v>4809</v>
      </c>
      <c r="D4765">
        <v>5</v>
      </c>
      <c r="AD4765">
        <v>1</v>
      </c>
      <c r="AY4765">
        <f t="shared" si="148"/>
        <v>43</v>
      </c>
      <c r="AZ4765">
        <f t="shared" si="149"/>
        <v>3</v>
      </c>
    </row>
    <row r="4766" spans="1:52" ht="55.2">
      <c r="A4766" s="3" t="s">
        <v>4810</v>
      </c>
      <c r="D4766">
        <v>5</v>
      </c>
      <c r="AD4766">
        <v>1</v>
      </c>
      <c r="AY4766">
        <f t="shared" si="148"/>
        <v>43</v>
      </c>
      <c r="AZ4766">
        <f t="shared" si="149"/>
        <v>3</v>
      </c>
    </row>
    <row r="4767" spans="1:52" ht="55.2">
      <c r="A4767" s="3" t="s">
        <v>4811</v>
      </c>
      <c r="D4767">
        <v>5</v>
      </c>
      <c r="AD4767">
        <v>1</v>
      </c>
      <c r="AY4767">
        <f t="shared" si="148"/>
        <v>43</v>
      </c>
      <c r="AZ4767">
        <f t="shared" si="149"/>
        <v>3</v>
      </c>
    </row>
    <row r="4768" spans="1:52" ht="55.2">
      <c r="A4768" s="3" t="s">
        <v>4812</v>
      </c>
      <c r="D4768">
        <v>5</v>
      </c>
      <c r="AD4768">
        <v>1</v>
      </c>
      <c r="AY4768">
        <f t="shared" si="148"/>
        <v>43</v>
      </c>
      <c r="AZ4768">
        <f t="shared" si="149"/>
        <v>3</v>
      </c>
    </row>
    <row r="4769" spans="1:52" ht="55.2">
      <c r="A4769" s="3" t="s">
        <v>4813</v>
      </c>
      <c r="D4769">
        <v>5</v>
      </c>
      <c r="AD4769">
        <v>1</v>
      </c>
      <c r="AY4769">
        <f t="shared" ref="AY4769:AY4832" si="150">COUNTBLANK(F4769:AW4769)</f>
        <v>43</v>
      </c>
      <c r="AZ4769">
        <f t="shared" ref="AZ4769:AZ4832" si="151">COUNTBLANK(B4769:E4769)</f>
        <v>3</v>
      </c>
    </row>
    <row r="4770" spans="1:52" ht="55.2">
      <c r="A4770" s="3" t="s">
        <v>4814</v>
      </c>
      <c r="D4770">
        <v>5</v>
      </c>
      <c r="AD4770">
        <v>1</v>
      </c>
      <c r="AY4770">
        <f t="shared" si="150"/>
        <v>43</v>
      </c>
      <c r="AZ4770">
        <f t="shared" si="151"/>
        <v>3</v>
      </c>
    </row>
    <row r="4771" spans="1:52" ht="55.2">
      <c r="A4771" s="3" t="s">
        <v>4815</v>
      </c>
      <c r="D4771">
        <v>5</v>
      </c>
      <c r="AD4771">
        <v>1</v>
      </c>
      <c r="AY4771">
        <f t="shared" si="150"/>
        <v>43</v>
      </c>
      <c r="AZ4771">
        <f t="shared" si="151"/>
        <v>3</v>
      </c>
    </row>
    <row r="4772" spans="1:52" ht="55.2">
      <c r="A4772" s="3" t="s">
        <v>4816</v>
      </c>
      <c r="D4772">
        <v>5</v>
      </c>
      <c r="AD4772">
        <v>1</v>
      </c>
      <c r="AY4772">
        <f t="shared" si="150"/>
        <v>43</v>
      </c>
      <c r="AZ4772">
        <f t="shared" si="151"/>
        <v>3</v>
      </c>
    </row>
    <row r="4773" spans="1:52" ht="55.2">
      <c r="A4773" s="3" t="s">
        <v>4817</v>
      </c>
      <c r="D4773">
        <v>5</v>
      </c>
      <c r="AE4773">
        <v>1</v>
      </c>
      <c r="AY4773">
        <f t="shared" si="150"/>
        <v>43</v>
      </c>
      <c r="AZ4773">
        <f t="shared" si="151"/>
        <v>3</v>
      </c>
    </row>
    <row r="4774" spans="1:52" ht="55.2">
      <c r="A4774" s="3" t="s">
        <v>4818</v>
      </c>
      <c r="D4774">
        <v>5</v>
      </c>
      <c r="AE4774">
        <v>1</v>
      </c>
      <c r="AY4774">
        <f t="shared" si="150"/>
        <v>43</v>
      </c>
      <c r="AZ4774">
        <f t="shared" si="151"/>
        <v>3</v>
      </c>
    </row>
    <row r="4775" spans="1:52" ht="55.2">
      <c r="A4775" s="3" t="s">
        <v>4819</v>
      </c>
      <c r="D4775">
        <v>5</v>
      </c>
      <c r="AE4775">
        <v>1</v>
      </c>
      <c r="AY4775">
        <f t="shared" si="150"/>
        <v>43</v>
      </c>
      <c r="AZ4775">
        <f t="shared" si="151"/>
        <v>3</v>
      </c>
    </row>
    <row r="4776" spans="1:52" ht="55.2">
      <c r="A4776" s="3" t="s">
        <v>4820</v>
      </c>
      <c r="D4776">
        <v>5</v>
      </c>
      <c r="AE4776">
        <v>1</v>
      </c>
      <c r="AY4776">
        <f t="shared" si="150"/>
        <v>43</v>
      </c>
      <c r="AZ4776">
        <f t="shared" si="151"/>
        <v>3</v>
      </c>
    </row>
    <row r="4777" spans="1:52" ht="55.2">
      <c r="A4777" s="3" t="s">
        <v>4821</v>
      </c>
      <c r="D4777">
        <v>5</v>
      </c>
      <c r="AE4777">
        <v>1</v>
      </c>
      <c r="AY4777">
        <f t="shared" si="150"/>
        <v>43</v>
      </c>
      <c r="AZ4777">
        <f t="shared" si="151"/>
        <v>3</v>
      </c>
    </row>
    <row r="4778" spans="1:52" ht="55.2">
      <c r="A4778" s="3" t="s">
        <v>4822</v>
      </c>
      <c r="D4778">
        <v>5</v>
      </c>
      <c r="AE4778">
        <v>1</v>
      </c>
      <c r="AY4778">
        <f t="shared" si="150"/>
        <v>43</v>
      </c>
      <c r="AZ4778">
        <f t="shared" si="151"/>
        <v>3</v>
      </c>
    </row>
    <row r="4779" spans="1:52" ht="55.2">
      <c r="A4779" s="3" t="s">
        <v>4823</v>
      </c>
      <c r="D4779">
        <v>5</v>
      </c>
      <c r="AE4779">
        <v>1</v>
      </c>
      <c r="AY4779">
        <f t="shared" si="150"/>
        <v>43</v>
      </c>
      <c r="AZ4779">
        <f t="shared" si="151"/>
        <v>3</v>
      </c>
    </row>
    <row r="4780" spans="1:52" ht="55.2">
      <c r="A4780" s="3" t="s">
        <v>4824</v>
      </c>
      <c r="D4780">
        <v>5</v>
      </c>
      <c r="AE4780">
        <v>1</v>
      </c>
      <c r="AY4780">
        <f t="shared" si="150"/>
        <v>43</v>
      </c>
      <c r="AZ4780">
        <f t="shared" si="151"/>
        <v>3</v>
      </c>
    </row>
    <row r="4781" spans="1:52" ht="55.2">
      <c r="A4781" s="3" t="s">
        <v>4825</v>
      </c>
      <c r="D4781">
        <v>5</v>
      </c>
      <c r="AE4781">
        <v>1</v>
      </c>
      <c r="AY4781">
        <f t="shared" si="150"/>
        <v>43</v>
      </c>
      <c r="AZ4781">
        <f t="shared" si="151"/>
        <v>3</v>
      </c>
    </row>
    <row r="4782" spans="1:52" ht="55.2">
      <c r="A4782" s="3" t="s">
        <v>4826</v>
      </c>
      <c r="D4782">
        <v>5</v>
      </c>
      <c r="AE4782">
        <v>1</v>
      </c>
      <c r="AY4782">
        <f t="shared" si="150"/>
        <v>43</v>
      </c>
      <c r="AZ4782">
        <f t="shared" si="151"/>
        <v>3</v>
      </c>
    </row>
    <row r="4783" spans="1:52" ht="55.2">
      <c r="A4783" s="3" t="s">
        <v>4827</v>
      </c>
      <c r="D4783">
        <v>5</v>
      </c>
      <c r="AE4783">
        <v>1</v>
      </c>
      <c r="AY4783">
        <f t="shared" si="150"/>
        <v>43</v>
      </c>
      <c r="AZ4783">
        <f t="shared" si="151"/>
        <v>3</v>
      </c>
    </row>
    <row r="4784" spans="1:52" ht="55.2">
      <c r="A4784" s="3" t="s">
        <v>4828</v>
      </c>
      <c r="D4784">
        <v>5</v>
      </c>
      <c r="AE4784">
        <v>1</v>
      </c>
      <c r="AY4784">
        <f t="shared" si="150"/>
        <v>43</v>
      </c>
      <c r="AZ4784">
        <f t="shared" si="151"/>
        <v>3</v>
      </c>
    </row>
    <row r="4785" spans="1:52" ht="55.2">
      <c r="A4785" s="3" t="s">
        <v>4829</v>
      </c>
      <c r="D4785">
        <v>5</v>
      </c>
      <c r="AE4785">
        <v>1</v>
      </c>
      <c r="AY4785">
        <f t="shared" si="150"/>
        <v>43</v>
      </c>
      <c r="AZ4785">
        <f t="shared" si="151"/>
        <v>3</v>
      </c>
    </row>
    <row r="4786" spans="1:52" ht="55.2">
      <c r="A4786" s="3" t="s">
        <v>4830</v>
      </c>
      <c r="D4786">
        <v>5</v>
      </c>
      <c r="AE4786">
        <v>1</v>
      </c>
      <c r="AY4786">
        <f t="shared" si="150"/>
        <v>43</v>
      </c>
      <c r="AZ4786">
        <f t="shared" si="151"/>
        <v>3</v>
      </c>
    </row>
    <row r="4787" spans="1:52" ht="55.2">
      <c r="A4787" s="3" t="s">
        <v>4831</v>
      </c>
      <c r="D4787">
        <v>5</v>
      </c>
      <c r="AE4787">
        <v>1</v>
      </c>
      <c r="AY4787">
        <f t="shared" si="150"/>
        <v>43</v>
      </c>
      <c r="AZ4787">
        <f t="shared" si="151"/>
        <v>3</v>
      </c>
    </row>
    <row r="4788" spans="1:52" ht="55.2">
      <c r="A4788" s="3" t="s">
        <v>4832</v>
      </c>
      <c r="D4788">
        <v>5</v>
      </c>
      <c r="AE4788">
        <v>1</v>
      </c>
      <c r="AY4788">
        <f t="shared" si="150"/>
        <v>43</v>
      </c>
      <c r="AZ4788">
        <f t="shared" si="151"/>
        <v>3</v>
      </c>
    </row>
    <row r="4789" spans="1:52" ht="55.2">
      <c r="A4789" s="3" t="s">
        <v>4833</v>
      </c>
      <c r="D4789">
        <v>5</v>
      </c>
      <c r="AE4789">
        <v>1</v>
      </c>
      <c r="AY4789">
        <f t="shared" si="150"/>
        <v>43</v>
      </c>
      <c r="AZ4789">
        <f t="shared" si="151"/>
        <v>3</v>
      </c>
    </row>
    <row r="4790" spans="1:52" ht="55.2">
      <c r="A4790" s="3" t="s">
        <v>4834</v>
      </c>
      <c r="D4790">
        <v>5</v>
      </c>
      <c r="AE4790">
        <v>1</v>
      </c>
      <c r="AY4790">
        <f t="shared" si="150"/>
        <v>43</v>
      </c>
      <c r="AZ4790">
        <f t="shared" si="151"/>
        <v>3</v>
      </c>
    </row>
    <row r="4791" spans="1:52" ht="55.2">
      <c r="A4791" s="3" t="s">
        <v>4835</v>
      </c>
      <c r="D4791">
        <v>5</v>
      </c>
      <c r="AE4791">
        <v>1</v>
      </c>
      <c r="AY4791">
        <f t="shared" si="150"/>
        <v>43</v>
      </c>
      <c r="AZ4791">
        <f t="shared" si="151"/>
        <v>3</v>
      </c>
    </row>
    <row r="4792" spans="1:52" ht="55.2">
      <c r="A4792" s="3" t="s">
        <v>4836</v>
      </c>
      <c r="D4792">
        <v>5</v>
      </c>
      <c r="AE4792">
        <v>1</v>
      </c>
      <c r="AY4792">
        <f t="shared" si="150"/>
        <v>43</v>
      </c>
      <c r="AZ4792">
        <f t="shared" si="151"/>
        <v>3</v>
      </c>
    </row>
    <row r="4793" spans="1:52" ht="55.2">
      <c r="A4793" s="3" t="s">
        <v>4837</v>
      </c>
      <c r="D4793">
        <v>5</v>
      </c>
      <c r="AE4793">
        <v>1</v>
      </c>
      <c r="AY4793">
        <f t="shared" si="150"/>
        <v>43</v>
      </c>
      <c r="AZ4793">
        <f t="shared" si="151"/>
        <v>3</v>
      </c>
    </row>
    <row r="4794" spans="1:52" ht="55.2">
      <c r="A4794" s="3" t="s">
        <v>4838</v>
      </c>
      <c r="D4794">
        <v>5</v>
      </c>
      <c r="AE4794">
        <v>1</v>
      </c>
      <c r="AY4794">
        <f t="shared" si="150"/>
        <v>43</v>
      </c>
      <c r="AZ4794">
        <f t="shared" si="151"/>
        <v>3</v>
      </c>
    </row>
    <row r="4795" spans="1:52" ht="55.2">
      <c r="A4795" s="3" t="s">
        <v>4839</v>
      </c>
      <c r="D4795">
        <v>5</v>
      </c>
      <c r="AE4795">
        <v>1</v>
      </c>
      <c r="AY4795">
        <f t="shared" si="150"/>
        <v>43</v>
      </c>
      <c r="AZ4795">
        <f t="shared" si="151"/>
        <v>3</v>
      </c>
    </row>
    <row r="4796" spans="1:52" ht="55.2">
      <c r="A4796" s="3" t="s">
        <v>4840</v>
      </c>
      <c r="D4796">
        <v>5</v>
      </c>
      <c r="AE4796">
        <v>1</v>
      </c>
      <c r="AY4796">
        <f t="shared" si="150"/>
        <v>43</v>
      </c>
      <c r="AZ4796">
        <f t="shared" si="151"/>
        <v>3</v>
      </c>
    </row>
    <row r="4797" spans="1:52" ht="55.2">
      <c r="A4797" s="3" t="s">
        <v>4841</v>
      </c>
      <c r="D4797">
        <v>5</v>
      </c>
      <c r="AE4797">
        <v>1</v>
      </c>
      <c r="AY4797">
        <f t="shared" si="150"/>
        <v>43</v>
      </c>
      <c r="AZ4797">
        <f t="shared" si="151"/>
        <v>3</v>
      </c>
    </row>
    <row r="4798" spans="1:52" ht="55.2">
      <c r="A4798" s="3" t="s">
        <v>4842</v>
      </c>
      <c r="D4798">
        <v>5</v>
      </c>
      <c r="AE4798">
        <v>1</v>
      </c>
      <c r="AY4798">
        <f t="shared" si="150"/>
        <v>43</v>
      </c>
      <c r="AZ4798">
        <f t="shared" si="151"/>
        <v>3</v>
      </c>
    </row>
    <row r="4799" spans="1:52" ht="55.2">
      <c r="A4799" s="3" t="s">
        <v>4843</v>
      </c>
      <c r="D4799">
        <v>5</v>
      </c>
      <c r="AE4799">
        <v>1</v>
      </c>
      <c r="AY4799">
        <f t="shared" si="150"/>
        <v>43</v>
      </c>
      <c r="AZ4799">
        <f t="shared" si="151"/>
        <v>3</v>
      </c>
    </row>
    <row r="4800" spans="1:52" ht="55.2">
      <c r="A4800" s="3" t="s">
        <v>4844</v>
      </c>
      <c r="D4800">
        <v>5</v>
      </c>
      <c r="AE4800">
        <v>1</v>
      </c>
      <c r="AY4800">
        <f t="shared" si="150"/>
        <v>43</v>
      </c>
      <c r="AZ4800">
        <f t="shared" si="151"/>
        <v>3</v>
      </c>
    </row>
    <row r="4801" spans="1:52" ht="55.2">
      <c r="A4801" s="3" t="s">
        <v>4845</v>
      </c>
      <c r="D4801">
        <v>5</v>
      </c>
      <c r="AE4801">
        <v>1</v>
      </c>
      <c r="AY4801">
        <f t="shared" si="150"/>
        <v>43</v>
      </c>
      <c r="AZ4801">
        <f t="shared" si="151"/>
        <v>3</v>
      </c>
    </row>
    <row r="4802" spans="1:52" ht="55.2">
      <c r="A4802" s="3" t="s">
        <v>4846</v>
      </c>
      <c r="D4802">
        <v>5</v>
      </c>
      <c r="AE4802">
        <v>1</v>
      </c>
      <c r="AY4802">
        <f t="shared" si="150"/>
        <v>43</v>
      </c>
      <c r="AZ4802">
        <f t="shared" si="151"/>
        <v>3</v>
      </c>
    </row>
    <row r="4803" spans="1:52" ht="55.2">
      <c r="A4803" s="3" t="s">
        <v>4847</v>
      </c>
      <c r="D4803">
        <v>5</v>
      </c>
      <c r="AE4803">
        <v>1</v>
      </c>
      <c r="AY4803">
        <f t="shared" si="150"/>
        <v>43</v>
      </c>
      <c r="AZ4803">
        <f t="shared" si="151"/>
        <v>3</v>
      </c>
    </row>
    <row r="4804" spans="1:52" ht="55.2">
      <c r="A4804" s="3" t="s">
        <v>4848</v>
      </c>
      <c r="D4804">
        <v>5</v>
      </c>
      <c r="AE4804">
        <v>1</v>
      </c>
      <c r="AY4804">
        <f t="shared" si="150"/>
        <v>43</v>
      </c>
      <c r="AZ4804">
        <f t="shared" si="151"/>
        <v>3</v>
      </c>
    </row>
    <row r="4805" spans="1:52" ht="55.2">
      <c r="A4805" s="3" t="s">
        <v>4849</v>
      </c>
      <c r="D4805">
        <v>5</v>
      </c>
      <c r="AE4805">
        <v>1</v>
      </c>
      <c r="AY4805">
        <f t="shared" si="150"/>
        <v>43</v>
      </c>
      <c r="AZ4805">
        <f t="shared" si="151"/>
        <v>3</v>
      </c>
    </row>
    <row r="4806" spans="1:52" ht="55.2">
      <c r="A4806" s="3" t="s">
        <v>4850</v>
      </c>
      <c r="D4806">
        <v>5</v>
      </c>
      <c r="AE4806">
        <v>1</v>
      </c>
      <c r="AY4806">
        <f t="shared" si="150"/>
        <v>43</v>
      </c>
      <c r="AZ4806">
        <f t="shared" si="151"/>
        <v>3</v>
      </c>
    </row>
    <row r="4807" spans="1:52" ht="55.2">
      <c r="A4807" s="3" t="s">
        <v>4851</v>
      </c>
      <c r="D4807">
        <v>5</v>
      </c>
      <c r="AE4807">
        <v>1</v>
      </c>
      <c r="AY4807">
        <f t="shared" si="150"/>
        <v>43</v>
      </c>
      <c r="AZ4807">
        <f t="shared" si="151"/>
        <v>3</v>
      </c>
    </row>
    <row r="4808" spans="1:52" ht="55.2">
      <c r="A4808" s="3" t="s">
        <v>4852</v>
      </c>
      <c r="D4808">
        <v>5</v>
      </c>
      <c r="AE4808">
        <v>1</v>
      </c>
      <c r="AY4808">
        <f t="shared" si="150"/>
        <v>43</v>
      </c>
      <c r="AZ4808">
        <f t="shared" si="151"/>
        <v>3</v>
      </c>
    </row>
    <row r="4809" spans="1:52" ht="55.2">
      <c r="A4809" s="3" t="s">
        <v>4853</v>
      </c>
      <c r="D4809">
        <v>5</v>
      </c>
      <c r="AE4809">
        <v>1</v>
      </c>
      <c r="AY4809">
        <f t="shared" si="150"/>
        <v>43</v>
      </c>
      <c r="AZ4809">
        <f t="shared" si="151"/>
        <v>3</v>
      </c>
    </row>
    <row r="4810" spans="1:52" ht="55.2">
      <c r="A4810" s="3" t="s">
        <v>4854</v>
      </c>
      <c r="D4810">
        <v>5</v>
      </c>
      <c r="AE4810">
        <v>1</v>
      </c>
      <c r="AY4810">
        <f t="shared" si="150"/>
        <v>43</v>
      </c>
      <c r="AZ4810">
        <f t="shared" si="151"/>
        <v>3</v>
      </c>
    </row>
    <row r="4811" spans="1:52" ht="55.2">
      <c r="A4811" s="3" t="s">
        <v>4855</v>
      </c>
      <c r="D4811">
        <v>5</v>
      </c>
      <c r="AE4811">
        <v>1</v>
      </c>
      <c r="AY4811">
        <f t="shared" si="150"/>
        <v>43</v>
      </c>
      <c r="AZ4811">
        <f t="shared" si="151"/>
        <v>3</v>
      </c>
    </row>
    <row r="4812" spans="1:52" ht="55.2">
      <c r="A4812" s="3" t="s">
        <v>4856</v>
      </c>
      <c r="D4812">
        <v>5</v>
      </c>
      <c r="AE4812">
        <v>1</v>
      </c>
      <c r="AY4812">
        <f t="shared" si="150"/>
        <v>43</v>
      </c>
      <c r="AZ4812">
        <f t="shared" si="151"/>
        <v>3</v>
      </c>
    </row>
    <row r="4813" spans="1:52" ht="55.2">
      <c r="A4813" s="3" t="s">
        <v>4857</v>
      </c>
      <c r="D4813">
        <v>5</v>
      </c>
      <c r="AE4813">
        <v>1</v>
      </c>
      <c r="AY4813">
        <f t="shared" si="150"/>
        <v>43</v>
      </c>
      <c r="AZ4813">
        <f t="shared" si="151"/>
        <v>3</v>
      </c>
    </row>
    <row r="4814" spans="1:52" ht="55.2">
      <c r="A4814" s="3" t="s">
        <v>4858</v>
      </c>
      <c r="D4814">
        <v>5</v>
      </c>
      <c r="AE4814">
        <v>1</v>
      </c>
      <c r="AY4814">
        <f t="shared" si="150"/>
        <v>43</v>
      </c>
      <c r="AZ4814">
        <f t="shared" si="151"/>
        <v>3</v>
      </c>
    </row>
    <row r="4815" spans="1:52" ht="55.2">
      <c r="A4815" s="3" t="s">
        <v>4859</v>
      </c>
      <c r="D4815">
        <v>5</v>
      </c>
      <c r="AE4815">
        <v>1</v>
      </c>
      <c r="AY4815">
        <f t="shared" si="150"/>
        <v>43</v>
      </c>
      <c r="AZ4815">
        <f t="shared" si="151"/>
        <v>3</v>
      </c>
    </row>
    <row r="4816" spans="1:52" ht="55.2">
      <c r="A4816" s="3" t="s">
        <v>4860</v>
      </c>
      <c r="D4816">
        <v>5</v>
      </c>
      <c r="AE4816">
        <v>1</v>
      </c>
      <c r="AY4816">
        <f t="shared" si="150"/>
        <v>43</v>
      </c>
      <c r="AZ4816">
        <f t="shared" si="151"/>
        <v>3</v>
      </c>
    </row>
    <row r="4817" spans="1:52" ht="55.2">
      <c r="A4817" s="3" t="s">
        <v>4861</v>
      </c>
      <c r="D4817">
        <v>5</v>
      </c>
      <c r="AE4817">
        <v>1</v>
      </c>
      <c r="AY4817">
        <f t="shared" si="150"/>
        <v>43</v>
      </c>
      <c r="AZ4817">
        <f t="shared" si="151"/>
        <v>3</v>
      </c>
    </row>
    <row r="4818" spans="1:52" ht="55.2">
      <c r="A4818" s="3" t="s">
        <v>4862</v>
      </c>
      <c r="D4818">
        <v>5</v>
      </c>
      <c r="AE4818">
        <v>1</v>
      </c>
      <c r="AY4818">
        <f t="shared" si="150"/>
        <v>43</v>
      </c>
      <c r="AZ4818">
        <f t="shared" si="151"/>
        <v>3</v>
      </c>
    </row>
    <row r="4819" spans="1:52" ht="55.2">
      <c r="A4819" s="3" t="s">
        <v>4863</v>
      </c>
      <c r="D4819">
        <v>5</v>
      </c>
      <c r="AE4819">
        <v>1</v>
      </c>
      <c r="AY4819">
        <f t="shared" si="150"/>
        <v>43</v>
      </c>
      <c r="AZ4819">
        <f t="shared" si="151"/>
        <v>3</v>
      </c>
    </row>
    <row r="4820" spans="1:52" ht="55.2">
      <c r="A4820" s="3" t="s">
        <v>4864</v>
      </c>
      <c r="D4820">
        <v>5</v>
      </c>
      <c r="AE4820">
        <v>1</v>
      </c>
      <c r="AY4820">
        <f t="shared" si="150"/>
        <v>43</v>
      </c>
      <c r="AZ4820">
        <f t="shared" si="151"/>
        <v>3</v>
      </c>
    </row>
    <row r="4821" spans="1:52" ht="55.2">
      <c r="A4821" s="3" t="s">
        <v>4865</v>
      </c>
      <c r="D4821">
        <v>5</v>
      </c>
      <c r="AE4821">
        <v>1</v>
      </c>
      <c r="AY4821">
        <f t="shared" si="150"/>
        <v>43</v>
      </c>
      <c r="AZ4821">
        <f t="shared" si="151"/>
        <v>3</v>
      </c>
    </row>
    <row r="4822" spans="1:52" ht="55.2">
      <c r="A4822" s="3" t="s">
        <v>4866</v>
      </c>
      <c r="D4822">
        <v>5</v>
      </c>
      <c r="AE4822">
        <v>1</v>
      </c>
      <c r="AY4822">
        <f t="shared" si="150"/>
        <v>43</v>
      </c>
      <c r="AZ4822">
        <f t="shared" si="151"/>
        <v>3</v>
      </c>
    </row>
    <row r="4823" spans="1:52" ht="55.2">
      <c r="A4823" s="3" t="s">
        <v>4867</v>
      </c>
      <c r="D4823">
        <v>5</v>
      </c>
      <c r="AE4823">
        <v>1</v>
      </c>
      <c r="AY4823">
        <f t="shared" si="150"/>
        <v>43</v>
      </c>
      <c r="AZ4823">
        <f t="shared" si="151"/>
        <v>3</v>
      </c>
    </row>
    <row r="4824" spans="1:52" ht="55.2">
      <c r="A4824" s="3" t="s">
        <v>4868</v>
      </c>
      <c r="D4824">
        <v>5</v>
      </c>
      <c r="AE4824">
        <v>1</v>
      </c>
      <c r="AY4824">
        <f t="shared" si="150"/>
        <v>43</v>
      </c>
      <c r="AZ4824">
        <f t="shared" si="151"/>
        <v>3</v>
      </c>
    </row>
    <row r="4825" spans="1:52" ht="55.2">
      <c r="A4825" s="3" t="s">
        <v>4869</v>
      </c>
      <c r="D4825">
        <v>5</v>
      </c>
      <c r="AE4825">
        <v>1</v>
      </c>
      <c r="AY4825">
        <f t="shared" si="150"/>
        <v>43</v>
      </c>
      <c r="AZ4825">
        <f t="shared" si="151"/>
        <v>3</v>
      </c>
    </row>
    <row r="4826" spans="1:52" ht="55.2">
      <c r="A4826" s="3" t="s">
        <v>4870</v>
      </c>
      <c r="D4826">
        <v>5</v>
      </c>
      <c r="AE4826">
        <v>1</v>
      </c>
      <c r="AY4826">
        <f t="shared" si="150"/>
        <v>43</v>
      </c>
      <c r="AZ4826">
        <f t="shared" si="151"/>
        <v>3</v>
      </c>
    </row>
    <row r="4827" spans="1:52" ht="55.2">
      <c r="A4827" s="3" t="s">
        <v>4871</v>
      </c>
      <c r="D4827">
        <v>5</v>
      </c>
      <c r="AE4827">
        <v>1</v>
      </c>
      <c r="AY4827">
        <f t="shared" si="150"/>
        <v>43</v>
      </c>
      <c r="AZ4827">
        <f t="shared" si="151"/>
        <v>3</v>
      </c>
    </row>
    <row r="4828" spans="1:52" ht="55.2">
      <c r="A4828" s="3" t="s">
        <v>4872</v>
      </c>
      <c r="D4828">
        <v>5</v>
      </c>
      <c r="AE4828">
        <v>1</v>
      </c>
      <c r="AY4828">
        <f t="shared" si="150"/>
        <v>43</v>
      </c>
      <c r="AZ4828">
        <f t="shared" si="151"/>
        <v>3</v>
      </c>
    </row>
    <row r="4829" spans="1:52" ht="55.2">
      <c r="A4829" s="3" t="s">
        <v>4873</v>
      </c>
      <c r="D4829">
        <v>5</v>
      </c>
      <c r="AE4829">
        <v>1</v>
      </c>
      <c r="AY4829">
        <f t="shared" si="150"/>
        <v>43</v>
      </c>
      <c r="AZ4829">
        <f t="shared" si="151"/>
        <v>3</v>
      </c>
    </row>
    <row r="4830" spans="1:52" ht="55.2">
      <c r="A4830" s="3" t="s">
        <v>4874</v>
      </c>
      <c r="D4830">
        <v>5</v>
      </c>
      <c r="AE4830">
        <v>1</v>
      </c>
      <c r="AY4830">
        <f t="shared" si="150"/>
        <v>43</v>
      </c>
      <c r="AZ4830">
        <f t="shared" si="151"/>
        <v>3</v>
      </c>
    </row>
    <row r="4831" spans="1:52" ht="55.2">
      <c r="A4831" s="3" t="s">
        <v>4875</v>
      </c>
      <c r="D4831">
        <v>5</v>
      </c>
      <c r="AE4831">
        <v>1</v>
      </c>
      <c r="AY4831">
        <f t="shared" si="150"/>
        <v>43</v>
      </c>
      <c r="AZ4831">
        <f t="shared" si="151"/>
        <v>3</v>
      </c>
    </row>
    <row r="4832" spans="1:52" ht="55.2">
      <c r="A4832" s="3" t="s">
        <v>4876</v>
      </c>
      <c r="D4832">
        <v>5</v>
      </c>
      <c r="AE4832">
        <v>1</v>
      </c>
      <c r="AY4832">
        <f t="shared" si="150"/>
        <v>43</v>
      </c>
      <c r="AZ4832">
        <f t="shared" si="151"/>
        <v>3</v>
      </c>
    </row>
    <row r="4833" spans="1:52" ht="55.2">
      <c r="A4833" s="3" t="s">
        <v>4877</v>
      </c>
      <c r="D4833">
        <v>5</v>
      </c>
      <c r="AE4833">
        <v>1</v>
      </c>
      <c r="AY4833">
        <f t="shared" ref="AY4833:AY4896" si="152">COUNTBLANK(F4833:AW4833)</f>
        <v>43</v>
      </c>
      <c r="AZ4833">
        <f t="shared" ref="AZ4833:AZ4896" si="153">COUNTBLANK(B4833:E4833)</f>
        <v>3</v>
      </c>
    </row>
    <row r="4834" spans="1:52" ht="55.2">
      <c r="A4834" s="3" t="s">
        <v>4878</v>
      </c>
      <c r="D4834">
        <v>5</v>
      </c>
      <c r="AE4834">
        <v>1</v>
      </c>
      <c r="AY4834">
        <f t="shared" si="152"/>
        <v>43</v>
      </c>
      <c r="AZ4834">
        <f t="shared" si="153"/>
        <v>3</v>
      </c>
    </row>
    <row r="4835" spans="1:52" ht="55.2">
      <c r="A4835" s="3" t="s">
        <v>4879</v>
      </c>
      <c r="D4835">
        <v>5</v>
      </c>
      <c r="AE4835">
        <v>1</v>
      </c>
      <c r="AY4835">
        <f t="shared" si="152"/>
        <v>43</v>
      </c>
      <c r="AZ4835">
        <f t="shared" si="153"/>
        <v>3</v>
      </c>
    </row>
    <row r="4836" spans="1:52" ht="55.2">
      <c r="A4836" s="3" t="s">
        <v>4880</v>
      </c>
      <c r="D4836">
        <v>5</v>
      </c>
      <c r="AE4836">
        <v>1</v>
      </c>
      <c r="AY4836">
        <f t="shared" si="152"/>
        <v>43</v>
      </c>
      <c r="AZ4836">
        <f t="shared" si="153"/>
        <v>3</v>
      </c>
    </row>
    <row r="4837" spans="1:52" ht="55.2">
      <c r="A4837" s="3" t="s">
        <v>4881</v>
      </c>
      <c r="D4837">
        <v>5</v>
      </c>
      <c r="AE4837">
        <v>1</v>
      </c>
      <c r="AY4837">
        <f t="shared" si="152"/>
        <v>43</v>
      </c>
      <c r="AZ4837">
        <f t="shared" si="153"/>
        <v>3</v>
      </c>
    </row>
    <row r="4838" spans="1:52" ht="55.2">
      <c r="A4838" s="3" t="s">
        <v>4882</v>
      </c>
      <c r="D4838">
        <v>5</v>
      </c>
      <c r="AE4838">
        <v>1</v>
      </c>
      <c r="AY4838">
        <f t="shared" si="152"/>
        <v>43</v>
      </c>
      <c r="AZ4838">
        <f t="shared" si="153"/>
        <v>3</v>
      </c>
    </row>
    <row r="4839" spans="1:52" ht="55.2">
      <c r="A4839" s="3" t="s">
        <v>4883</v>
      </c>
      <c r="D4839">
        <v>5</v>
      </c>
      <c r="AE4839">
        <v>1</v>
      </c>
      <c r="AY4839">
        <f t="shared" si="152"/>
        <v>43</v>
      </c>
      <c r="AZ4839">
        <f t="shared" si="153"/>
        <v>3</v>
      </c>
    </row>
    <row r="4840" spans="1:52" ht="55.2">
      <c r="A4840" s="3" t="s">
        <v>4884</v>
      </c>
      <c r="D4840">
        <v>5</v>
      </c>
      <c r="AE4840">
        <v>1</v>
      </c>
      <c r="AY4840">
        <f t="shared" si="152"/>
        <v>43</v>
      </c>
      <c r="AZ4840">
        <f t="shared" si="153"/>
        <v>3</v>
      </c>
    </row>
    <row r="4841" spans="1:52" ht="55.2">
      <c r="A4841" s="3" t="s">
        <v>4885</v>
      </c>
      <c r="D4841">
        <v>5</v>
      </c>
      <c r="AE4841">
        <v>1</v>
      </c>
      <c r="AY4841">
        <f t="shared" si="152"/>
        <v>43</v>
      </c>
      <c r="AZ4841">
        <f t="shared" si="153"/>
        <v>3</v>
      </c>
    </row>
    <row r="4842" spans="1:52" ht="55.2">
      <c r="A4842" s="3" t="s">
        <v>4886</v>
      </c>
      <c r="D4842">
        <v>5</v>
      </c>
      <c r="AE4842">
        <v>1</v>
      </c>
      <c r="AY4842">
        <f t="shared" si="152"/>
        <v>43</v>
      </c>
      <c r="AZ4842">
        <f t="shared" si="153"/>
        <v>3</v>
      </c>
    </row>
    <row r="4843" spans="1:52" ht="55.2">
      <c r="A4843" s="3" t="s">
        <v>4887</v>
      </c>
      <c r="D4843">
        <v>5</v>
      </c>
      <c r="AE4843">
        <v>1</v>
      </c>
      <c r="AY4843">
        <f t="shared" si="152"/>
        <v>43</v>
      </c>
      <c r="AZ4843">
        <f t="shared" si="153"/>
        <v>3</v>
      </c>
    </row>
    <row r="4844" spans="1:52" ht="55.2">
      <c r="A4844" s="3" t="s">
        <v>4888</v>
      </c>
      <c r="D4844">
        <v>5</v>
      </c>
      <c r="AE4844">
        <v>1</v>
      </c>
      <c r="AY4844">
        <f t="shared" si="152"/>
        <v>43</v>
      </c>
      <c r="AZ4844">
        <f t="shared" si="153"/>
        <v>3</v>
      </c>
    </row>
    <row r="4845" spans="1:52" ht="55.2">
      <c r="A4845" s="3" t="s">
        <v>4889</v>
      </c>
      <c r="D4845">
        <v>5</v>
      </c>
      <c r="AD4845">
        <v>2</v>
      </c>
      <c r="AY4845">
        <f t="shared" si="152"/>
        <v>43</v>
      </c>
      <c r="AZ4845">
        <f t="shared" si="153"/>
        <v>3</v>
      </c>
    </row>
    <row r="4846" spans="1:52" ht="55.2">
      <c r="A4846" s="3" t="s">
        <v>4890</v>
      </c>
      <c r="D4846">
        <v>5</v>
      </c>
      <c r="AD4846">
        <v>2</v>
      </c>
      <c r="AY4846">
        <f t="shared" si="152"/>
        <v>43</v>
      </c>
      <c r="AZ4846">
        <f t="shared" si="153"/>
        <v>3</v>
      </c>
    </row>
    <row r="4847" spans="1:52" ht="55.2">
      <c r="A4847" s="3" t="s">
        <v>4891</v>
      </c>
      <c r="D4847">
        <v>5</v>
      </c>
      <c r="AD4847">
        <v>2</v>
      </c>
      <c r="AY4847">
        <f t="shared" si="152"/>
        <v>43</v>
      </c>
      <c r="AZ4847">
        <f t="shared" si="153"/>
        <v>3</v>
      </c>
    </row>
    <row r="4848" spans="1:52" ht="55.2">
      <c r="A4848" s="3" t="s">
        <v>4892</v>
      </c>
      <c r="D4848">
        <v>5</v>
      </c>
      <c r="AD4848">
        <v>2</v>
      </c>
      <c r="AY4848">
        <f t="shared" si="152"/>
        <v>43</v>
      </c>
      <c r="AZ4848">
        <f t="shared" si="153"/>
        <v>3</v>
      </c>
    </row>
    <row r="4849" spans="1:52" ht="55.2">
      <c r="A4849" s="3" t="s">
        <v>4893</v>
      </c>
      <c r="D4849">
        <v>5</v>
      </c>
      <c r="AD4849">
        <v>2</v>
      </c>
      <c r="AY4849">
        <f t="shared" si="152"/>
        <v>43</v>
      </c>
      <c r="AZ4849">
        <f t="shared" si="153"/>
        <v>3</v>
      </c>
    </row>
    <row r="4850" spans="1:52" ht="55.2">
      <c r="A4850" s="3" t="s">
        <v>4894</v>
      </c>
      <c r="D4850">
        <v>5</v>
      </c>
      <c r="AD4850">
        <v>2</v>
      </c>
      <c r="AY4850">
        <f t="shared" si="152"/>
        <v>43</v>
      </c>
      <c r="AZ4850">
        <f t="shared" si="153"/>
        <v>3</v>
      </c>
    </row>
    <row r="4851" spans="1:52" ht="55.2">
      <c r="A4851" s="3" t="s">
        <v>4895</v>
      </c>
      <c r="D4851">
        <v>5</v>
      </c>
      <c r="AD4851">
        <v>2</v>
      </c>
      <c r="AY4851">
        <f t="shared" si="152"/>
        <v>43</v>
      </c>
      <c r="AZ4851">
        <f t="shared" si="153"/>
        <v>3</v>
      </c>
    </row>
    <row r="4852" spans="1:52" ht="55.2">
      <c r="A4852" s="3" t="s">
        <v>4896</v>
      </c>
      <c r="D4852">
        <v>5</v>
      </c>
      <c r="AD4852">
        <v>2</v>
      </c>
      <c r="AY4852">
        <f t="shared" si="152"/>
        <v>43</v>
      </c>
      <c r="AZ4852">
        <f t="shared" si="153"/>
        <v>3</v>
      </c>
    </row>
    <row r="4853" spans="1:52" ht="55.2">
      <c r="A4853" s="3" t="s">
        <v>4897</v>
      </c>
      <c r="D4853">
        <v>5</v>
      </c>
      <c r="AD4853">
        <v>2</v>
      </c>
      <c r="AY4853">
        <f t="shared" si="152"/>
        <v>43</v>
      </c>
      <c r="AZ4853">
        <f t="shared" si="153"/>
        <v>3</v>
      </c>
    </row>
    <row r="4854" spans="1:52" ht="55.2">
      <c r="A4854" s="3" t="s">
        <v>4898</v>
      </c>
      <c r="D4854">
        <v>5</v>
      </c>
      <c r="AD4854">
        <v>2</v>
      </c>
      <c r="AY4854">
        <f t="shared" si="152"/>
        <v>43</v>
      </c>
      <c r="AZ4854">
        <f t="shared" si="153"/>
        <v>3</v>
      </c>
    </row>
    <row r="4855" spans="1:52" ht="55.2">
      <c r="A4855" s="3" t="s">
        <v>4899</v>
      </c>
      <c r="D4855">
        <v>5</v>
      </c>
      <c r="AD4855">
        <v>2</v>
      </c>
      <c r="AY4855">
        <f t="shared" si="152"/>
        <v>43</v>
      </c>
      <c r="AZ4855">
        <f t="shared" si="153"/>
        <v>3</v>
      </c>
    </row>
    <row r="4856" spans="1:52" ht="55.2">
      <c r="A4856" s="3" t="s">
        <v>4900</v>
      </c>
      <c r="D4856">
        <v>5</v>
      </c>
      <c r="AD4856">
        <v>2</v>
      </c>
      <c r="AY4856">
        <f t="shared" si="152"/>
        <v>43</v>
      </c>
      <c r="AZ4856">
        <f t="shared" si="153"/>
        <v>3</v>
      </c>
    </row>
    <row r="4857" spans="1:52" ht="55.2">
      <c r="A4857" s="3" t="s">
        <v>4901</v>
      </c>
      <c r="D4857">
        <v>5</v>
      </c>
      <c r="AD4857">
        <v>2</v>
      </c>
      <c r="AY4857">
        <f t="shared" si="152"/>
        <v>43</v>
      </c>
      <c r="AZ4857">
        <f t="shared" si="153"/>
        <v>3</v>
      </c>
    </row>
    <row r="4858" spans="1:52" ht="55.2">
      <c r="A4858" s="3" t="s">
        <v>4902</v>
      </c>
      <c r="D4858">
        <v>5</v>
      </c>
      <c r="AD4858">
        <v>2</v>
      </c>
      <c r="AY4858">
        <f t="shared" si="152"/>
        <v>43</v>
      </c>
      <c r="AZ4858">
        <f t="shared" si="153"/>
        <v>3</v>
      </c>
    </row>
    <row r="4859" spans="1:52" ht="55.2">
      <c r="A4859" s="3" t="s">
        <v>4903</v>
      </c>
      <c r="D4859">
        <v>5</v>
      </c>
      <c r="AD4859">
        <v>2</v>
      </c>
      <c r="AY4859">
        <f t="shared" si="152"/>
        <v>43</v>
      </c>
      <c r="AZ4859">
        <f t="shared" si="153"/>
        <v>3</v>
      </c>
    </row>
    <row r="4860" spans="1:52" ht="55.2">
      <c r="A4860" s="3" t="s">
        <v>4904</v>
      </c>
      <c r="D4860">
        <v>5</v>
      </c>
      <c r="AD4860">
        <v>2</v>
      </c>
      <c r="AY4860">
        <f t="shared" si="152"/>
        <v>43</v>
      </c>
      <c r="AZ4860">
        <f t="shared" si="153"/>
        <v>3</v>
      </c>
    </row>
    <row r="4861" spans="1:52" ht="55.2">
      <c r="A4861" s="3" t="s">
        <v>4905</v>
      </c>
      <c r="D4861">
        <v>5</v>
      </c>
      <c r="AD4861">
        <v>2</v>
      </c>
      <c r="AY4861">
        <f t="shared" si="152"/>
        <v>43</v>
      </c>
      <c r="AZ4861">
        <f t="shared" si="153"/>
        <v>3</v>
      </c>
    </row>
    <row r="4862" spans="1:52" ht="55.2">
      <c r="A4862" s="3" t="s">
        <v>4906</v>
      </c>
      <c r="D4862">
        <v>5</v>
      </c>
      <c r="AD4862">
        <v>2</v>
      </c>
      <c r="AY4862">
        <f t="shared" si="152"/>
        <v>43</v>
      </c>
      <c r="AZ4862">
        <f t="shared" si="153"/>
        <v>3</v>
      </c>
    </row>
    <row r="4863" spans="1:52" ht="55.2">
      <c r="A4863" s="3" t="s">
        <v>4907</v>
      </c>
      <c r="D4863">
        <v>5</v>
      </c>
      <c r="AD4863">
        <v>2</v>
      </c>
      <c r="AY4863">
        <f t="shared" si="152"/>
        <v>43</v>
      </c>
      <c r="AZ4863">
        <f t="shared" si="153"/>
        <v>3</v>
      </c>
    </row>
    <row r="4864" spans="1:52" ht="55.2">
      <c r="A4864" s="3" t="s">
        <v>4908</v>
      </c>
      <c r="D4864">
        <v>5</v>
      </c>
      <c r="AD4864">
        <v>2</v>
      </c>
      <c r="AY4864">
        <f t="shared" si="152"/>
        <v>43</v>
      </c>
      <c r="AZ4864">
        <f t="shared" si="153"/>
        <v>3</v>
      </c>
    </row>
    <row r="4865" spans="1:52" ht="55.2">
      <c r="A4865" s="3" t="s">
        <v>4909</v>
      </c>
      <c r="D4865">
        <v>5</v>
      </c>
      <c r="AD4865">
        <v>2</v>
      </c>
      <c r="AY4865">
        <f t="shared" si="152"/>
        <v>43</v>
      </c>
      <c r="AZ4865">
        <f t="shared" si="153"/>
        <v>3</v>
      </c>
    </row>
    <row r="4866" spans="1:52" ht="55.2">
      <c r="A4866" s="3" t="s">
        <v>4910</v>
      </c>
      <c r="D4866">
        <v>5</v>
      </c>
      <c r="AD4866">
        <v>2</v>
      </c>
      <c r="AY4866">
        <f t="shared" si="152"/>
        <v>43</v>
      </c>
      <c r="AZ4866">
        <f t="shared" si="153"/>
        <v>3</v>
      </c>
    </row>
    <row r="4867" spans="1:52" ht="55.2">
      <c r="A4867" s="3" t="s">
        <v>4911</v>
      </c>
      <c r="D4867">
        <v>5</v>
      </c>
      <c r="AD4867">
        <v>2</v>
      </c>
      <c r="AY4867">
        <f t="shared" si="152"/>
        <v>43</v>
      </c>
      <c r="AZ4867">
        <f t="shared" si="153"/>
        <v>3</v>
      </c>
    </row>
    <row r="4868" spans="1:52" ht="55.2">
      <c r="A4868" s="3" t="s">
        <v>4912</v>
      </c>
      <c r="D4868">
        <v>5</v>
      </c>
      <c r="AD4868">
        <v>2</v>
      </c>
      <c r="AY4868">
        <f t="shared" si="152"/>
        <v>43</v>
      </c>
      <c r="AZ4868">
        <f t="shared" si="153"/>
        <v>3</v>
      </c>
    </row>
    <row r="4869" spans="1:52" ht="55.2">
      <c r="A4869" s="3" t="s">
        <v>4913</v>
      </c>
      <c r="D4869">
        <v>5</v>
      </c>
      <c r="AD4869">
        <v>2</v>
      </c>
      <c r="AY4869">
        <f t="shared" si="152"/>
        <v>43</v>
      </c>
      <c r="AZ4869">
        <f t="shared" si="153"/>
        <v>3</v>
      </c>
    </row>
    <row r="4870" spans="1:52" ht="55.2">
      <c r="A4870" s="3" t="s">
        <v>4914</v>
      </c>
      <c r="D4870">
        <v>5</v>
      </c>
      <c r="AD4870">
        <v>2</v>
      </c>
      <c r="AY4870">
        <f t="shared" si="152"/>
        <v>43</v>
      </c>
      <c r="AZ4870">
        <f t="shared" si="153"/>
        <v>3</v>
      </c>
    </row>
    <row r="4871" spans="1:52" ht="55.2">
      <c r="A4871" s="3" t="s">
        <v>4915</v>
      </c>
      <c r="D4871">
        <v>5</v>
      </c>
      <c r="AD4871">
        <v>2</v>
      </c>
      <c r="AY4871">
        <f t="shared" si="152"/>
        <v>43</v>
      </c>
      <c r="AZ4871">
        <f t="shared" si="153"/>
        <v>3</v>
      </c>
    </row>
    <row r="4872" spans="1:52" ht="55.2">
      <c r="A4872" s="3" t="s">
        <v>4916</v>
      </c>
      <c r="D4872">
        <v>5</v>
      </c>
      <c r="AD4872">
        <v>2</v>
      </c>
      <c r="AY4872">
        <f t="shared" si="152"/>
        <v>43</v>
      </c>
      <c r="AZ4872">
        <f t="shared" si="153"/>
        <v>3</v>
      </c>
    </row>
    <row r="4873" spans="1:52" ht="55.2">
      <c r="A4873" s="3" t="s">
        <v>4917</v>
      </c>
      <c r="D4873">
        <v>5</v>
      </c>
      <c r="AD4873">
        <v>2</v>
      </c>
      <c r="AY4873">
        <f t="shared" si="152"/>
        <v>43</v>
      </c>
      <c r="AZ4873">
        <f t="shared" si="153"/>
        <v>3</v>
      </c>
    </row>
    <row r="4874" spans="1:52" ht="55.2">
      <c r="A4874" s="3" t="s">
        <v>4918</v>
      </c>
      <c r="D4874">
        <v>5</v>
      </c>
      <c r="AD4874">
        <v>2</v>
      </c>
      <c r="AY4874">
        <f t="shared" si="152"/>
        <v>43</v>
      </c>
      <c r="AZ4874">
        <f t="shared" si="153"/>
        <v>3</v>
      </c>
    </row>
    <row r="4875" spans="1:52" ht="55.2">
      <c r="A4875" s="3" t="s">
        <v>4919</v>
      </c>
      <c r="D4875">
        <v>5</v>
      </c>
      <c r="AD4875">
        <v>2</v>
      </c>
      <c r="AY4875">
        <f t="shared" si="152"/>
        <v>43</v>
      </c>
      <c r="AZ4875">
        <f t="shared" si="153"/>
        <v>3</v>
      </c>
    </row>
    <row r="4876" spans="1:52" ht="55.2">
      <c r="A4876" s="3" t="s">
        <v>4920</v>
      </c>
      <c r="D4876">
        <v>5</v>
      </c>
      <c r="AD4876">
        <v>2</v>
      </c>
      <c r="AY4876">
        <f t="shared" si="152"/>
        <v>43</v>
      </c>
      <c r="AZ4876">
        <f t="shared" si="153"/>
        <v>3</v>
      </c>
    </row>
    <row r="4877" spans="1:52" ht="55.2">
      <c r="A4877" s="3" t="s">
        <v>4921</v>
      </c>
      <c r="D4877">
        <v>5</v>
      </c>
      <c r="AD4877">
        <v>2</v>
      </c>
      <c r="AY4877">
        <f t="shared" si="152"/>
        <v>43</v>
      </c>
      <c r="AZ4877">
        <f t="shared" si="153"/>
        <v>3</v>
      </c>
    </row>
    <row r="4878" spans="1:52" ht="55.2">
      <c r="A4878" s="3" t="s">
        <v>4922</v>
      </c>
      <c r="D4878">
        <v>5</v>
      </c>
      <c r="AD4878">
        <v>2</v>
      </c>
      <c r="AY4878">
        <f t="shared" si="152"/>
        <v>43</v>
      </c>
      <c r="AZ4878">
        <f t="shared" si="153"/>
        <v>3</v>
      </c>
    </row>
    <row r="4879" spans="1:52" ht="55.2">
      <c r="A4879" s="3" t="s">
        <v>4923</v>
      </c>
      <c r="D4879">
        <v>5</v>
      </c>
      <c r="AD4879">
        <v>2</v>
      </c>
      <c r="AY4879">
        <f t="shared" si="152"/>
        <v>43</v>
      </c>
      <c r="AZ4879">
        <f t="shared" si="153"/>
        <v>3</v>
      </c>
    </row>
    <row r="4880" spans="1:52" ht="55.2">
      <c r="A4880" s="3" t="s">
        <v>4924</v>
      </c>
      <c r="D4880">
        <v>5</v>
      </c>
      <c r="AD4880">
        <v>2</v>
      </c>
      <c r="AY4880">
        <f t="shared" si="152"/>
        <v>43</v>
      </c>
      <c r="AZ4880">
        <f t="shared" si="153"/>
        <v>3</v>
      </c>
    </row>
    <row r="4881" spans="1:52" ht="55.2">
      <c r="A4881" s="3" t="s">
        <v>4925</v>
      </c>
      <c r="D4881">
        <v>5</v>
      </c>
      <c r="AD4881">
        <v>2</v>
      </c>
      <c r="AY4881">
        <f t="shared" si="152"/>
        <v>43</v>
      </c>
      <c r="AZ4881">
        <f t="shared" si="153"/>
        <v>3</v>
      </c>
    </row>
    <row r="4882" spans="1:52" ht="55.2">
      <c r="A4882" s="3" t="s">
        <v>4926</v>
      </c>
      <c r="D4882">
        <v>5</v>
      </c>
      <c r="AD4882">
        <v>2</v>
      </c>
      <c r="AY4882">
        <f t="shared" si="152"/>
        <v>43</v>
      </c>
      <c r="AZ4882">
        <f t="shared" si="153"/>
        <v>3</v>
      </c>
    </row>
    <row r="4883" spans="1:52" ht="55.2">
      <c r="A4883" s="3" t="s">
        <v>4927</v>
      </c>
      <c r="D4883">
        <v>5</v>
      </c>
      <c r="AD4883">
        <v>2</v>
      </c>
      <c r="AY4883">
        <f t="shared" si="152"/>
        <v>43</v>
      </c>
      <c r="AZ4883">
        <f t="shared" si="153"/>
        <v>3</v>
      </c>
    </row>
    <row r="4884" spans="1:52" ht="55.2">
      <c r="A4884" s="3" t="s">
        <v>4928</v>
      </c>
      <c r="D4884">
        <v>5</v>
      </c>
      <c r="AD4884">
        <v>2</v>
      </c>
      <c r="AY4884">
        <f t="shared" si="152"/>
        <v>43</v>
      </c>
      <c r="AZ4884">
        <f t="shared" si="153"/>
        <v>3</v>
      </c>
    </row>
    <row r="4885" spans="1:52" ht="55.2">
      <c r="A4885" s="3" t="s">
        <v>4929</v>
      </c>
      <c r="D4885">
        <v>5</v>
      </c>
      <c r="AD4885">
        <v>2</v>
      </c>
      <c r="AY4885">
        <f t="shared" si="152"/>
        <v>43</v>
      </c>
      <c r="AZ4885">
        <f t="shared" si="153"/>
        <v>3</v>
      </c>
    </row>
    <row r="4886" spans="1:52" ht="55.2">
      <c r="A4886" s="3" t="s">
        <v>4930</v>
      </c>
      <c r="D4886">
        <v>5</v>
      </c>
      <c r="AD4886">
        <v>2</v>
      </c>
      <c r="AY4886">
        <f t="shared" si="152"/>
        <v>43</v>
      </c>
      <c r="AZ4886">
        <f t="shared" si="153"/>
        <v>3</v>
      </c>
    </row>
    <row r="4887" spans="1:52" ht="55.2">
      <c r="A4887" s="3" t="s">
        <v>4931</v>
      </c>
      <c r="D4887">
        <v>5</v>
      </c>
      <c r="AD4887">
        <v>2</v>
      </c>
      <c r="AY4887">
        <f t="shared" si="152"/>
        <v>43</v>
      </c>
      <c r="AZ4887">
        <f t="shared" si="153"/>
        <v>3</v>
      </c>
    </row>
    <row r="4888" spans="1:52" ht="55.2">
      <c r="A4888" s="3" t="s">
        <v>4932</v>
      </c>
      <c r="D4888">
        <v>5</v>
      </c>
      <c r="AD4888">
        <v>2</v>
      </c>
      <c r="AY4888">
        <f t="shared" si="152"/>
        <v>43</v>
      </c>
      <c r="AZ4888">
        <f t="shared" si="153"/>
        <v>3</v>
      </c>
    </row>
    <row r="4889" spans="1:52" ht="55.2">
      <c r="A4889" s="3" t="s">
        <v>4933</v>
      </c>
      <c r="D4889">
        <v>5</v>
      </c>
      <c r="AD4889">
        <v>2</v>
      </c>
      <c r="AY4889">
        <f t="shared" si="152"/>
        <v>43</v>
      </c>
      <c r="AZ4889">
        <f t="shared" si="153"/>
        <v>3</v>
      </c>
    </row>
    <row r="4890" spans="1:52" ht="55.2">
      <c r="A4890" s="3" t="s">
        <v>4934</v>
      </c>
      <c r="D4890">
        <v>5</v>
      </c>
      <c r="AD4890">
        <v>2</v>
      </c>
      <c r="AY4890">
        <f t="shared" si="152"/>
        <v>43</v>
      </c>
      <c r="AZ4890">
        <f t="shared" si="153"/>
        <v>3</v>
      </c>
    </row>
    <row r="4891" spans="1:52" ht="55.2">
      <c r="A4891" s="3" t="s">
        <v>4935</v>
      </c>
      <c r="D4891">
        <v>5</v>
      </c>
      <c r="AD4891">
        <v>2</v>
      </c>
      <c r="AY4891">
        <f t="shared" si="152"/>
        <v>43</v>
      </c>
      <c r="AZ4891">
        <f t="shared" si="153"/>
        <v>3</v>
      </c>
    </row>
    <row r="4892" spans="1:52" ht="55.2">
      <c r="A4892" s="3" t="s">
        <v>4936</v>
      </c>
      <c r="D4892">
        <v>5</v>
      </c>
      <c r="AD4892">
        <v>2</v>
      </c>
      <c r="AY4892">
        <f t="shared" si="152"/>
        <v>43</v>
      </c>
      <c r="AZ4892">
        <f t="shared" si="153"/>
        <v>3</v>
      </c>
    </row>
    <row r="4893" spans="1:52" ht="55.2">
      <c r="A4893" s="3" t="s">
        <v>4937</v>
      </c>
      <c r="D4893">
        <v>5</v>
      </c>
      <c r="AD4893">
        <v>2</v>
      </c>
      <c r="AY4893">
        <f t="shared" si="152"/>
        <v>43</v>
      </c>
      <c r="AZ4893">
        <f t="shared" si="153"/>
        <v>3</v>
      </c>
    </row>
    <row r="4894" spans="1:52" ht="55.2">
      <c r="A4894" s="3" t="s">
        <v>4938</v>
      </c>
      <c r="D4894">
        <v>5</v>
      </c>
      <c r="AD4894">
        <v>2</v>
      </c>
      <c r="AY4894">
        <f t="shared" si="152"/>
        <v>43</v>
      </c>
      <c r="AZ4894">
        <f t="shared" si="153"/>
        <v>3</v>
      </c>
    </row>
    <row r="4895" spans="1:52" ht="55.2">
      <c r="A4895" s="3" t="s">
        <v>4939</v>
      </c>
      <c r="D4895">
        <v>5</v>
      </c>
      <c r="AD4895">
        <v>2</v>
      </c>
      <c r="AY4895">
        <f t="shared" si="152"/>
        <v>43</v>
      </c>
      <c r="AZ4895">
        <f t="shared" si="153"/>
        <v>3</v>
      </c>
    </row>
    <row r="4896" spans="1:52" ht="55.2">
      <c r="A4896" s="3" t="s">
        <v>4940</v>
      </c>
      <c r="D4896">
        <v>5</v>
      </c>
      <c r="AD4896">
        <v>2</v>
      </c>
      <c r="AY4896">
        <f t="shared" si="152"/>
        <v>43</v>
      </c>
      <c r="AZ4896">
        <f t="shared" si="153"/>
        <v>3</v>
      </c>
    </row>
    <row r="4897" spans="1:52" ht="55.2">
      <c r="A4897" s="3" t="s">
        <v>4941</v>
      </c>
      <c r="D4897">
        <v>5</v>
      </c>
      <c r="AD4897">
        <v>2</v>
      </c>
      <c r="AY4897">
        <f t="shared" ref="AY4897:AY4960" si="154">COUNTBLANK(F4897:AW4897)</f>
        <v>43</v>
      </c>
      <c r="AZ4897">
        <f t="shared" ref="AZ4897:AZ4960" si="155">COUNTBLANK(B4897:E4897)</f>
        <v>3</v>
      </c>
    </row>
    <row r="4898" spans="1:52" ht="55.2">
      <c r="A4898" s="3" t="s">
        <v>4942</v>
      </c>
      <c r="D4898">
        <v>5</v>
      </c>
      <c r="AD4898">
        <v>2</v>
      </c>
      <c r="AY4898">
        <f t="shared" si="154"/>
        <v>43</v>
      </c>
      <c r="AZ4898">
        <f t="shared" si="155"/>
        <v>3</v>
      </c>
    </row>
    <row r="4899" spans="1:52" ht="55.2">
      <c r="A4899" s="3" t="s">
        <v>4943</v>
      </c>
      <c r="D4899">
        <v>5</v>
      </c>
      <c r="AD4899">
        <v>2</v>
      </c>
      <c r="AY4899">
        <f t="shared" si="154"/>
        <v>43</v>
      </c>
      <c r="AZ4899">
        <f t="shared" si="155"/>
        <v>3</v>
      </c>
    </row>
    <row r="4900" spans="1:52" ht="55.2">
      <c r="A4900" s="3" t="s">
        <v>4944</v>
      </c>
      <c r="D4900">
        <v>5</v>
      </c>
      <c r="AD4900">
        <v>2</v>
      </c>
      <c r="AY4900">
        <f t="shared" si="154"/>
        <v>43</v>
      </c>
      <c r="AZ4900">
        <f t="shared" si="155"/>
        <v>3</v>
      </c>
    </row>
    <row r="4901" spans="1:52" ht="55.2">
      <c r="A4901" s="3" t="s">
        <v>4945</v>
      </c>
      <c r="D4901">
        <v>5</v>
      </c>
      <c r="AD4901">
        <v>2</v>
      </c>
      <c r="AY4901">
        <f t="shared" si="154"/>
        <v>43</v>
      </c>
      <c r="AZ4901">
        <f t="shared" si="155"/>
        <v>3</v>
      </c>
    </row>
    <row r="4902" spans="1:52" ht="55.2">
      <c r="A4902" s="3" t="s">
        <v>4946</v>
      </c>
      <c r="D4902">
        <v>5</v>
      </c>
      <c r="AD4902">
        <v>2</v>
      </c>
      <c r="AY4902">
        <f t="shared" si="154"/>
        <v>43</v>
      </c>
      <c r="AZ4902">
        <f t="shared" si="155"/>
        <v>3</v>
      </c>
    </row>
    <row r="4903" spans="1:52" ht="55.2">
      <c r="A4903" s="3" t="s">
        <v>4947</v>
      </c>
      <c r="D4903">
        <v>5</v>
      </c>
      <c r="AD4903">
        <v>2</v>
      </c>
      <c r="AY4903">
        <f t="shared" si="154"/>
        <v>43</v>
      </c>
      <c r="AZ4903">
        <f t="shared" si="155"/>
        <v>3</v>
      </c>
    </row>
    <row r="4904" spans="1:52" ht="55.2">
      <c r="A4904" s="3" t="s">
        <v>4948</v>
      </c>
      <c r="D4904">
        <v>5</v>
      </c>
      <c r="AD4904">
        <v>2</v>
      </c>
      <c r="AY4904">
        <f t="shared" si="154"/>
        <v>43</v>
      </c>
      <c r="AZ4904">
        <f t="shared" si="155"/>
        <v>3</v>
      </c>
    </row>
    <row r="4905" spans="1:52" ht="55.2">
      <c r="A4905" s="3" t="s">
        <v>4949</v>
      </c>
      <c r="D4905">
        <v>5</v>
      </c>
      <c r="AD4905">
        <v>2</v>
      </c>
      <c r="AY4905">
        <f t="shared" si="154"/>
        <v>43</v>
      </c>
      <c r="AZ4905">
        <f t="shared" si="155"/>
        <v>3</v>
      </c>
    </row>
    <row r="4906" spans="1:52" ht="55.2">
      <c r="A4906" s="3" t="s">
        <v>4950</v>
      </c>
      <c r="D4906">
        <v>5</v>
      </c>
      <c r="AD4906">
        <v>2</v>
      </c>
      <c r="AY4906">
        <f t="shared" si="154"/>
        <v>43</v>
      </c>
      <c r="AZ4906">
        <f t="shared" si="155"/>
        <v>3</v>
      </c>
    </row>
    <row r="4907" spans="1:52" ht="55.2">
      <c r="A4907" s="3" t="s">
        <v>4951</v>
      </c>
      <c r="D4907">
        <v>5</v>
      </c>
      <c r="AD4907">
        <v>2</v>
      </c>
      <c r="AY4907">
        <f t="shared" si="154"/>
        <v>43</v>
      </c>
      <c r="AZ4907">
        <f t="shared" si="155"/>
        <v>3</v>
      </c>
    </row>
    <row r="4908" spans="1:52" ht="55.2">
      <c r="A4908" s="3" t="s">
        <v>4952</v>
      </c>
      <c r="D4908">
        <v>5</v>
      </c>
      <c r="AD4908">
        <v>2</v>
      </c>
      <c r="AY4908">
        <f t="shared" si="154"/>
        <v>43</v>
      </c>
      <c r="AZ4908">
        <f t="shared" si="155"/>
        <v>3</v>
      </c>
    </row>
    <row r="4909" spans="1:52" ht="55.2">
      <c r="A4909" s="3" t="s">
        <v>4953</v>
      </c>
      <c r="D4909">
        <v>5</v>
      </c>
      <c r="AD4909">
        <v>2</v>
      </c>
      <c r="AY4909">
        <f t="shared" si="154"/>
        <v>43</v>
      </c>
      <c r="AZ4909">
        <f t="shared" si="155"/>
        <v>3</v>
      </c>
    </row>
    <row r="4910" spans="1:52" ht="55.2">
      <c r="A4910" s="3" t="s">
        <v>4954</v>
      </c>
      <c r="D4910">
        <v>5</v>
      </c>
      <c r="AD4910">
        <v>2</v>
      </c>
      <c r="AY4910">
        <f t="shared" si="154"/>
        <v>43</v>
      </c>
      <c r="AZ4910">
        <f t="shared" si="155"/>
        <v>3</v>
      </c>
    </row>
    <row r="4911" spans="1:52" ht="55.2">
      <c r="A4911" s="3" t="s">
        <v>4955</v>
      </c>
      <c r="D4911">
        <v>5</v>
      </c>
      <c r="AD4911">
        <v>2</v>
      </c>
      <c r="AY4911">
        <f t="shared" si="154"/>
        <v>43</v>
      </c>
      <c r="AZ4911">
        <f t="shared" si="155"/>
        <v>3</v>
      </c>
    </row>
    <row r="4912" spans="1:52" ht="55.2">
      <c r="A4912" s="3" t="s">
        <v>4956</v>
      </c>
      <c r="D4912">
        <v>5</v>
      </c>
      <c r="AD4912">
        <v>2</v>
      </c>
      <c r="AY4912">
        <f t="shared" si="154"/>
        <v>43</v>
      </c>
      <c r="AZ4912">
        <f t="shared" si="155"/>
        <v>3</v>
      </c>
    </row>
    <row r="4913" spans="1:52" ht="55.2">
      <c r="A4913" s="3" t="s">
        <v>4957</v>
      </c>
      <c r="D4913">
        <v>5</v>
      </c>
      <c r="AD4913">
        <v>2</v>
      </c>
      <c r="AY4913">
        <f t="shared" si="154"/>
        <v>43</v>
      </c>
      <c r="AZ4913">
        <f t="shared" si="155"/>
        <v>3</v>
      </c>
    </row>
    <row r="4914" spans="1:52" ht="55.2">
      <c r="A4914" s="3" t="s">
        <v>4958</v>
      </c>
      <c r="D4914">
        <v>5</v>
      </c>
      <c r="AD4914">
        <v>2</v>
      </c>
      <c r="AY4914">
        <f t="shared" si="154"/>
        <v>43</v>
      </c>
      <c r="AZ4914">
        <f t="shared" si="155"/>
        <v>3</v>
      </c>
    </row>
    <row r="4915" spans="1:52" ht="55.2">
      <c r="A4915" s="3" t="s">
        <v>4959</v>
      </c>
      <c r="D4915">
        <v>5</v>
      </c>
      <c r="AD4915">
        <v>2</v>
      </c>
      <c r="AY4915">
        <f t="shared" si="154"/>
        <v>43</v>
      </c>
      <c r="AZ4915">
        <f t="shared" si="155"/>
        <v>3</v>
      </c>
    </row>
    <row r="4916" spans="1:52" ht="55.2">
      <c r="A4916" s="3" t="s">
        <v>4960</v>
      </c>
      <c r="D4916">
        <v>5</v>
      </c>
      <c r="AD4916">
        <v>2</v>
      </c>
      <c r="AY4916">
        <f t="shared" si="154"/>
        <v>43</v>
      </c>
      <c r="AZ4916">
        <f t="shared" si="155"/>
        <v>3</v>
      </c>
    </row>
    <row r="4917" spans="1:52" ht="55.2">
      <c r="A4917" s="3" t="s">
        <v>4961</v>
      </c>
      <c r="D4917">
        <v>5</v>
      </c>
      <c r="AD4917">
        <v>2</v>
      </c>
      <c r="AY4917">
        <f t="shared" si="154"/>
        <v>43</v>
      </c>
      <c r="AZ4917">
        <f t="shared" si="155"/>
        <v>3</v>
      </c>
    </row>
    <row r="4918" spans="1:52" ht="55.2">
      <c r="A4918" s="3" t="s">
        <v>4962</v>
      </c>
      <c r="D4918">
        <v>5</v>
      </c>
      <c r="AD4918">
        <v>2</v>
      </c>
      <c r="AY4918">
        <f t="shared" si="154"/>
        <v>43</v>
      </c>
      <c r="AZ4918">
        <f t="shared" si="155"/>
        <v>3</v>
      </c>
    </row>
    <row r="4919" spans="1:52" ht="55.2">
      <c r="A4919" s="3" t="s">
        <v>4963</v>
      </c>
      <c r="D4919">
        <v>5</v>
      </c>
      <c r="AD4919">
        <v>2</v>
      </c>
      <c r="AY4919">
        <f t="shared" si="154"/>
        <v>43</v>
      </c>
      <c r="AZ4919">
        <f t="shared" si="155"/>
        <v>3</v>
      </c>
    </row>
    <row r="4920" spans="1:52" ht="55.2">
      <c r="A4920" s="3" t="s">
        <v>4964</v>
      </c>
      <c r="D4920">
        <v>5</v>
      </c>
      <c r="AD4920">
        <v>2</v>
      </c>
      <c r="AY4920">
        <f t="shared" si="154"/>
        <v>43</v>
      </c>
      <c r="AZ4920">
        <f t="shared" si="155"/>
        <v>3</v>
      </c>
    </row>
    <row r="4921" spans="1:52" ht="55.2">
      <c r="A4921" s="3" t="s">
        <v>4965</v>
      </c>
      <c r="D4921">
        <v>5</v>
      </c>
      <c r="AD4921">
        <v>2</v>
      </c>
      <c r="AY4921">
        <f t="shared" si="154"/>
        <v>43</v>
      </c>
      <c r="AZ4921">
        <f t="shared" si="155"/>
        <v>3</v>
      </c>
    </row>
    <row r="4922" spans="1:52" ht="55.2">
      <c r="A4922" s="3" t="s">
        <v>4966</v>
      </c>
      <c r="D4922">
        <v>5</v>
      </c>
      <c r="AD4922">
        <v>2</v>
      </c>
      <c r="AY4922">
        <f t="shared" si="154"/>
        <v>43</v>
      </c>
      <c r="AZ4922">
        <f t="shared" si="155"/>
        <v>3</v>
      </c>
    </row>
    <row r="4923" spans="1:52" ht="55.2">
      <c r="A4923" s="3" t="s">
        <v>4967</v>
      </c>
      <c r="D4923">
        <v>5</v>
      </c>
      <c r="AD4923">
        <v>2</v>
      </c>
      <c r="AY4923">
        <f t="shared" si="154"/>
        <v>43</v>
      </c>
      <c r="AZ4923">
        <f t="shared" si="155"/>
        <v>3</v>
      </c>
    </row>
    <row r="4924" spans="1:52" ht="55.2">
      <c r="A4924" s="3" t="s">
        <v>4968</v>
      </c>
      <c r="D4924">
        <v>5</v>
      </c>
      <c r="AD4924">
        <v>2</v>
      </c>
      <c r="AY4924">
        <f t="shared" si="154"/>
        <v>43</v>
      </c>
      <c r="AZ4924">
        <f t="shared" si="155"/>
        <v>3</v>
      </c>
    </row>
    <row r="4925" spans="1:52" ht="55.2">
      <c r="A4925" s="3" t="s">
        <v>4969</v>
      </c>
      <c r="D4925">
        <v>5</v>
      </c>
      <c r="AD4925">
        <v>2</v>
      </c>
      <c r="AY4925">
        <f t="shared" si="154"/>
        <v>43</v>
      </c>
      <c r="AZ4925">
        <f t="shared" si="155"/>
        <v>3</v>
      </c>
    </row>
    <row r="4926" spans="1:52" ht="55.2">
      <c r="A4926" s="3" t="s">
        <v>4970</v>
      </c>
      <c r="D4926">
        <v>5</v>
      </c>
      <c r="AD4926">
        <v>2</v>
      </c>
      <c r="AY4926">
        <f t="shared" si="154"/>
        <v>43</v>
      </c>
      <c r="AZ4926">
        <f t="shared" si="155"/>
        <v>3</v>
      </c>
    </row>
    <row r="4927" spans="1:52" ht="55.2">
      <c r="A4927" s="3" t="s">
        <v>4971</v>
      </c>
      <c r="D4927">
        <v>5</v>
      </c>
      <c r="AD4927">
        <v>2</v>
      </c>
      <c r="AY4927">
        <f t="shared" si="154"/>
        <v>43</v>
      </c>
      <c r="AZ4927">
        <f t="shared" si="155"/>
        <v>3</v>
      </c>
    </row>
    <row r="4928" spans="1:52" ht="55.2">
      <c r="A4928" s="3" t="s">
        <v>4972</v>
      </c>
      <c r="D4928">
        <v>5</v>
      </c>
      <c r="AD4928">
        <v>2</v>
      </c>
      <c r="AY4928">
        <f t="shared" si="154"/>
        <v>43</v>
      </c>
      <c r="AZ4928">
        <f t="shared" si="155"/>
        <v>3</v>
      </c>
    </row>
    <row r="4929" spans="1:52" ht="55.2">
      <c r="A4929" s="3" t="s">
        <v>4973</v>
      </c>
      <c r="D4929">
        <v>5</v>
      </c>
      <c r="AD4929">
        <v>2</v>
      </c>
      <c r="AY4929">
        <f t="shared" si="154"/>
        <v>43</v>
      </c>
      <c r="AZ4929">
        <f t="shared" si="155"/>
        <v>3</v>
      </c>
    </row>
    <row r="4930" spans="1:52" ht="55.2">
      <c r="A4930" s="3" t="s">
        <v>4974</v>
      </c>
      <c r="D4930">
        <v>5</v>
      </c>
      <c r="AD4930">
        <v>2</v>
      </c>
      <c r="AY4930">
        <f t="shared" si="154"/>
        <v>43</v>
      </c>
      <c r="AZ4930">
        <f t="shared" si="155"/>
        <v>3</v>
      </c>
    </row>
    <row r="4931" spans="1:52" ht="55.2">
      <c r="A4931" s="3" t="s">
        <v>4975</v>
      </c>
      <c r="D4931">
        <v>5</v>
      </c>
      <c r="AD4931">
        <v>2</v>
      </c>
      <c r="AY4931">
        <f t="shared" si="154"/>
        <v>43</v>
      </c>
      <c r="AZ4931">
        <f t="shared" si="155"/>
        <v>3</v>
      </c>
    </row>
    <row r="4932" spans="1:52" ht="55.2">
      <c r="A4932" s="3" t="s">
        <v>4976</v>
      </c>
      <c r="D4932">
        <v>5</v>
      </c>
      <c r="AD4932">
        <v>2</v>
      </c>
      <c r="AY4932">
        <f t="shared" si="154"/>
        <v>43</v>
      </c>
      <c r="AZ4932">
        <f t="shared" si="155"/>
        <v>3</v>
      </c>
    </row>
    <row r="4933" spans="1:52" ht="55.2">
      <c r="A4933" s="3" t="s">
        <v>4977</v>
      </c>
      <c r="D4933">
        <v>5</v>
      </c>
      <c r="AD4933">
        <v>2</v>
      </c>
      <c r="AY4933">
        <f t="shared" si="154"/>
        <v>43</v>
      </c>
      <c r="AZ4933">
        <f t="shared" si="155"/>
        <v>3</v>
      </c>
    </row>
    <row r="4934" spans="1:52" ht="55.2">
      <c r="A4934" s="3" t="s">
        <v>4978</v>
      </c>
      <c r="D4934">
        <v>5</v>
      </c>
      <c r="AD4934">
        <v>2</v>
      </c>
      <c r="AY4934">
        <f t="shared" si="154"/>
        <v>43</v>
      </c>
      <c r="AZ4934">
        <f t="shared" si="155"/>
        <v>3</v>
      </c>
    </row>
    <row r="4935" spans="1:52" ht="55.2">
      <c r="A4935" s="3" t="s">
        <v>4979</v>
      </c>
      <c r="D4935">
        <v>5</v>
      </c>
      <c r="AD4935">
        <v>2</v>
      </c>
      <c r="AY4935">
        <f t="shared" si="154"/>
        <v>43</v>
      </c>
      <c r="AZ4935">
        <f t="shared" si="155"/>
        <v>3</v>
      </c>
    </row>
    <row r="4936" spans="1:52" ht="55.2">
      <c r="A4936" s="3" t="s">
        <v>4980</v>
      </c>
      <c r="D4936">
        <v>5</v>
      </c>
      <c r="AD4936">
        <v>2</v>
      </c>
      <c r="AY4936">
        <f t="shared" si="154"/>
        <v>43</v>
      </c>
      <c r="AZ4936">
        <f t="shared" si="155"/>
        <v>3</v>
      </c>
    </row>
    <row r="4937" spans="1:52" ht="55.2">
      <c r="A4937" s="3" t="s">
        <v>4981</v>
      </c>
      <c r="D4937">
        <v>5</v>
      </c>
      <c r="AD4937">
        <v>2</v>
      </c>
      <c r="AY4937">
        <f t="shared" si="154"/>
        <v>43</v>
      </c>
      <c r="AZ4937">
        <f t="shared" si="155"/>
        <v>3</v>
      </c>
    </row>
    <row r="4938" spans="1:52" ht="55.2">
      <c r="A4938" s="3" t="s">
        <v>4982</v>
      </c>
      <c r="D4938">
        <v>5</v>
      </c>
      <c r="AD4938">
        <v>2</v>
      </c>
      <c r="AY4938">
        <f t="shared" si="154"/>
        <v>43</v>
      </c>
      <c r="AZ4938">
        <f t="shared" si="155"/>
        <v>3</v>
      </c>
    </row>
    <row r="4939" spans="1:52" ht="55.2">
      <c r="A4939" s="3" t="s">
        <v>4983</v>
      </c>
      <c r="D4939">
        <v>5</v>
      </c>
      <c r="AD4939">
        <v>2</v>
      </c>
      <c r="AY4939">
        <f t="shared" si="154"/>
        <v>43</v>
      </c>
      <c r="AZ4939">
        <f t="shared" si="155"/>
        <v>3</v>
      </c>
    </row>
    <row r="4940" spans="1:52" ht="55.2">
      <c r="A4940" s="3" t="s">
        <v>4984</v>
      </c>
      <c r="D4940">
        <v>5</v>
      </c>
      <c r="AD4940">
        <v>2</v>
      </c>
      <c r="AY4940">
        <f t="shared" si="154"/>
        <v>43</v>
      </c>
      <c r="AZ4940">
        <f t="shared" si="155"/>
        <v>3</v>
      </c>
    </row>
    <row r="4941" spans="1:52" ht="55.2">
      <c r="A4941" s="3" t="s">
        <v>4985</v>
      </c>
      <c r="D4941">
        <v>5</v>
      </c>
      <c r="AD4941">
        <v>2</v>
      </c>
      <c r="AY4941">
        <f t="shared" si="154"/>
        <v>43</v>
      </c>
      <c r="AZ4941">
        <f t="shared" si="155"/>
        <v>3</v>
      </c>
    </row>
    <row r="4942" spans="1:52" ht="55.2">
      <c r="A4942" s="3" t="s">
        <v>4986</v>
      </c>
      <c r="D4942">
        <v>5</v>
      </c>
      <c r="AD4942">
        <v>2</v>
      </c>
      <c r="AY4942">
        <f t="shared" si="154"/>
        <v>43</v>
      </c>
      <c r="AZ4942">
        <f t="shared" si="155"/>
        <v>3</v>
      </c>
    </row>
    <row r="4943" spans="1:52" ht="55.2">
      <c r="A4943" s="3" t="s">
        <v>4987</v>
      </c>
      <c r="D4943">
        <v>5</v>
      </c>
      <c r="AD4943">
        <v>2</v>
      </c>
      <c r="AY4943">
        <f t="shared" si="154"/>
        <v>43</v>
      </c>
      <c r="AZ4943">
        <f t="shared" si="155"/>
        <v>3</v>
      </c>
    </row>
    <row r="4944" spans="1:52" ht="55.2">
      <c r="A4944" s="3" t="s">
        <v>4988</v>
      </c>
      <c r="D4944">
        <v>5</v>
      </c>
      <c r="AD4944">
        <v>2</v>
      </c>
      <c r="AY4944">
        <f t="shared" si="154"/>
        <v>43</v>
      </c>
      <c r="AZ4944">
        <f t="shared" si="155"/>
        <v>3</v>
      </c>
    </row>
    <row r="4945" spans="1:52" ht="55.2">
      <c r="A4945" s="3" t="s">
        <v>4989</v>
      </c>
      <c r="D4945">
        <v>5</v>
      </c>
      <c r="AD4945">
        <v>2</v>
      </c>
      <c r="AY4945">
        <f t="shared" si="154"/>
        <v>43</v>
      </c>
      <c r="AZ4945">
        <f t="shared" si="155"/>
        <v>3</v>
      </c>
    </row>
    <row r="4946" spans="1:52" ht="55.2">
      <c r="A4946" s="3" t="s">
        <v>4990</v>
      </c>
      <c r="D4946">
        <v>5</v>
      </c>
      <c r="AD4946">
        <v>2</v>
      </c>
      <c r="AY4946">
        <f t="shared" si="154"/>
        <v>43</v>
      </c>
      <c r="AZ4946">
        <f t="shared" si="155"/>
        <v>3</v>
      </c>
    </row>
    <row r="4947" spans="1:52" ht="55.2">
      <c r="A4947" s="3" t="s">
        <v>4991</v>
      </c>
      <c r="D4947">
        <v>5</v>
      </c>
      <c r="AD4947">
        <v>2</v>
      </c>
      <c r="AY4947">
        <f t="shared" si="154"/>
        <v>43</v>
      </c>
      <c r="AZ4947">
        <f t="shared" si="155"/>
        <v>3</v>
      </c>
    </row>
    <row r="4948" spans="1:52" ht="55.2">
      <c r="A4948" s="3" t="s">
        <v>4992</v>
      </c>
      <c r="D4948">
        <v>5</v>
      </c>
      <c r="AD4948">
        <v>2</v>
      </c>
      <c r="AY4948">
        <f t="shared" si="154"/>
        <v>43</v>
      </c>
      <c r="AZ4948">
        <f t="shared" si="155"/>
        <v>3</v>
      </c>
    </row>
    <row r="4949" spans="1:52" ht="55.2">
      <c r="A4949" s="3" t="s">
        <v>4993</v>
      </c>
      <c r="D4949">
        <v>5</v>
      </c>
      <c r="AD4949">
        <v>2</v>
      </c>
      <c r="AY4949">
        <f t="shared" si="154"/>
        <v>43</v>
      </c>
      <c r="AZ4949">
        <f t="shared" si="155"/>
        <v>3</v>
      </c>
    </row>
    <row r="4950" spans="1:52" ht="55.2">
      <c r="A4950" s="3" t="s">
        <v>4994</v>
      </c>
      <c r="D4950">
        <v>5</v>
      </c>
      <c r="AD4950">
        <v>2</v>
      </c>
      <c r="AY4950">
        <f t="shared" si="154"/>
        <v>43</v>
      </c>
      <c r="AZ4950">
        <f t="shared" si="155"/>
        <v>3</v>
      </c>
    </row>
    <row r="4951" spans="1:52" ht="55.2">
      <c r="A4951" s="3" t="s">
        <v>4995</v>
      </c>
      <c r="D4951">
        <v>5</v>
      </c>
      <c r="AD4951">
        <v>2</v>
      </c>
      <c r="AY4951">
        <f t="shared" si="154"/>
        <v>43</v>
      </c>
      <c r="AZ4951">
        <f t="shared" si="155"/>
        <v>3</v>
      </c>
    </row>
    <row r="4952" spans="1:52" ht="55.2">
      <c r="A4952" s="3" t="s">
        <v>4996</v>
      </c>
      <c r="D4952">
        <v>5</v>
      </c>
      <c r="AD4952">
        <v>2</v>
      </c>
      <c r="AY4952">
        <f t="shared" si="154"/>
        <v>43</v>
      </c>
      <c r="AZ4952">
        <f t="shared" si="155"/>
        <v>3</v>
      </c>
    </row>
    <row r="4953" spans="1:52" ht="55.2">
      <c r="A4953" s="3" t="s">
        <v>4997</v>
      </c>
      <c r="D4953">
        <v>5</v>
      </c>
      <c r="AD4953">
        <v>2</v>
      </c>
      <c r="AY4953">
        <f t="shared" si="154"/>
        <v>43</v>
      </c>
      <c r="AZ4953">
        <f t="shared" si="155"/>
        <v>3</v>
      </c>
    </row>
    <row r="4954" spans="1:52" ht="55.2">
      <c r="A4954" s="3" t="s">
        <v>4998</v>
      </c>
      <c r="D4954">
        <v>5</v>
      </c>
      <c r="AD4954">
        <v>2</v>
      </c>
      <c r="AY4954">
        <f t="shared" si="154"/>
        <v>43</v>
      </c>
      <c r="AZ4954">
        <f t="shared" si="155"/>
        <v>3</v>
      </c>
    </row>
    <row r="4955" spans="1:52" ht="55.2">
      <c r="A4955" s="3" t="s">
        <v>4999</v>
      </c>
      <c r="D4955">
        <v>5</v>
      </c>
      <c r="AD4955">
        <v>2</v>
      </c>
      <c r="AY4955">
        <f t="shared" si="154"/>
        <v>43</v>
      </c>
      <c r="AZ4955">
        <f t="shared" si="155"/>
        <v>3</v>
      </c>
    </row>
    <row r="4956" spans="1:52" ht="55.2">
      <c r="A4956" s="3" t="s">
        <v>5000</v>
      </c>
      <c r="D4956">
        <v>5</v>
      </c>
      <c r="AD4956">
        <v>2</v>
      </c>
      <c r="AY4956">
        <f t="shared" si="154"/>
        <v>43</v>
      </c>
      <c r="AZ4956">
        <f t="shared" si="155"/>
        <v>3</v>
      </c>
    </row>
    <row r="4957" spans="1:52" ht="55.2">
      <c r="A4957" s="3" t="s">
        <v>5001</v>
      </c>
      <c r="D4957">
        <v>5</v>
      </c>
      <c r="AD4957">
        <v>2</v>
      </c>
      <c r="AY4957">
        <f t="shared" si="154"/>
        <v>43</v>
      </c>
      <c r="AZ4957">
        <f t="shared" si="155"/>
        <v>3</v>
      </c>
    </row>
    <row r="4958" spans="1:52" ht="55.2">
      <c r="A4958" s="3" t="s">
        <v>5002</v>
      </c>
      <c r="D4958">
        <v>5</v>
      </c>
      <c r="AD4958">
        <v>2</v>
      </c>
      <c r="AY4958">
        <f t="shared" si="154"/>
        <v>43</v>
      </c>
      <c r="AZ4958">
        <f t="shared" si="155"/>
        <v>3</v>
      </c>
    </row>
    <row r="4959" spans="1:52" ht="55.2">
      <c r="A4959" s="3" t="s">
        <v>5003</v>
      </c>
      <c r="D4959">
        <v>5</v>
      </c>
      <c r="AD4959">
        <v>2</v>
      </c>
      <c r="AY4959">
        <f t="shared" si="154"/>
        <v>43</v>
      </c>
      <c r="AZ4959">
        <f t="shared" si="155"/>
        <v>3</v>
      </c>
    </row>
    <row r="4960" spans="1:52" ht="55.2">
      <c r="A4960" s="3" t="s">
        <v>5004</v>
      </c>
      <c r="D4960">
        <v>5</v>
      </c>
      <c r="AD4960">
        <v>2</v>
      </c>
      <c r="AY4960">
        <f t="shared" si="154"/>
        <v>43</v>
      </c>
      <c r="AZ4960">
        <f t="shared" si="155"/>
        <v>3</v>
      </c>
    </row>
    <row r="4961" spans="1:52" ht="55.2">
      <c r="A4961" s="3" t="s">
        <v>5005</v>
      </c>
      <c r="D4961">
        <v>5</v>
      </c>
      <c r="AD4961">
        <v>2</v>
      </c>
      <c r="AY4961">
        <f t="shared" ref="AY4961:AY5024" si="156">COUNTBLANK(F4961:AW4961)</f>
        <v>43</v>
      </c>
      <c r="AZ4961">
        <f t="shared" ref="AZ4961:AZ5024" si="157">COUNTBLANK(B4961:E4961)</f>
        <v>3</v>
      </c>
    </row>
    <row r="4962" spans="1:52" ht="55.2">
      <c r="A4962" s="3" t="s">
        <v>5006</v>
      </c>
      <c r="D4962">
        <v>5</v>
      </c>
      <c r="AD4962">
        <v>2</v>
      </c>
      <c r="AY4962">
        <f t="shared" si="156"/>
        <v>43</v>
      </c>
      <c r="AZ4962">
        <f t="shared" si="157"/>
        <v>3</v>
      </c>
    </row>
    <row r="4963" spans="1:52" ht="55.2">
      <c r="A4963" s="3" t="s">
        <v>5007</v>
      </c>
      <c r="D4963">
        <v>5</v>
      </c>
      <c r="AD4963">
        <v>2</v>
      </c>
      <c r="AY4963">
        <f t="shared" si="156"/>
        <v>43</v>
      </c>
      <c r="AZ4963">
        <f t="shared" si="157"/>
        <v>3</v>
      </c>
    </row>
    <row r="4964" spans="1:52" ht="55.2">
      <c r="A4964" s="3" t="s">
        <v>5008</v>
      </c>
      <c r="D4964">
        <v>5</v>
      </c>
      <c r="AD4964">
        <v>2</v>
      </c>
      <c r="AY4964">
        <f t="shared" si="156"/>
        <v>43</v>
      </c>
      <c r="AZ4964">
        <f t="shared" si="157"/>
        <v>3</v>
      </c>
    </row>
    <row r="4965" spans="1:52" ht="55.2">
      <c r="A4965" s="3" t="s">
        <v>5009</v>
      </c>
      <c r="D4965">
        <v>5</v>
      </c>
      <c r="AD4965">
        <v>2</v>
      </c>
      <c r="AY4965">
        <f t="shared" si="156"/>
        <v>43</v>
      </c>
      <c r="AZ4965">
        <f t="shared" si="157"/>
        <v>3</v>
      </c>
    </row>
    <row r="4966" spans="1:52" ht="55.2">
      <c r="A4966" s="3" t="s">
        <v>5010</v>
      </c>
      <c r="D4966">
        <v>5</v>
      </c>
      <c r="AD4966">
        <v>2</v>
      </c>
      <c r="AY4966">
        <f t="shared" si="156"/>
        <v>43</v>
      </c>
      <c r="AZ4966">
        <f t="shared" si="157"/>
        <v>3</v>
      </c>
    </row>
    <row r="4967" spans="1:52" ht="55.2">
      <c r="A4967" s="3" t="s">
        <v>5011</v>
      </c>
      <c r="D4967">
        <v>5</v>
      </c>
      <c r="AD4967">
        <v>2</v>
      </c>
      <c r="AY4967">
        <f t="shared" si="156"/>
        <v>43</v>
      </c>
      <c r="AZ4967">
        <f t="shared" si="157"/>
        <v>3</v>
      </c>
    </row>
    <row r="4968" spans="1:52" ht="55.2">
      <c r="A4968" s="3" t="s">
        <v>5012</v>
      </c>
      <c r="D4968">
        <v>5</v>
      </c>
      <c r="AD4968">
        <v>2</v>
      </c>
      <c r="AY4968">
        <f t="shared" si="156"/>
        <v>43</v>
      </c>
      <c r="AZ4968">
        <f t="shared" si="157"/>
        <v>3</v>
      </c>
    </row>
    <row r="4969" spans="1:52" ht="55.2">
      <c r="A4969" s="3" t="s">
        <v>5013</v>
      </c>
      <c r="D4969">
        <v>5</v>
      </c>
      <c r="AD4969">
        <v>2</v>
      </c>
      <c r="AY4969">
        <f t="shared" si="156"/>
        <v>43</v>
      </c>
      <c r="AZ4969">
        <f t="shared" si="157"/>
        <v>3</v>
      </c>
    </row>
    <row r="4970" spans="1:52" ht="55.2">
      <c r="A4970" s="3" t="s">
        <v>5014</v>
      </c>
      <c r="D4970">
        <v>5</v>
      </c>
      <c r="AD4970">
        <v>2</v>
      </c>
      <c r="AY4970">
        <f t="shared" si="156"/>
        <v>43</v>
      </c>
      <c r="AZ4970">
        <f t="shared" si="157"/>
        <v>3</v>
      </c>
    </row>
    <row r="4971" spans="1:52" ht="55.2">
      <c r="A4971" s="3" t="s">
        <v>5015</v>
      </c>
      <c r="D4971">
        <v>5</v>
      </c>
      <c r="AD4971">
        <v>2</v>
      </c>
      <c r="AY4971">
        <f t="shared" si="156"/>
        <v>43</v>
      </c>
      <c r="AZ4971">
        <f t="shared" si="157"/>
        <v>3</v>
      </c>
    </row>
    <row r="4972" spans="1:52" ht="55.2">
      <c r="A4972" s="3" t="s">
        <v>5016</v>
      </c>
      <c r="D4972">
        <v>5</v>
      </c>
      <c r="AD4972">
        <v>2</v>
      </c>
      <c r="AY4972">
        <f t="shared" si="156"/>
        <v>43</v>
      </c>
      <c r="AZ4972">
        <f t="shared" si="157"/>
        <v>3</v>
      </c>
    </row>
    <row r="4973" spans="1:52" ht="55.2">
      <c r="A4973" s="3" t="s">
        <v>5017</v>
      </c>
      <c r="D4973">
        <v>5</v>
      </c>
      <c r="AD4973">
        <v>2</v>
      </c>
      <c r="AY4973">
        <f t="shared" si="156"/>
        <v>43</v>
      </c>
      <c r="AZ4973">
        <f t="shared" si="157"/>
        <v>3</v>
      </c>
    </row>
    <row r="4974" spans="1:52" ht="55.2">
      <c r="A4974" s="3" t="s">
        <v>5018</v>
      </c>
      <c r="D4974">
        <v>5</v>
      </c>
      <c r="AD4974">
        <v>2</v>
      </c>
      <c r="AY4974">
        <f t="shared" si="156"/>
        <v>43</v>
      </c>
      <c r="AZ4974">
        <f t="shared" si="157"/>
        <v>3</v>
      </c>
    </row>
    <row r="4975" spans="1:52" ht="55.2">
      <c r="A4975" s="3" t="s">
        <v>5019</v>
      </c>
      <c r="D4975">
        <v>5</v>
      </c>
      <c r="AD4975">
        <v>2</v>
      </c>
      <c r="AY4975">
        <f t="shared" si="156"/>
        <v>43</v>
      </c>
      <c r="AZ4975">
        <f t="shared" si="157"/>
        <v>3</v>
      </c>
    </row>
    <row r="4976" spans="1:52" ht="55.2">
      <c r="A4976" s="3" t="s">
        <v>5020</v>
      </c>
      <c r="D4976">
        <v>5</v>
      </c>
      <c r="AD4976">
        <v>2</v>
      </c>
      <c r="AY4976">
        <f t="shared" si="156"/>
        <v>43</v>
      </c>
      <c r="AZ4976">
        <f t="shared" si="157"/>
        <v>3</v>
      </c>
    </row>
    <row r="4977" spans="1:52" ht="55.2">
      <c r="A4977" s="3" t="s">
        <v>5021</v>
      </c>
      <c r="D4977">
        <v>5</v>
      </c>
      <c r="AD4977">
        <v>2</v>
      </c>
      <c r="AY4977">
        <f t="shared" si="156"/>
        <v>43</v>
      </c>
      <c r="AZ4977">
        <f t="shared" si="157"/>
        <v>3</v>
      </c>
    </row>
    <row r="4978" spans="1:52" ht="55.2">
      <c r="A4978" s="3" t="s">
        <v>5022</v>
      </c>
      <c r="D4978">
        <v>5</v>
      </c>
      <c r="AD4978">
        <v>2</v>
      </c>
      <c r="AY4978">
        <f t="shared" si="156"/>
        <v>43</v>
      </c>
      <c r="AZ4978">
        <f t="shared" si="157"/>
        <v>3</v>
      </c>
    </row>
    <row r="4979" spans="1:52" ht="55.2">
      <c r="A4979" s="3" t="s">
        <v>5023</v>
      </c>
      <c r="D4979">
        <v>5</v>
      </c>
      <c r="AD4979">
        <v>2</v>
      </c>
      <c r="AY4979">
        <f t="shared" si="156"/>
        <v>43</v>
      </c>
      <c r="AZ4979">
        <f t="shared" si="157"/>
        <v>3</v>
      </c>
    </row>
    <row r="4980" spans="1:52" ht="55.2">
      <c r="A4980" s="3" t="s">
        <v>5024</v>
      </c>
      <c r="D4980">
        <v>5</v>
      </c>
      <c r="AD4980">
        <v>2</v>
      </c>
      <c r="AY4980">
        <f t="shared" si="156"/>
        <v>43</v>
      </c>
      <c r="AZ4980">
        <f t="shared" si="157"/>
        <v>3</v>
      </c>
    </row>
    <row r="4981" spans="1:52" ht="55.2">
      <c r="A4981" s="3" t="s">
        <v>5025</v>
      </c>
      <c r="D4981">
        <v>5</v>
      </c>
      <c r="AD4981">
        <v>2</v>
      </c>
      <c r="AY4981">
        <f t="shared" si="156"/>
        <v>43</v>
      </c>
      <c r="AZ4981">
        <f t="shared" si="157"/>
        <v>3</v>
      </c>
    </row>
    <row r="4982" spans="1:52" ht="55.2">
      <c r="A4982" s="3" t="s">
        <v>5026</v>
      </c>
      <c r="D4982">
        <v>5</v>
      </c>
      <c r="AD4982">
        <v>2</v>
      </c>
      <c r="AY4982">
        <f t="shared" si="156"/>
        <v>43</v>
      </c>
      <c r="AZ4982">
        <f t="shared" si="157"/>
        <v>3</v>
      </c>
    </row>
    <row r="4983" spans="1:52" ht="55.2">
      <c r="A4983" s="3" t="s">
        <v>5027</v>
      </c>
      <c r="D4983">
        <v>5</v>
      </c>
      <c r="AD4983">
        <v>2</v>
      </c>
      <c r="AY4983">
        <f t="shared" si="156"/>
        <v>43</v>
      </c>
      <c r="AZ4983">
        <f t="shared" si="157"/>
        <v>3</v>
      </c>
    </row>
    <row r="4984" spans="1:52" ht="55.2">
      <c r="A4984" s="3" t="s">
        <v>5028</v>
      </c>
      <c r="D4984">
        <v>5</v>
      </c>
      <c r="AD4984">
        <v>2</v>
      </c>
      <c r="AY4984">
        <f t="shared" si="156"/>
        <v>43</v>
      </c>
      <c r="AZ4984">
        <f t="shared" si="157"/>
        <v>3</v>
      </c>
    </row>
    <row r="4985" spans="1:52" ht="55.2">
      <c r="A4985" s="3" t="s">
        <v>5029</v>
      </c>
      <c r="D4985">
        <v>5</v>
      </c>
      <c r="AD4985">
        <v>2</v>
      </c>
      <c r="AY4985">
        <f t="shared" si="156"/>
        <v>43</v>
      </c>
      <c r="AZ4985">
        <f t="shared" si="157"/>
        <v>3</v>
      </c>
    </row>
    <row r="4986" spans="1:52" ht="55.2">
      <c r="A4986" s="3" t="s">
        <v>5030</v>
      </c>
      <c r="D4986">
        <v>5</v>
      </c>
      <c r="AD4986">
        <v>2</v>
      </c>
      <c r="AY4986">
        <f t="shared" si="156"/>
        <v>43</v>
      </c>
      <c r="AZ4986">
        <f t="shared" si="157"/>
        <v>3</v>
      </c>
    </row>
    <row r="4987" spans="1:52" ht="55.2">
      <c r="A4987" s="3" t="s">
        <v>5031</v>
      </c>
      <c r="D4987">
        <v>5</v>
      </c>
      <c r="AD4987">
        <v>2</v>
      </c>
      <c r="AY4987">
        <f t="shared" si="156"/>
        <v>43</v>
      </c>
      <c r="AZ4987">
        <f t="shared" si="157"/>
        <v>3</v>
      </c>
    </row>
    <row r="4988" spans="1:52" ht="55.2">
      <c r="A4988" s="3" t="s">
        <v>5032</v>
      </c>
      <c r="D4988">
        <v>5</v>
      </c>
      <c r="AD4988">
        <v>2</v>
      </c>
      <c r="AY4988">
        <f t="shared" si="156"/>
        <v>43</v>
      </c>
      <c r="AZ4988">
        <f t="shared" si="157"/>
        <v>3</v>
      </c>
    </row>
    <row r="4989" spans="1:52" ht="55.2">
      <c r="A4989" s="3" t="s">
        <v>5033</v>
      </c>
      <c r="D4989">
        <v>5</v>
      </c>
      <c r="L4989">
        <v>7</v>
      </c>
      <c r="AY4989">
        <f t="shared" si="156"/>
        <v>43</v>
      </c>
      <c r="AZ4989">
        <f t="shared" si="157"/>
        <v>3</v>
      </c>
    </row>
    <row r="4990" spans="1:52" ht="55.2">
      <c r="A4990" s="3" t="s">
        <v>5034</v>
      </c>
      <c r="D4990">
        <v>5</v>
      </c>
      <c r="L4990">
        <v>7</v>
      </c>
      <c r="AY4990">
        <f t="shared" si="156"/>
        <v>43</v>
      </c>
      <c r="AZ4990">
        <f t="shared" si="157"/>
        <v>3</v>
      </c>
    </row>
    <row r="4991" spans="1:52" ht="55.2">
      <c r="A4991" s="3" t="s">
        <v>5035</v>
      </c>
      <c r="D4991">
        <v>5</v>
      </c>
      <c r="L4991">
        <v>7</v>
      </c>
      <c r="AY4991">
        <f t="shared" si="156"/>
        <v>43</v>
      </c>
      <c r="AZ4991">
        <f t="shared" si="157"/>
        <v>3</v>
      </c>
    </row>
    <row r="4992" spans="1:52" ht="55.2">
      <c r="A4992" s="3" t="s">
        <v>5036</v>
      </c>
      <c r="D4992">
        <v>5</v>
      </c>
      <c r="L4992">
        <v>7</v>
      </c>
      <c r="AY4992">
        <f t="shared" si="156"/>
        <v>43</v>
      </c>
      <c r="AZ4992">
        <f t="shared" si="157"/>
        <v>3</v>
      </c>
    </row>
    <row r="4993" spans="1:52" ht="55.2">
      <c r="A4993" s="3" t="s">
        <v>5037</v>
      </c>
      <c r="D4993">
        <v>5</v>
      </c>
      <c r="L4993">
        <v>7</v>
      </c>
      <c r="AY4993">
        <f t="shared" si="156"/>
        <v>43</v>
      </c>
      <c r="AZ4993">
        <f t="shared" si="157"/>
        <v>3</v>
      </c>
    </row>
    <row r="4994" spans="1:52" ht="55.2">
      <c r="A4994" s="3" t="s">
        <v>5038</v>
      </c>
      <c r="D4994">
        <v>5</v>
      </c>
      <c r="L4994">
        <v>7</v>
      </c>
      <c r="AY4994">
        <f t="shared" si="156"/>
        <v>43</v>
      </c>
      <c r="AZ4994">
        <f t="shared" si="157"/>
        <v>3</v>
      </c>
    </row>
    <row r="4995" spans="1:52" ht="55.2">
      <c r="A4995" s="3" t="s">
        <v>5039</v>
      </c>
      <c r="D4995">
        <v>5</v>
      </c>
      <c r="L4995">
        <v>7</v>
      </c>
      <c r="AY4995">
        <f t="shared" si="156"/>
        <v>43</v>
      </c>
      <c r="AZ4995">
        <f t="shared" si="157"/>
        <v>3</v>
      </c>
    </row>
    <row r="4996" spans="1:52" ht="55.2">
      <c r="A4996" s="3" t="s">
        <v>5040</v>
      </c>
      <c r="D4996">
        <v>5</v>
      </c>
      <c r="L4996">
        <v>7</v>
      </c>
      <c r="AY4996">
        <f t="shared" si="156"/>
        <v>43</v>
      </c>
      <c r="AZ4996">
        <f t="shared" si="157"/>
        <v>3</v>
      </c>
    </row>
    <row r="4997" spans="1:52" ht="55.2">
      <c r="A4997" s="3" t="s">
        <v>5041</v>
      </c>
      <c r="D4997">
        <v>5</v>
      </c>
      <c r="L4997">
        <v>7</v>
      </c>
      <c r="AY4997">
        <f t="shared" si="156"/>
        <v>43</v>
      </c>
      <c r="AZ4997">
        <f t="shared" si="157"/>
        <v>3</v>
      </c>
    </row>
    <row r="4998" spans="1:52" ht="55.2">
      <c r="A4998" s="3" t="s">
        <v>5042</v>
      </c>
      <c r="D4998">
        <v>5</v>
      </c>
      <c r="L4998">
        <v>7</v>
      </c>
      <c r="AY4998">
        <f t="shared" si="156"/>
        <v>43</v>
      </c>
      <c r="AZ4998">
        <f t="shared" si="157"/>
        <v>3</v>
      </c>
    </row>
    <row r="4999" spans="1:52" ht="55.2">
      <c r="A4999" s="3" t="s">
        <v>5043</v>
      </c>
      <c r="D4999">
        <v>5</v>
      </c>
      <c r="L4999">
        <v>7</v>
      </c>
      <c r="AY4999">
        <f t="shared" si="156"/>
        <v>43</v>
      </c>
      <c r="AZ4999">
        <f t="shared" si="157"/>
        <v>3</v>
      </c>
    </row>
    <row r="5000" spans="1:52" ht="55.2">
      <c r="A5000" s="3" t="s">
        <v>5044</v>
      </c>
      <c r="D5000">
        <v>5</v>
      </c>
      <c r="L5000">
        <v>7</v>
      </c>
      <c r="AY5000">
        <f t="shared" si="156"/>
        <v>43</v>
      </c>
      <c r="AZ5000">
        <f t="shared" si="157"/>
        <v>3</v>
      </c>
    </row>
    <row r="5001" spans="1:52" ht="55.2">
      <c r="A5001" s="3" t="s">
        <v>5045</v>
      </c>
      <c r="D5001">
        <v>5</v>
      </c>
      <c r="L5001">
        <v>7</v>
      </c>
      <c r="AY5001">
        <f t="shared" si="156"/>
        <v>43</v>
      </c>
      <c r="AZ5001">
        <f t="shared" si="157"/>
        <v>3</v>
      </c>
    </row>
    <row r="5002" spans="1:52" ht="55.2">
      <c r="A5002" s="3" t="s">
        <v>5046</v>
      </c>
      <c r="D5002">
        <v>5</v>
      </c>
      <c r="L5002">
        <v>7</v>
      </c>
      <c r="AY5002">
        <f t="shared" si="156"/>
        <v>43</v>
      </c>
      <c r="AZ5002">
        <f t="shared" si="157"/>
        <v>3</v>
      </c>
    </row>
    <row r="5003" spans="1:52" ht="55.2">
      <c r="A5003" s="3" t="s">
        <v>5047</v>
      </c>
      <c r="D5003">
        <v>5</v>
      </c>
      <c r="J5003">
        <v>50</v>
      </c>
      <c r="AY5003">
        <f t="shared" si="156"/>
        <v>43</v>
      </c>
      <c r="AZ5003">
        <f t="shared" si="157"/>
        <v>3</v>
      </c>
    </row>
    <row r="5004" spans="1:52" ht="55.2">
      <c r="A5004" s="3" t="s">
        <v>5048</v>
      </c>
      <c r="D5004">
        <v>5</v>
      </c>
      <c r="J5004">
        <v>50</v>
      </c>
      <c r="AY5004">
        <f t="shared" si="156"/>
        <v>43</v>
      </c>
      <c r="AZ5004">
        <f t="shared" si="157"/>
        <v>3</v>
      </c>
    </row>
    <row r="5005" spans="1:52" ht="55.2">
      <c r="A5005" s="3" t="s">
        <v>5049</v>
      </c>
      <c r="D5005">
        <v>5</v>
      </c>
      <c r="J5005">
        <v>50</v>
      </c>
      <c r="AY5005">
        <f t="shared" si="156"/>
        <v>43</v>
      </c>
      <c r="AZ5005">
        <f t="shared" si="157"/>
        <v>3</v>
      </c>
    </row>
    <row r="5006" spans="1:52" ht="55.2">
      <c r="A5006" s="3" t="s">
        <v>5050</v>
      </c>
      <c r="D5006">
        <v>5</v>
      </c>
      <c r="J5006">
        <v>50</v>
      </c>
      <c r="AY5006">
        <f t="shared" si="156"/>
        <v>43</v>
      </c>
      <c r="AZ5006">
        <f t="shared" si="157"/>
        <v>3</v>
      </c>
    </row>
    <row r="5007" spans="1:52" ht="55.2">
      <c r="A5007" s="3" t="s">
        <v>5051</v>
      </c>
      <c r="D5007">
        <v>5</v>
      </c>
      <c r="J5007">
        <v>50</v>
      </c>
      <c r="AY5007">
        <f t="shared" si="156"/>
        <v>43</v>
      </c>
      <c r="AZ5007">
        <f t="shared" si="157"/>
        <v>3</v>
      </c>
    </row>
    <row r="5008" spans="1:52" ht="55.2">
      <c r="A5008" s="3" t="s">
        <v>5052</v>
      </c>
      <c r="D5008">
        <v>5</v>
      </c>
      <c r="J5008">
        <v>50</v>
      </c>
      <c r="AY5008">
        <f t="shared" si="156"/>
        <v>43</v>
      </c>
      <c r="AZ5008">
        <f t="shared" si="157"/>
        <v>3</v>
      </c>
    </row>
    <row r="5009" spans="1:52" ht="55.2">
      <c r="A5009" s="3" t="s">
        <v>5053</v>
      </c>
      <c r="D5009">
        <v>5</v>
      </c>
      <c r="J5009">
        <v>50</v>
      </c>
      <c r="AY5009">
        <f t="shared" si="156"/>
        <v>43</v>
      </c>
      <c r="AZ5009">
        <f t="shared" si="157"/>
        <v>3</v>
      </c>
    </row>
    <row r="5010" spans="1:52" ht="55.2">
      <c r="A5010" s="3" t="s">
        <v>5054</v>
      </c>
      <c r="D5010">
        <v>5</v>
      </c>
      <c r="J5010">
        <v>50</v>
      </c>
      <c r="AY5010">
        <f t="shared" si="156"/>
        <v>43</v>
      </c>
      <c r="AZ5010">
        <f t="shared" si="157"/>
        <v>3</v>
      </c>
    </row>
    <row r="5011" spans="1:52" ht="55.2">
      <c r="A5011" s="3" t="s">
        <v>5055</v>
      </c>
      <c r="D5011">
        <v>5</v>
      </c>
      <c r="J5011">
        <v>50</v>
      </c>
      <c r="AY5011">
        <f t="shared" si="156"/>
        <v>43</v>
      </c>
      <c r="AZ5011">
        <f t="shared" si="157"/>
        <v>3</v>
      </c>
    </row>
    <row r="5012" spans="1:52" ht="55.2">
      <c r="A5012" s="3" t="s">
        <v>5056</v>
      </c>
      <c r="D5012">
        <v>5</v>
      </c>
      <c r="J5012">
        <v>50</v>
      </c>
      <c r="AY5012">
        <f t="shared" si="156"/>
        <v>43</v>
      </c>
      <c r="AZ5012">
        <f t="shared" si="157"/>
        <v>3</v>
      </c>
    </row>
    <row r="5013" spans="1:52" ht="55.2">
      <c r="A5013" s="3" t="s">
        <v>5057</v>
      </c>
      <c r="D5013">
        <v>5</v>
      </c>
      <c r="J5013">
        <v>50</v>
      </c>
      <c r="AY5013">
        <f t="shared" si="156"/>
        <v>43</v>
      </c>
      <c r="AZ5013">
        <f t="shared" si="157"/>
        <v>3</v>
      </c>
    </row>
    <row r="5014" spans="1:52" ht="55.2">
      <c r="A5014" s="3" t="s">
        <v>5058</v>
      </c>
      <c r="D5014">
        <v>5</v>
      </c>
      <c r="J5014">
        <v>50</v>
      </c>
      <c r="AY5014">
        <f t="shared" si="156"/>
        <v>43</v>
      </c>
      <c r="AZ5014">
        <f t="shared" si="157"/>
        <v>3</v>
      </c>
    </row>
    <row r="5015" spans="1:52" ht="55.2">
      <c r="A5015" s="3" t="s">
        <v>5059</v>
      </c>
      <c r="D5015">
        <v>5</v>
      </c>
      <c r="J5015">
        <v>50</v>
      </c>
      <c r="AY5015">
        <f t="shared" si="156"/>
        <v>43</v>
      </c>
      <c r="AZ5015">
        <f t="shared" si="157"/>
        <v>3</v>
      </c>
    </row>
    <row r="5016" spans="1:52" ht="55.2">
      <c r="A5016" s="3" t="s">
        <v>5060</v>
      </c>
      <c r="D5016">
        <v>5</v>
      </c>
      <c r="J5016">
        <v>50</v>
      </c>
      <c r="AY5016">
        <f t="shared" si="156"/>
        <v>43</v>
      </c>
      <c r="AZ5016">
        <f t="shared" si="157"/>
        <v>3</v>
      </c>
    </row>
    <row r="5017" spans="1:52" ht="55.2">
      <c r="A5017" s="3" t="s">
        <v>5061</v>
      </c>
      <c r="D5017">
        <v>5</v>
      </c>
      <c r="J5017">
        <v>50</v>
      </c>
      <c r="AY5017">
        <f t="shared" si="156"/>
        <v>43</v>
      </c>
      <c r="AZ5017">
        <f t="shared" si="157"/>
        <v>3</v>
      </c>
    </row>
    <row r="5018" spans="1:52" ht="55.2">
      <c r="A5018" s="3" t="s">
        <v>5062</v>
      </c>
      <c r="D5018">
        <v>5</v>
      </c>
      <c r="J5018">
        <v>50</v>
      </c>
      <c r="AY5018">
        <f t="shared" si="156"/>
        <v>43</v>
      </c>
      <c r="AZ5018">
        <f t="shared" si="157"/>
        <v>3</v>
      </c>
    </row>
    <row r="5019" spans="1:52" ht="55.2">
      <c r="A5019" s="3" t="s">
        <v>5063</v>
      </c>
      <c r="D5019">
        <v>5</v>
      </c>
      <c r="J5019">
        <v>50</v>
      </c>
      <c r="AY5019">
        <f t="shared" si="156"/>
        <v>43</v>
      </c>
      <c r="AZ5019">
        <f t="shared" si="157"/>
        <v>3</v>
      </c>
    </row>
    <row r="5020" spans="1:52" ht="55.2">
      <c r="A5020" s="3" t="s">
        <v>5064</v>
      </c>
      <c r="D5020">
        <v>5</v>
      </c>
      <c r="E5020">
        <v>6</v>
      </c>
      <c r="J5020">
        <v>50</v>
      </c>
      <c r="AY5020">
        <f t="shared" si="156"/>
        <v>43</v>
      </c>
      <c r="AZ5020">
        <f t="shared" si="157"/>
        <v>2</v>
      </c>
    </row>
    <row r="5021" spans="1:52" ht="55.2">
      <c r="A5021" s="3" t="s">
        <v>5065</v>
      </c>
      <c r="D5021">
        <v>5</v>
      </c>
      <c r="E5021">
        <v>6</v>
      </c>
      <c r="J5021">
        <v>50</v>
      </c>
      <c r="AY5021">
        <f t="shared" si="156"/>
        <v>43</v>
      </c>
      <c r="AZ5021">
        <f t="shared" si="157"/>
        <v>2</v>
      </c>
    </row>
    <row r="5022" spans="1:52" ht="55.2">
      <c r="A5022" s="3" t="s">
        <v>5066</v>
      </c>
      <c r="D5022">
        <v>5</v>
      </c>
      <c r="E5022">
        <v>6</v>
      </c>
      <c r="J5022">
        <v>50</v>
      </c>
      <c r="AY5022">
        <f t="shared" si="156"/>
        <v>43</v>
      </c>
      <c r="AZ5022">
        <f t="shared" si="157"/>
        <v>2</v>
      </c>
    </row>
    <row r="5023" spans="1:52" ht="55.2">
      <c r="A5023" s="3" t="s">
        <v>5067</v>
      </c>
      <c r="D5023">
        <v>5</v>
      </c>
      <c r="E5023">
        <v>6</v>
      </c>
      <c r="J5023">
        <v>50</v>
      </c>
      <c r="AY5023">
        <f t="shared" si="156"/>
        <v>43</v>
      </c>
      <c r="AZ5023">
        <f t="shared" si="157"/>
        <v>2</v>
      </c>
    </row>
    <row r="5024" spans="1:52" ht="55.2">
      <c r="A5024" s="3" t="s">
        <v>5068</v>
      </c>
      <c r="D5024">
        <v>5</v>
      </c>
      <c r="E5024">
        <v>6</v>
      </c>
      <c r="J5024">
        <v>50</v>
      </c>
      <c r="AY5024">
        <f t="shared" si="156"/>
        <v>43</v>
      </c>
      <c r="AZ5024">
        <f t="shared" si="157"/>
        <v>2</v>
      </c>
    </row>
    <row r="5025" spans="1:52" ht="55.2">
      <c r="A5025" s="3" t="s">
        <v>5069</v>
      </c>
      <c r="D5025">
        <v>5</v>
      </c>
      <c r="E5025">
        <v>6</v>
      </c>
      <c r="J5025">
        <v>50</v>
      </c>
      <c r="AY5025">
        <f t="shared" ref="AY5025:AY5088" si="158">COUNTBLANK(F5025:AW5025)</f>
        <v>43</v>
      </c>
      <c r="AZ5025">
        <f t="shared" ref="AZ5025:AZ5088" si="159">COUNTBLANK(B5025:E5025)</f>
        <v>2</v>
      </c>
    </row>
    <row r="5026" spans="1:52" ht="55.2">
      <c r="A5026" s="3" t="s">
        <v>5070</v>
      </c>
      <c r="D5026">
        <v>5</v>
      </c>
      <c r="E5026">
        <v>6</v>
      </c>
      <c r="J5026">
        <v>50</v>
      </c>
      <c r="AY5026">
        <f t="shared" si="158"/>
        <v>43</v>
      </c>
      <c r="AZ5026">
        <f t="shared" si="159"/>
        <v>2</v>
      </c>
    </row>
    <row r="5027" spans="1:52" ht="55.2">
      <c r="A5027" s="3" t="s">
        <v>5071</v>
      </c>
      <c r="D5027">
        <v>5</v>
      </c>
      <c r="E5027">
        <v>6</v>
      </c>
      <c r="J5027">
        <v>50</v>
      </c>
      <c r="AY5027">
        <f t="shared" si="158"/>
        <v>43</v>
      </c>
      <c r="AZ5027">
        <f t="shared" si="159"/>
        <v>2</v>
      </c>
    </row>
    <row r="5028" spans="1:52" ht="55.2">
      <c r="A5028" s="3" t="s">
        <v>5072</v>
      </c>
      <c r="D5028">
        <v>5</v>
      </c>
      <c r="E5028">
        <v>6</v>
      </c>
      <c r="J5028">
        <v>50</v>
      </c>
      <c r="AY5028">
        <f t="shared" si="158"/>
        <v>43</v>
      </c>
      <c r="AZ5028">
        <f t="shared" si="159"/>
        <v>2</v>
      </c>
    </row>
    <row r="5029" spans="1:52" ht="55.2">
      <c r="A5029" s="3" t="s">
        <v>5073</v>
      </c>
      <c r="D5029">
        <v>5</v>
      </c>
      <c r="E5029">
        <v>6</v>
      </c>
      <c r="J5029">
        <v>50</v>
      </c>
      <c r="AY5029">
        <f t="shared" si="158"/>
        <v>43</v>
      </c>
      <c r="AZ5029">
        <f t="shared" si="159"/>
        <v>2</v>
      </c>
    </row>
    <row r="5030" spans="1:52" ht="55.2">
      <c r="A5030" s="3" t="s">
        <v>5074</v>
      </c>
      <c r="D5030">
        <v>5</v>
      </c>
      <c r="E5030">
        <v>6</v>
      </c>
      <c r="J5030">
        <v>50</v>
      </c>
      <c r="AY5030">
        <f t="shared" si="158"/>
        <v>43</v>
      </c>
      <c r="AZ5030">
        <f t="shared" si="159"/>
        <v>2</v>
      </c>
    </row>
    <row r="5031" spans="1:52" ht="55.2">
      <c r="A5031" s="3" t="s">
        <v>5075</v>
      </c>
      <c r="D5031">
        <v>5</v>
      </c>
      <c r="E5031">
        <v>6</v>
      </c>
      <c r="J5031">
        <v>50</v>
      </c>
      <c r="AY5031">
        <f t="shared" si="158"/>
        <v>43</v>
      </c>
      <c r="AZ5031">
        <f t="shared" si="159"/>
        <v>2</v>
      </c>
    </row>
    <row r="5032" spans="1:52" ht="55.2">
      <c r="A5032" s="3" t="s">
        <v>5076</v>
      </c>
      <c r="D5032">
        <v>5</v>
      </c>
      <c r="E5032">
        <v>6</v>
      </c>
      <c r="J5032">
        <v>50</v>
      </c>
      <c r="AY5032">
        <f t="shared" si="158"/>
        <v>43</v>
      </c>
      <c r="AZ5032">
        <f t="shared" si="159"/>
        <v>2</v>
      </c>
    </row>
    <row r="5033" spans="1:52" ht="55.2">
      <c r="A5033" s="3" t="s">
        <v>5077</v>
      </c>
      <c r="D5033">
        <v>5</v>
      </c>
      <c r="E5033">
        <v>6</v>
      </c>
      <c r="J5033">
        <v>50</v>
      </c>
      <c r="AY5033">
        <f t="shared" si="158"/>
        <v>43</v>
      </c>
      <c r="AZ5033">
        <f t="shared" si="159"/>
        <v>2</v>
      </c>
    </row>
    <row r="5034" spans="1:52" ht="55.2">
      <c r="A5034" s="3" t="s">
        <v>5078</v>
      </c>
      <c r="D5034">
        <v>5</v>
      </c>
      <c r="E5034">
        <v>6</v>
      </c>
      <c r="J5034">
        <v>50</v>
      </c>
      <c r="AY5034">
        <f t="shared" si="158"/>
        <v>43</v>
      </c>
      <c r="AZ5034">
        <f t="shared" si="159"/>
        <v>2</v>
      </c>
    </row>
    <row r="5035" spans="1:52" ht="55.2">
      <c r="A5035" s="3" t="s">
        <v>5079</v>
      </c>
      <c r="D5035">
        <v>5</v>
      </c>
      <c r="E5035">
        <v>6</v>
      </c>
      <c r="J5035">
        <v>50</v>
      </c>
      <c r="AY5035">
        <f t="shared" si="158"/>
        <v>43</v>
      </c>
      <c r="AZ5035">
        <f t="shared" si="159"/>
        <v>2</v>
      </c>
    </row>
    <row r="5036" spans="1:52" ht="55.2">
      <c r="A5036" s="3" t="s">
        <v>5080</v>
      </c>
      <c r="D5036">
        <v>5</v>
      </c>
      <c r="E5036">
        <v>6</v>
      </c>
      <c r="J5036">
        <v>50</v>
      </c>
      <c r="AY5036">
        <f t="shared" si="158"/>
        <v>43</v>
      </c>
      <c r="AZ5036">
        <f t="shared" si="159"/>
        <v>2</v>
      </c>
    </row>
    <row r="5037" spans="1:52" ht="55.2">
      <c r="A5037" s="3" t="s">
        <v>5081</v>
      </c>
      <c r="E5037">
        <v>6</v>
      </c>
      <c r="J5037">
        <v>50</v>
      </c>
      <c r="AY5037">
        <f t="shared" si="158"/>
        <v>43</v>
      </c>
      <c r="AZ5037">
        <f t="shared" si="159"/>
        <v>3</v>
      </c>
    </row>
    <row r="5038" spans="1:52" ht="55.2">
      <c r="A5038" s="3" t="s">
        <v>5082</v>
      </c>
      <c r="E5038">
        <v>6</v>
      </c>
      <c r="AT5038">
        <v>12</v>
      </c>
      <c r="AY5038">
        <f t="shared" si="158"/>
        <v>43</v>
      </c>
      <c r="AZ5038">
        <f t="shared" si="159"/>
        <v>3</v>
      </c>
    </row>
    <row r="5039" spans="1:52" ht="55.2">
      <c r="A5039" s="3" t="s">
        <v>5083</v>
      </c>
      <c r="E5039">
        <v>6</v>
      </c>
      <c r="AT5039">
        <v>12</v>
      </c>
      <c r="AY5039">
        <f t="shared" si="158"/>
        <v>43</v>
      </c>
      <c r="AZ5039">
        <f t="shared" si="159"/>
        <v>3</v>
      </c>
    </row>
    <row r="5040" spans="1:52" ht="55.2">
      <c r="A5040" s="3" t="s">
        <v>5084</v>
      </c>
      <c r="E5040">
        <v>6</v>
      </c>
      <c r="AT5040">
        <v>12</v>
      </c>
      <c r="AY5040">
        <f t="shared" si="158"/>
        <v>43</v>
      </c>
      <c r="AZ5040">
        <f t="shared" si="159"/>
        <v>3</v>
      </c>
    </row>
    <row r="5041" spans="1:52" ht="55.2">
      <c r="A5041" s="3" t="s">
        <v>5085</v>
      </c>
      <c r="E5041">
        <v>6</v>
      </c>
      <c r="AT5041">
        <v>12</v>
      </c>
      <c r="AY5041">
        <f t="shared" si="158"/>
        <v>43</v>
      </c>
      <c r="AZ5041">
        <f t="shared" si="159"/>
        <v>3</v>
      </c>
    </row>
    <row r="5042" spans="1:52" ht="55.2">
      <c r="A5042" s="3" t="s">
        <v>5086</v>
      </c>
      <c r="E5042">
        <v>6</v>
      </c>
      <c r="AT5042">
        <v>12</v>
      </c>
      <c r="AY5042">
        <f t="shared" si="158"/>
        <v>43</v>
      </c>
      <c r="AZ5042">
        <f t="shared" si="159"/>
        <v>3</v>
      </c>
    </row>
    <row r="5043" spans="1:52" ht="55.2">
      <c r="A5043" s="3" t="s">
        <v>5087</v>
      </c>
      <c r="E5043">
        <v>6</v>
      </c>
      <c r="AT5043">
        <v>12</v>
      </c>
      <c r="AY5043">
        <f t="shared" si="158"/>
        <v>43</v>
      </c>
      <c r="AZ5043">
        <f t="shared" si="159"/>
        <v>3</v>
      </c>
    </row>
    <row r="5044" spans="1:52" ht="55.2">
      <c r="A5044" s="3" t="s">
        <v>5088</v>
      </c>
      <c r="E5044">
        <v>6</v>
      </c>
      <c r="AT5044">
        <v>12</v>
      </c>
      <c r="AY5044">
        <f t="shared" si="158"/>
        <v>43</v>
      </c>
      <c r="AZ5044">
        <f t="shared" si="159"/>
        <v>3</v>
      </c>
    </row>
    <row r="5045" spans="1:52" ht="55.2">
      <c r="A5045" s="3" t="s">
        <v>5089</v>
      </c>
      <c r="E5045">
        <v>6</v>
      </c>
      <c r="AT5045">
        <v>12</v>
      </c>
      <c r="AY5045">
        <f t="shared" si="158"/>
        <v>43</v>
      </c>
      <c r="AZ5045">
        <f t="shared" si="159"/>
        <v>3</v>
      </c>
    </row>
    <row r="5046" spans="1:52" ht="55.2">
      <c r="A5046" s="3" t="s">
        <v>5090</v>
      </c>
      <c r="E5046">
        <v>6</v>
      </c>
      <c r="AT5046">
        <v>12</v>
      </c>
      <c r="AY5046">
        <f t="shared" si="158"/>
        <v>43</v>
      </c>
      <c r="AZ5046">
        <f t="shared" si="159"/>
        <v>3</v>
      </c>
    </row>
    <row r="5047" spans="1:52" ht="55.2">
      <c r="A5047" s="3" t="s">
        <v>5091</v>
      </c>
      <c r="E5047">
        <v>6</v>
      </c>
      <c r="AT5047">
        <v>12</v>
      </c>
      <c r="AY5047">
        <f t="shared" si="158"/>
        <v>43</v>
      </c>
      <c r="AZ5047">
        <f t="shared" si="159"/>
        <v>3</v>
      </c>
    </row>
    <row r="5048" spans="1:52" ht="55.2">
      <c r="A5048" s="3" t="s">
        <v>5092</v>
      </c>
      <c r="E5048">
        <v>6</v>
      </c>
      <c r="AT5048">
        <v>12</v>
      </c>
      <c r="AY5048">
        <f t="shared" si="158"/>
        <v>43</v>
      </c>
      <c r="AZ5048">
        <f t="shared" si="159"/>
        <v>3</v>
      </c>
    </row>
    <row r="5049" spans="1:52" ht="55.2">
      <c r="A5049" s="3" t="s">
        <v>5093</v>
      </c>
      <c r="E5049">
        <v>6</v>
      </c>
      <c r="AT5049">
        <v>12</v>
      </c>
      <c r="AY5049">
        <f t="shared" si="158"/>
        <v>43</v>
      </c>
      <c r="AZ5049">
        <f t="shared" si="159"/>
        <v>3</v>
      </c>
    </row>
    <row r="5050" spans="1:52" ht="55.2">
      <c r="A5050" s="3" t="s">
        <v>5094</v>
      </c>
      <c r="E5050">
        <v>6</v>
      </c>
      <c r="AT5050">
        <v>12</v>
      </c>
      <c r="AY5050">
        <f t="shared" si="158"/>
        <v>43</v>
      </c>
      <c r="AZ5050">
        <f t="shared" si="159"/>
        <v>3</v>
      </c>
    </row>
    <row r="5051" spans="1:52" ht="55.2">
      <c r="A5051" s="3" t="s">
        <v>5095</v>
      </c>
      <c r="E5051">
        <v>6</v>
      </c>
      <c r="AT5051">
        <v>12</v>
      </c>
      <c r="AY5051">
        <f t="shared" si="158"/>
        <v>43</v>
      </c>
      <c r="AZ5051">
        <f t="shared" si="159"/>
        <v>3</v>
      </c>
    </row>
    <row r="5052" spans="1:52" ht="55.2">
      <c r="A5052" s="3" t="s">
        <v>5096</v>
      </c>
      <c r="E5052">
        <v>6</v>
      </c>
      <c r="AT5052">
        <v>12</v>
      </c>
      <c r="AY5052">
        <f t="shared" si="158"/>
        <v>43</v>
      </c>
      <c r="AZ5052">
        <f t="shared" si="159"/>
        <v>3</v>
      </c>
    </row>
    <row r="5053" spans="1:52" ht="55.2">
      <c r="A5053" s="3" t="s">
        <v>5097</v>
      </c>
      <c r="E5053">
        <v>6</v>
      </c>
      <c r="AT5053">
        <v>12</v>
      </c>
      <c r="AY5053">
        <f t="shared" si="158"/>
        <v>43</v>
      </c>
      <c r="AZ5053">
        <f t="shared" si="159"/>
        <v>3</v>
      </c>
    </row>
    <row r="5054" spans="1:52" ht="55.2">
      <c r="A5054" s="3" t="s">
        <v>5098</v>
      </c>
      <c r="E5054">
        <v>6</v>
      </c>
      <c r="AT5054">
        <v>12</v>
      </c>
      <c r="AY5054">
        <f t="shared" si="158"/>
        <v>43</v>
      </c>
      <c r="AZ5054">
        <f t="shared" si="159"/>
        <v>3</v>
      </c>
    </row>
    <row r="5055" spans="1:52" ht="55.2">
      <c r="A5055" s="3" t="s">
        <v>5099</v>
      </c>
      <c r="E5055">
        <v>6</v>
      </c>
      <c r="AT5055">
        <v>12</v>
      </c>
      <c r="AY5055">
        <f t="shared" si="158"/>
        <v>43</v>
      </c>
      <c r="AZ5055">
        <f t="shared" si="159"/>
        <v>3</v>
      </c>
    </row>
    <row r="5056" spans="1:52" ht="55.2">
      <c r="A5056" s="3" t="s">
        <v>5100</v>
      </c>
      <c r="E5056">
        <v>6</v>
      </c>
      <c r="AT5056">
        <v>12</v>
      </c>
      <c r="AY5056">
        <f t="shared" si="158"/>
        <v>43</v>
      </c>
      <c r="AZ5056">
        <f t="shared" si="159"/>
        <v>3</v>
      </c>
    </row>
    <row r="5057" spans="1:52" ht="55.2">
      <c r="A5057" s="3" t="s">
        <v>5101</v>
      </c>
      <c r="E5057">
        <v>6</v>
      </c>
      <c r="AT5057">
        <v>12</v>
      </c>
      <c r="AY5057">
        <f t="shared" si="158"/>
        <v>43</v>
      </c>
      <c r="AZ5057">
        <f t="shared" si="159"/>
        <v>3</v>
      </c>
    </row>
    <row r="5058" spans="1:52" ht="55.2">
      <c r="A5058" s="3" t="s">
        <v>5102</v>
      </c>
      <c r="E5058">
        <v>6</v>
      </c>
      <c r="AT5058">
        <v>12</v>
      </c>
      <c r="AY5058">
        <f t="shared" si="158"/>
        <v>43</v>
      </c>
      <c r="AZ5058">
        <f t="shared" si="159"/>
        <v>3</v>
      </c>
    </row>
    <row r="5059" spans="1:52" ht="55.2">
      <c r="A5059" s="3" t="s">
        <v>5103</v>
      </c>
      <c r="E5059">
        <v>6</v>
      </c>
      <c r="AT5059">
        <v>12</v>
      </c>
      <c r="AY5059">
        <f t="shared" si="158"/>
        <v>43</v>
      </c>
      <c r="AZ5059">
        <f t="shared" si="159"/>
        <v>3</v>
      </c>
    </row>
    <row r="5060" spans="1:52" ht="55.2">
      <c r="A5060" s="3" t="s">
        <v>5104</v>
      </c>
      <c r="E5060">
        <v>6</v>
      </c>
      <c r="AT5060">
        <v>12</v>
      </c>
      <c r="AY5060">
        <f t="shared" si="158"/>
        <v>43</v>
      </c>
      <c r="AZ5060">
        <f t="shared" si="159"/>
        <v>3</v>
      </c>
    </row>
    <row r="5061" spans="1:52" ht="55.2">
      <c r="A5061" s="3" t="s">
        <v>5105</v>
      </c>
      <c r="E5061">
        <v>6</v>
      </c>
      <c r="AT5061">
        <v>12</v>
      </c>
      <c r="AY5061">
        <f t="shared" si="158"/>
        <v>43</v>
      </c>
      <c r="AZ5061">
        <f t="shared" si="159"/>
        <v>3</v>
      </c>
    </row>
    <row r="5062" spans="1:52" ht="55.2">
      <c r="A5062" s="3" t="s">
        <v>5106</v>
      </c>
      <c r="E5062">
        <v>6</v>
      </c>
      <c r="AT5062">
        <v>12</v>
      </c>
      <c r="AY5062">
        <f t="shared" si="158"/>
        <v>43</v>
      </c>
      <c r="AZ5062">
        <f t="shared" si="159"/>
        <v>3</v>
      </c>
    </row>
    <row r="5063" spans="1:52" ht="55.2">
      <c r="A5063" s="3" t="s">
        <v>5107</v>
      </c>
      <c r="E5063">
        <v>6</v>
      </c>
      <c r="J5063">
        <v>51</v>
      </c>
      <c r="AY5063">
        <f t="shared" si="158"/>
        <v>43</v>
      </c>
      <c r="AZ5063">
        <f t="shared" si="159"/>
        <v>3</v>
      </c>
    </row>
    <row r="5064" spans="1:52" ht="55.2">
      <c r="A5064" s="3" t="s">
        <v>5108</v>
      </c>
      <c r="E5064">
        <v>6</v>
      </c>
      <c r="J5064">
        <v>51</v>
      </c>
      <c r="AY5064">
        <f t="shared" si="158"/>
        <v>43</v>
      </c>
      <c r="AZ5064">
        <f t="shared" si="159"/>
        <v>3</v>
      </c>
    </row>
    <row r="5065" spans="1:52" ht="55.2">
      <c r="A5065" s="3" t="s">
        <v>5109</v>
      </c>
      <c r="E5065">
        <v>6</v>
      </c>
      <c r="J5065">
        <v>51</v>
      </c>
      <c r="AY5065">
        <f t="shared" si="158"/>
        <v>43</v>
      </c>
      <c r="AZ5065">
        <f t="shared" si="159"/>
        <v>3</v>
      </c>
    </row>
    <row r="5066" spans="1:52" ht="55.2">
      <c r="A5066" s="3" t="s">
        <v>5110</v>
      </c>
      <c r="E5066">
        <v>6</v>
      </c>
      <c r="J5066">
        <v>51</v>
      </c>
      <c r="AY5066">
        <f t="shared" si="158"/>
        <v>43</v>
      </c>
      <c r="AZ5066">
        <f t="shared" si="159"/>
        <v>3</v>
      </c>
    </row>
    <row r="5067" spans="1:52" ht="55.2">
      <c r="A5067" s="3" t="s">
        <v>5111</v>
      </c>
      <c r="E5067">
        <v>6</v>
      </c>
      <c r="J5067">
        <v>51</v>
      </c>
      <c r="AY5067">
        <f t="shared" si="158"/>
        <v>43</v>
      </c>
      <c r="AZ5067">
        <f t="shared" si="159"/>
        <v>3</v>
      </c>
    </row>
    <row r="5068" spans="1:52" ht="55.2">
      <c r="A5068" s="3" t="s">
        <v>5112</v>
      </c>
      <c r="E5068">
        <v>6</v>
      </c>
      <c r="J5068">
        <v>51</v>
      </c>
      <c r="AY5068">
        <f t="shared" si="158"/>
        <v>43</v>
      </c>
      <c r="AZ5068">
        <f t="shared" si="159"/>
        <v>3</v>
      </c>
    </row>
    <row r="5069" spans="1:52" ht="55.2">
      <c r="A5069" s="3" t="s">
        <v>5113</v>
      </c>
      <c r="E5069">
        <v>6</v>
      </c>
      <c r="J5069">
        <v>51</v>
      </c>
      <c r="AY5069">
        <f t="shared" si="158"/>
        <v>43</v>
      </c>
      <c r="AZ5069">
        <f t="shared" si="159"/>
        <v>3</v>
      </c>
    </row>
    <row r="5070" spans="1:52" ht="55.2">
      <c r="A5070" s="3" t="s">
        <v>5114</v>
      </c>
      <c r="E5070">
        <v>6</v>
      </c>
      <c r="J5070">
        <v>51</v>
      </c>
      <c r="AY5070">
        <f t="shared" si="158"/>
        <v>43</v>
      </c>
      <c r="AZ5070">
        <f t="shared" si="159"/>
        <v>3</v>
      </c>
    </row>
    <row r="5071" spans="1:52" ht="55.2">
      <c r="A5071" s="3" t="s">
        <v>5115</v>
      </c>
      <c r="E5071">
        <v>6</v>
      </c>
      <c r="J5071">
        <v>51</v>
      </c>
      <c r="AY5071">
        <f t="shared" si="158"/>
        <v>43</v>
      </c>
      <c r="AZ5071">
        <f t="shared" si="159"/>
        <v>3</v>
      </c>
    </row>
    <row r="5072" spans="1:52" ht="55.2">
      <c r="A5072" s="3" t="s">
        <v>5116</v>
      </c>
      <c r="E5072">
        <v>6</v>
      </c>
      <c r="J5072">
        <v>51</v>
      </c>
      <c r="AY5072">
        <f t="shared" si="158"/>
        <v>43</v>
      </c>
      <c r="AZ5072">
        <f t="shared" si="159"/>
        <v>3</v>
      </c>
    </row>
    <row r="5073" spans="1:52" ht="55.2">
      <c r="A5073" s="3" t="s">
        <v>5117</v>
      </c>
      <c r="E5073">
        <v>6</v>
      </c>
      <c r="J5073">
        <v>51</v>
      </c>
      <c r="AY5073">
        <f t="shared" si="158"/>
        <v>43</v>
      </c>
      <c r="AZ5073">
        <f t="shared" si="159"/>
        <v>3</v>
      </c>
    </row>
    <row r="5074" spans="1:52" ht="55.2">
      <c r="A5074" s="3" t="s">
        <v>5118</v>
      </c>
      <c r="E5074">
        <v>6</v>
      </c>
      <c r="J5074">
        <v>51</v>
      </c>
      <c r="AY5074">
        <f t="shared" si="158"/>
        <v>43</v>
      </c>
      <c r="AZ5074">
        <f t="shared" si="159"/>
        <v>3</v>
      </c>
    </row>
    <row r="5075" spans="1:52" ht="55.2">
      <c r="A5075" s="3" t="s">
        <v>5119</v>
      </c>
      <c r="E5075">
        <v>6</v>
      </c>
      <c r="J5075">
        <v>51</v>
      </c>
      <c r="AY5075">
        <f t="shared" si="158"/>
        <v>43</v>
      </c>
      <c r="AZ5075">
        <f t="shared" si="159"/>
        <v>3</v>
      </c>
    </row>
    <row r="5076" spans="1:52" ht="55.2">
      <c r="A5076" s="3" t="s">
        <v>5120</v>
      </c>
      <c r="E5076">
        <v>6</v>
      </c>
      <c r="J5076">
        <v>51</v>
      </c>
      <c r="AY5076">
        <f t="shared" si="158"/>
        <v>43</v>
      </c>
      <c r="AZ5076">
        <f t="shared" si="159"/>
        <v>3</v>
      </c>
    </row>
    <row r="5077" spans="1:52" ht="55.2">
      <c r="A5077" s="3" t="s">
        <v>5121</v>
      </c>
      <c r="E5077">
        <v>6</v>
      </c>
      <c r="J5077">
        <v>51</v>
      </c>
      <c r="AY5077">
        <f t="shared" si="158"/>
        <v>43</v>
      </c>
      <c r="AZ5077">
        <f t="shared" si="159"/>
        <v>3</v>
      </c>
    </row>
    <row r="5078" spans="1:52" ht="55.2">
      <c r="A5078" s="3" t="s">
        <v>5122</v>
      </c>
      <c r="E5078">
        <v>6</v>
      </c>
      <c r="J5078">
        <v>51</v>
      </c>
      <c r="AY5078">
        <f t="shared" si="158"/>
        <v>43</v>
      </c>
      <c r="AZ5078">
        <f t="shared" si="159"/>
        <v>3</v>
      </c>
    </row>
    <row r="5079" spans="1:52" ht="55.2">
      <c r="A5079" s="3" t="s">
        <v>5123</v>
      </c>
      <c r="E5079">
        <v>6</v>
      </c>
      <c r="J5079">
        <v>51</v>
      </c>
      <c r="AY5079">
        <f t="shared" si="158"/>
        <v>43</v>
      </c>
      <c r="AZ5079">
        <f t="shared" si="159"/>
        <v>3</v>
      </c>
    </row>
    <row r="5080" spans="1:52" ht="55.2">
      <c r="A5080" s="3" t="s">
        <v>5124</v>
      </c>
      <c r="E5080">
        <v>6</v>
      </c>
      <c r="J5080">
        <v>51</v>
      </c>
      <c r="AY5080">
        <f t="shared" si="158"/>
        <v>43</v>
      </c>
      <c r="AZ5080">
        <f t="shared" si="159"/>
        <v>3</v>
      </c>
    </row>
    <row r="5081" spans="1:52" ht="55.2">
      <c r="A5081" s="3" t="s">
        <v>5125</v>
      </c>
      <c r="E5081">
        <v>6</v>
      </c>
      <c r="J5081">
        <v>51</v>
      </c>
      <c r="AY5081">
        <f t="shared" si="158"/>
        <v>43</v>
      </c>
      <c r="AZ5081">
        <f t="shared" si="159"/>
        <v>3</v>
      </c>
    </row>
    <row r="5082" spans="1:52" ht="55.2">
      <c r="A5082" s="3" t="s">
        <v>5126</v>
      </c>
      <c r="E5082">
        <v>6</v>
      </c>
      <c r="J5082">
        <v>51</v>
      </c>
      <c r="AY5082">
        <f t="shared" si="158"/>
        <v>43</v>
      </c>
      <c r="AZ5082">
        <f t="shared" si="159"/>
        <v>3</v>
      </c>
    </row>
    <row r="5083" spans="1:52" ht="55.2">
      <c r="A5083" s="3" t="s">
        <v>5127</v>
      </c>
      <c r="E5083">
        <v>6</v>
      </c>
      <c r="J5083">
        <v>51</v>
      </c>
      <c r="AY5083">
        <f t="shared" si="158"/>
        <v>43</v>
      </c>
      <c r="AZ5083">
        <f t="shared" si="159"/>
        <v>3</v>
      </c>
    </row>
    <row r="5084" spans="1:52" ht="55.2">
      <c r="A5084" s="3" t="s">
        <v>5128</v>
      </c>
      <c r="E5084">
        <v>6</v>
      </c>
      <c r="J5084">
        <v>51</v>
      </c>
      <c r="AY5084">
        <f t="shared" si="158"/>
        <v>43</v>
      </c>
      <c r="AZ5084">
        <f t="shared" si="159"/>
        <v>3</v>
      </c>
    </row>
    <row r="5085" spans="1:52" ht="55.2">
      <c r="A5085" s="3" t="s">
        <v>5129</v>
      </c>
      <c r="E5085">
        <v>6</v>
      </c>
      <c r="J5085">
        <v>51</v>
      </c>
      <c r="AY5085">
        <f t="shared" si="158"/>
        <v>43</v>
      </c>
      <c r="AZ5085">
        <f t="shared" si="159"/>
        <v>3</v>
      </c>
    </row>
    <row r="5086" spans="1:52" ht="55.2">
      <c r="A5086" s="3" t="s">
        <v>5130</v>
      </c>
      <c r="E5086">
        <v>6</v>
      </c>
      <c r="J5086">
        <v>51</v>
      </c>
      <c r="AY5086">
        <f t="shared" si="158"/>
        <v>43</v>
      </c>
      <c r="AZ5086">
        <f t="shared" si="159"/>
        <v>3</v>
      </c>
    </row>
    <row r="5087" spans="1:52" ht="55.2">
      <c r="A5087" s="3" t="s">
        <v>5131</v>
      </c>
      <c r="E5087">
        <v>6</v>
      </c>
      <c r="J5087">
        <v>51</v>
      </c>
      <c r="AY5087">
        <f t="shared" si="158"/>
        <v>43</v>
      </c>
      <c r="AZ5087">
        <f t="shared" si="159"/>
        <v>3</v>
      </c>
    </row>
    <row r="5088" spans="1:52" ht="55.2">
      <c r="A5088" s="3" t="s">
        <v>5132</v>
      </c>
      <c r="E5088">
        <v>6</v>
      </c>
      <c r="J5088">
        <v>51</v>
      </c>
      <c r="AY5088">
        <f t="shared" si="158"/>
        <v>43</v>
      </c>
      <c r="AZ5088">
        <f t="shared" si="159"/>
        <v>3</v>
      </c>
    </row>
    <row r="5089" spans="1:52" ht="55.2">
      <c r="A5089" s="3" t="s">
        <v>5133</v>
      </c>
      <c r="B5089">
        <v>6</v>
      </c>
      <c r="E5089">
        <v>6</v>
      </c>
      <c r="J5089">
        <v>51</v>
      </c>
      <c r="AY5089">
        <f t="shared" ref="AY5089:AY5152" si="160">COUNTBLANK(F5089:AW5089)</f>
        <v>43</v>
      </c>
      <c r="AZ5089">
        <f t="shared" ref="AZ5089:AZ5152" si="161">COUNTBLANK(B5089:E5089)</f>
        <v>2</v>
      </c>
    </row>
    <row r="5090" spans="1:52" ht="55.2">
      <c r="A5090" s="3" t="s">
        <v>5134</v>
      </c>
      <c r="B5090">
        <v>6</v>
      </c>
      <c r="E5090">
        <v>6</v>
      </c>
      <c r="J5090">
        <v>51</v>
      </c>
      <c r="AY5090">
        <f t="shared" si="160"/>
        <v>43</v>
      </c>
      <c r="AZ5090">
        <f t="shared" si="161"/>
        <v>2</v>
      </c>
    </row>
    <row r="5091" spans="1:52" ht="55.2">
      <c r="A5091" s="3" t="s">
        <v>5135</v>
      </c>
      <c r="B5091">
        <v>6</v>
      </c>
      <c r="E5091">
        <v>6</v>
      </c>
      <c r="J5091">
        <v>51</v>
      </c>
      <c r="AY5091">
        <f t="shared" si="160"/>
        <v>43</v>
      </c>
      <c r="AZ5091">
        <f t="shared" si="161"/>
        <v>2</v>
      </c>
    </row>
    <row r="5092" spans="1:52" ht="55.2">
      <c r="A5092" s="3" t="s">
        <v>5136</v>
      </c>
      <c r="B5092">
        <v>6</v>
      </c>
      <c r="E5092">
        <v>6</v>
      </c>
      <c r="J5092">
        <v>51</v>
      </c>
      <c r="AY5092">
        <f t="shared" si="160"/>
        <v>43</v>
      </c>
      <c r="AZ5092">
        <f t="shared" si="161"/>
        <v>2</v>
      </c>
    </row>
    <row r="5093" spans="1:52" ht="55.2">
      <c r="A5093" s="3" t="s">
        <v>5137</v>
      </c>
      <c r="B5093">
        <v>6</v>
      </c>
      <c r="E5093">
        <v>6</v>
      </c>
      <c r="J5093">
        <v>51</v>
      </c>
      <c r="AY5093">
        <f t="shared" si="160"/>
        <v>43</v>
      </c>
      <c r="AZ5093">
        <f t="shared" si="161"/>
        <v>2</v>
      </c>
    </row>
    <row r="5094" spans="1:52" ht="55.2">
      <c r="A5094" s="3" t="s">
        <v>5138</v>
      </c>
      <c r="B5094">
        <v>6</v>
      </c>
      <c r="E5094">
        <v>6</v>
      </c>
      <c r="J5094">
        <v>51</v>
      </c>
      <c r="AY5094">
        <f t="shared" si="160"/>
        <v>43</v>
      </c>
      <c r="AZ5094">
        <f t="shared" si="161"/>
        <v>2</v>
      </c>
    </row>
    <row r="5095" spans="1:52" ht="55.2">
      <c r="A5095" s="3" t="s">
        <v>5139</v>
      </c>
      <c r="B5095">
        <v>6</v>
      </c>
      <c r="E5095">
        <v>6</v>
      </c>
      <c r="J5095">
        <v>51</v>
      </c>
      <c r="AY5095">
        <f t="shared" si="160"/>
        <v>43</v>
      </c>
      <c r="AZ5095">
        <f t="shared" si="161"/>
        <v>2</v>
      </c>
    </row>
    <row r="5096" spans="1:52" ht="55.2">
      <c r="A5096" s="3" t="s">
        <v>5140</v>
      </c>
      <c r="B5096">
        <v>6</v>
      </c>
      <c r="E5096">
        <v>6</v>
      </c>
      <c r="J5096">
        <v>51</v>
      </c>
      <c r="AY5096">
        <f t="shared" si="160"/>
        <v>43</v>
      </c>
      <c r="AZ5096">
        <f t="shared" si="161"/>
        <v>2</v>
      </c>
    </row>
    <row r="5097" spans="1:52" ht="55.2">
      <c r="A5097" s="3" t="s">
        <v>5141</v>
      </c>
      <c r="B5097">
        <v>6</v>
      </c>
      <c r="E5097">
        <v>6</v>
      </c>
      <c r="J5097">
        <v>51</v>
      </c>
      <c r="AY5097">
        <f t="shared" si="160"/>
        <v>43</v>
      </c>
      <c r="AZ5097">
        <f t="shared" si="161"/>
        <v>2</v>
      </c>
    </row>
    <row r="5098" spans="1:52" ht="55.2">
      <c r="A5098" s="3" t="s">
        <v>5142</v>
      </c>
      <c r="B5098">
        <v>6</v>
      </c>
      <c r="E5098">
        <v>6</v>
      </c>
      <c r="J5098">
        <v>51</v>
      </c>
      <c r="AY5098">
        <f t="shared" si="160"/>
        <v>43</v>
      </c>
      <c r="AZ5098">
        <f t="shared" si="161"/>
        <v>2</v>
      </c>
    </row>
    <row r="5099" spans="1:52" ht="55.2">
      <c r="A5099" s="3" t="s">
        <v>5143</v>
      </c>
      <c r="B5099">
        <v>6</v>
      </c>
      <c r="E5099">
        <v>6</v>
      </c>
      <c r="J5099">
        <v>51</v>
      </c>
      <c r="AY5099">
        <f t="shared" si="160"/>
        <v>43</v>
      </c>
      <c r="AZ5099">
        <f t="shared" si="161"/>
        <v>2</v>
      </c>
    </row>
    <row r="5100" spans="1:52" ht="55.2">
      <c r="A5100" s="3" t="s">
        <v>5144</v>
      </c>
      <c r="B5100">
        <v>6</v>
      </c>
      <c r="E5100">
        <v>6</v>
      </c>
      <c r="J5100">
        <v>51</v>
      </c>
      <c r="AY5100">
        <f t="shared" si="160"/>
        <v>43</v>
      </c>
      <c r="AZ5100">
        <f t="shared" si="161"/>
        <v>2</v>
      </c>
    </row>
    <row r="5101" spans="1:52" ht="55.2">
      <c r="A5101" s="3" t="s">
        <v>5145</v>
      </c>
      <c r="B5101">
        <v>6</v>
      </c>
      <c r="J5101">
        <v>51</v>
      </c>
      <c r="AY5101">
        <f t="shared" si="160"/>
        <v>43</v>
      </c>
      <c r="AZ5101">
        <f t="shared" si="161"/>
        <v>3</v>
      </c>
    </row>
    <row r="5102" spans="1:52" ht="55.2">
      <c r="A5102" s="3" t="s">
        <v>5146</v>
      </c>
      <c r="B5102">
        <v>6</v>
      </c>
      <c r="J5102">
        <v>51</v>
      </c>
      <c r="AY5102">
        <f t="shared" si="160"/>
        <v>43</v>
      </c>
      <c r="AZ5102">
        <f t="shared" si="161"/>
        <v>3</v>
      </c>
    </row>
    <row r="5103" spans="1:52" ht="55.2">
      <c r="A5103" s="3" t="s">
        <v>5147</v>
      </c>
      <c r="B5103">
        <v>6</v>
      </c>
      <c r="J5103">
        <v>51</v>
      </c>
      <c r="AY5103">
        <f t="shared" si="160"/>
        <v>43</v>
      </c>
      <c r="AZ5103">
        <f t="shared" si="161"/>
        <v>3</v>
      </c>
    </row>
    <row r="5104" spans="1:52" ht="55.2">
      <c r="A5104" s="3" t="s">
        <v>5148</v>
      </c>
      <c r="B5104">
        <v>6</v>
      </c>
      <c r="AR5104">
        <v>4</v>
      </c>
      <c r="AY5104">
        <f t="shared" si="160"/>
        <v>43</v>
      </c>
      <c r="AZ5104">
        <f t="shared" si="161"/>
        <v>3</v>
      </c>
    </row>
    <row r="5105" spans="1:52" ht="55.2">
      <c r="A5105" s="3" t="s">
        <v>5149</v>
      </c>
      <c r="B5105">
        <v>6</v>
      </c>
      <c r="AR5105">
        <v>4</v>
      </c>
      <c r="AY5105">
        <f t="shared" si="160"/>
        <v>43</v>
      </c>
      <c r="AZ5105">
        <f t="shared" si="161"/>
        <v>3</v>
      </c>
    </row>
    <row r="5106" spans="1:52" ht="55.2">
      <c r="A5106" s="3" t="s">
        <v>5150</v>
      </c>
      <c r="B5106">
        <v>6</v>
      </c>
      <c r="AR5106">
        <v>4</v>
      </c>
      <c r="AY5106">
        <f t="shared" si="160"/>
        <v>43</v>
      </c>
      <c r="AZ5106">
        <f t="shared" si="161"/>
        <v>3</v>
      </c>
    </row>
    <row r="5107" spans="1:52" ht="55.2">
      <c r="A5107" s="3" t="s">
        <v>5151</v>
      </c>
      <c r="B5107">
        <v>6</v>
      </c>
      <c r="AR5107">
        <v>4</v>
      </c>
      <c r="AY5107">
        <f t="shared" si="160"/>
        <v>43</v>
      </c>
      <c r="AZ5107">
        <f t="shared" si="161"/>
        <v>3</v>
      </c>
    </row>
    <row r="5108" spans="1:52" ht="55.2">
      <c r="A5108" s="3" t="s">
        <v>5152</v>
      </c>
      <c r="B5108">
        <v>6</v>
      </c>
      <c r="AR5108">
        <v>4</v>
      </c>
      <c r="AY5108">
        <f t="shared" si="160"/>
        <v>43</v>
      </c>
      <c r="AZ5108">
        <f t="shared" si="161"/>
        <v>3</v>
      </c>
    </row>
    <row r="5109" spans="1:52" ht="55.2">
      <c r="A5109" s="3" t="s">
        <v>5153</v>
      </c>
      <c r="B5109">
        <v>6</v>
      </c>
      <c r="AR5109">
        <v>4</v>
      </c>
      <c r="AY5109">
        <f t="shared" si="160"/>
        <v>43</v>
      </c>
      <c r="AZ5109">
        <f t="shared" si="161"/>
        <v>3</v>
      </c>
    </row>
    <row r="5110" spans="1:52" ht="55.2">
      <c r="A5110" s="3" t="s">
        <v>5154</v>
      </c>
      <c r="B5110">
        <v>6</v>
      </c>
      <c r="AR5110">
        <v>4</v>
      </c>
      <c r="AY5110">
        <f t="shared" si="160"/>
        <v>43</v>
      </c>
      <c r="AZ5110">
        <f t="shared" si="161"/>
        <v>3</v>
      </c>
    </row>
    <row r="5111" spans="1:52" ht="55.2">
      <c r="A5111" s="3" t="s">
        <v>5155</v>
      </c>
      <c r="B5111">
        <v>6</v>
      </c>
      <c r="AR5111">
        <v>4</v>
      </c>
      <c r="AY5111">
        <f t="shared" si="160"/>
        <v>43</v>
      </c>
      <c r="AZ5111">
        <f t="shared" si="161"/>
        <v>3</v>
      </c>
    </row>
    <row r="5112" spans="1:52" ht="55.2">
      <c r="A5112" s="3" t="s">
        <v>5156</v>
      </c>
      <c r="B5112">
        <v>6</v>
      </c>
      <c r="AR5112">
        <v>4</v>
      </c>
      <c r="AY5112">
        <f t="shared" si="160"/>
        <v>43</v>
      </c>
      <c r="AZ5112">
        <f t="shared" si="161"/>
        <v>3</v>
      </c>
    </row>
    <row r="5113" spans="1:52" ht="55.2">
      <c r="A5113" s="3" t="s">
        <v>5157</v>
      </c>
      <c r="B5113">
        <v>6</v>
      </c>
      <c r="AR5113">
        <v>4</v>
      </c>
      <c r="AY5113">
        <f t="shared" si="160"/>
        <v>43</v>
      </c>
      <c r="AZ5113">
        <f t="shared" si="161"/>
        <v>3</v>
      </c>
    </row>
    <row r="5114" spans="1:52" ht="55.2">
      <c r="A5114" s="3" t="s">
        <v>5158</v>
      </c>
      <c r="B5114">
        <v>6</v>
      </c>
      <c r="AR5114">
        <v>4</v>
      </c>
      <c r="AY5114">
        <f t="shared" si="160"/>
        <v>43</v>
      </c>
      <c r="AZ5114">
        <f t="shared" si="161"/>
        <v>3</v>
      </c>
    </row>
    <row r="5115" spans="1:52" ht="55.2">
      <c r="A5115" s="3" t="s">
        <v>5159</v>
      </c>
      <c r="B5115">
        <v>6</v>
      </c>
      <c r="AR5115">
        <v>4</v>
      </c>
      <c r="AY5115">
        <f t="shared" si="160"/>
        <v>43</v>
      </c>
      <c r="AZ5115">
        <f t="shared" si="161"/>
        <v>3</v>
      </c>
    </row>
    <row r="5116" spans="1:52" ht="55.2">
      <c r="A5116" s="3" t="s">
        <v>5160</v>
      </c>
      <c r="B5116">
        <v>6</v>
      </c>
      <c r="AR5116">
        <v>4</v>
      </c>
      <c r="AY5116">
        <f t="shared" si="160"/>
        <v>43</v>
      </c>
      <c r="AZ5116">
        <f t="shared" si="161"/>
        <v>3</v>
      </c>
    </row>
    <row r="5117" spans="1:52" ht="55.2">
      <c r="A5117" s="3" t="s">
        <v>5161</v>
      </c>
      <c r="B5117">
        <v>6</v>
      </c>
      <c r="AR5117">
        <v>4</v>
      </c>
      <c r="AY5117">
        <f t="shared" si="160"/>
        <v>43</v>
      </c>
      <c r="AZ5117">
        <f t="shared" si="161"/>
        <v>3</v>
      </c>
    </row>
    <row r="5118" spans="1:52" ht="55.2">
      <c r="A5118" s="3" t="s">
        <v>5162</v>
      </c>
      <c r="B5118">
        <v>6</v>
      </c>
      <c r="AR5118">
        <v>4</v>
      </c>
      <c r="AY5118">
        <f t="shared" si="160"/>
        <v>43</v>
      </c>
      <c r="AZ5118">
        <f t="shared" si="161"/>
        <v>3</v>
      </c>
    </row>
    <row r="5119" spans="1:52" ht="55.2">
      <c r="A5119" s="3" t="s">
        <v>5163</v>
      </c>
      <c r="B5119">
        <v>6</v>
      </c>
      <c r="AR5119">
        <v>4</v>
      </c>
      <c r="AY5119">
        <f t="shared" si="160"/>
        <v>43</v>
      </c>
      <c r="AZ5119">
        <f t="shared" si="161"/>
        <v>3</v>
      </c>
    </row>
    <row r="5120" spans="1:52" ht="55.2">
      <c r="A5120" s="3" t="s">
        <v>5164</v>
      </c>
      <c r="B5120">
        <v>6</v>
      </c>
      <c r="AR5120">
        <v>4</v>
      </c>
      <c r="AY5120">
        <f t="shared" si="160"/>
        <v>43</v>
      </c>
      <c r="AZ5120">
        <f t="shared" si="161"/>
        <v>3</v>
      </c>
    </row>
    <row r="5121" spans="1:52" ht="55.2">
      <c r="A5121" s="3" t="s">
        <v>5165</v>
      </c>
      <c r="B5121">
        <v>6</v>
      </c>
      <c r="AR5121">
        <v>4</v>
      </c>
      <c r="AY5121">
        <f t="shared" si="160"/>
        <v>43</v>
      </c>
      <c r="AZ5121">
        <f t="shared" si="161"/>
        <v>3</v>
      </c>
    </row>
    <row r="5122" spans="1:52" ht="55.2">
      <c r="A5122" s="3" t="s">
        <v>5166</v>
      </c>
      <c r="B5122">
        <v>6</v>
      </c>
      <c r="AR5122">
        <v>4</v>
      </c>
      <c r="AY5122">
        <f t="shared" si="160"/>
        <v>43</v>
      </c>
      <c r="AZ5122">
        <f t="shared" si="161"/>
        <v>3</v>
      </c>
    </row>
    <row r="5123" spans="1:52" ht="55.2">
      <c r="A5123" s="3" t="s">
        <v>5167</v>
      </c>
      <c r="B5123">
        <v>6</v>
      </c>
      <c r="AR5123">
        <v>4</v>
      </c>
      <c r="AY5123">
        <f t="shared" si="160"/>
        <v>43</v>
      </c>
      <c r="AZ5123">
        <f t="shared" si="161"/>
        <v>3</v>
      </c>
    </row>
    <row r="5124" spans="1:52" ht="55.2">
      <c r="A5124" s="3" t="s">
        <v>5168</v>
      </c>
      <c r="B5124">
        <v>6</v>
      </c>
      <c r="AR5124">
        <v>4</v>
      </c>
      <c r="AY5124">
        <f t="shared" si="160"/>
        <v>43</v>
      </c>
      <c r="AZ5124">
        <f t="shared" si="161"/>
        <v>3</v>
      </c>
    </row>
    <row r="5125" spans="1:52" ht="55.2">
      <c r="A5125" s="3" t="s">
        <v>5169</v>
      </c>
      <c r="B5125">
        <v>6</v>
      </c>
      <c r="AR5125">
        <v>4</v>
      </c>
      <c r="AY5125">
        <f t="shared" si="160"/>
        <v>43</v>
      </c>
      <c r="AZ5125">
        <f t="shared" si="161"/>
        <v>3</v>
      </c>
    </row>
    <row r="5126" spans="1:52" ht="55.2">
      <c r="A5126" s="3" t="s">
        <v>5170</v>
      </c>
      <c r="B5126">
        <v>6</v>
      </c>
      <c r="AR5126">
        <v>4</v>
      </c>
      <c r="AY5126">
        <f t="shared" si="160"/>
        <v>43</v>
      </c>
      <c r="AZ5126">
        <f t="shared" si="161"/>
        <v>3</v>
      </c>
    </row>
    <row r="5127" spans="1:52" ht="55.2">
      <c r="A5127" s="3" t="s">
        <v>5171</v>
      </c>
      <c r="B5127">
        <v>6</v>
      </c>
      <c r="AR5127">
        <v>4</v>
      </c>
      <c r="AY5127">
        <f t="shared" si="160"/>
        <v>43</v>
      </c>
      <c r="AZ5127">
        <f t="shared" si="161"/>
        <v>3</v>
      </c>
    </row>
    <row r="5128" spans="1:52" ht="55.2">
      <c r="A5128" s="3" t="s">
        <v>5172</v>
      </c>
      <c r="B5128">
        <v>6</v>
      </c>
      <c r="AR5128">
        <v>4</v>
      </c>
      <c r="AY5128">
        <f t="shared" si="160"/>
        <v>43</v>
      </c>
      <c r="AZ5128">
        <f t="shared" si="161"/>
        <v>3</v>
      </c>
    </row>
    <row r="5129" spans="1:52" ht="55.2">
      <c r="A5129" s="3" t="s">
        <v>5173</v>
      </c>
      <c r="B5129">
        <v>6</v>
      </c>
      <c r="AR5129">
        <v>4</v>
      </c>
      <c r="AY5129">
        <f t="shared" si="160"/>
        <v>43</v>
      </c>
      <c r="AZ5129">
        <f t="shared" si="161"/>
        <v>3</v>
      </c>
    </row>
    <row r="5130" spans="1:52" ht="55.2">
      <c r="A5130" s="3" t="s">
        <v>5174</v>
      </c>
      <c r="B5130">
        <v>6</v>
      </c>
      <c r="AR5130">
        <v>4</v>
      </c>
      <c r="AY5130">
        <f t="shared" si="160"/>
        <v>43</v>
      </c>
      <c r="AZ5130">
        <f t="shared" si="161"/>
        <v>3</v>
      </c>
    </row>
    <row r="5131" spans="1:52" ht="55.2">
      <c r="A5131" s="3" t="s">
        <v>5175</v>
      </c>
      <c r="B5131">
        <v>6</v>
      </c>
      <c r="AR5131">
        <v>4</v>
      </c>
      <c r="AY5131">
        <f t="shared" si="160"/>
        <v>43</v>
      </c>
      <c r="AZ5131">
        <f t="shared" si="161"/>
        <v>3</v>
      </c>
    </row>
    <row r="5132" spans="1:52" ht="55.2">
      <c r="A5132" s="3" t="s">
        <v>5176</v>
      </c>
      <c r="B5132">
        <v>6</v>
      </c>
      <c r="AR5132">
        <v>4</v>
      </c>
      <c r="AY5132">
        <f t="shared" si="160"/>
        <v>43</v>
      </c>
      <c r="AZ5132">
        <f t="shared" si="161"/>
        <v>3</v>
      </c>
    </row>
    <row r="5133" spans="1:52" ht="55.2">
      <c r="A5133" s="3" t="s">
        <v>5177</v>
      </c>
      <c r="B5133">
        <v>6</v>
      </c>
      <c r="AR5133">
        <v>4</v>
      </c>
      <c r="AY5133">
        <f t="shared" si="160"/>
        <v>43</v>
      </c>
      <c r="AZ5133">
        <f t="shared" si="161"/>
        <v>3</v>
      </c>
    </row>
    <row r="5134" spans="1:52" ht="55.2">
      <c r="A5134" s="3" t="s">
        <v>5178</v>
      </c>
      <c r="B5134">
        <v>6</v>
      </c>
      <c r="AR5134">
        <v>4</v>
      </c>
      <c r="AY5134">
        <f t="shared" si="160"/>
        <v>43</v>
      </c>
      <c r="AZ5134">
        <f t="shared" si="161"/>
        <v>3</v>
      </c>
    </row>
    <row r="5135" spans="1:52" ht="55.2">
      <c r="A5135" s="3" t="s">
        <v>5179</v>
      </c>
      <c r="B5135">
        <v>6</v>
      </c>
      <c r="AR5135">
        <v>4</v>
      </c>
      <c r="AY5135">
        <f t="shared" si="160"/>
        <v>43</v>
      </c>
      <c r="AZ5135">
        <f t="shared" si="161"/>
        <v>3</v>
      </c>
    </row>
    <row r="5136" spans="1:52" ht="55.2">
      <c r="A5136" s="3" t="s">
        <v>5180</v>
      </c>
      <c r="B5136">
        <v>6</v>
      </c>
      <c r="AR5136">
        <v>4</v>
      </c>
      <c r="AY5136">
        <f t="shared" si="160"/>
        <v>43</v>
      </c>
      <c r="AZ5136">
        <f t="shared" si="161"/>
        <v>3</v>
      </c>
    </row>
    <row r="5137" spans="1:52" ht="55.2">
      <c r="A5137" s="3" t="s">
        <v>5181</v>
      </c>
      <c r="B5137">
        <v>6</v>
      </c>
      <c r="AR5137">
        <v>4</v>
      </c>
      <c r="AY5137">
        <f t="shared" si="160"/>
        <v>43</v>
      </c>
      <c r="AZ5137">
        <f t="shared" si="161"/>
        <v>3</v>
      </c>
    </row>
    <row r="5138" spans="1:52" ht="55.2">
      <c r="A5138" s="3" t="s">
        <v>5182</v>
      </c>
      <c r="B5138">
        <v>6</v>
      </c>
      <c r="AR5138">
        <v>4</v>
      </c>
      <c r="AY5138">
        <f t="shared" si="160"/>
        <v>43</v>
      </c>
      <c r="AZ5138">
        <f t="shared" si="161"/>
        <v>3</v>
      </c>
    </row>
    <row r="5139" spans="1:52" ht="55.2">
      <c r="A5139" s="3" t="s">
        <v>5183</v>
      </c>
      <c r="B5139">
        <v>6</v>
      </c>
      <c r="AR5139">
        <v>4</v>
      </c>
      <c r="AY5139">
        <f t="shared" si="160"/>
        <v>43</v>
      </c>
      <c r="AZ5139">
        <f t="shared" si="161"/>
        <v>3</v>
      </c>
    </row>
    <row r="5140" spans="1:52" ht="55.2">
      <c r="A5140" s="3" t="s">
        <v>5184</v>
      </c>
      <c r="B5140">
        <v>6</v>
      </c>
      <c r="AR5140">
        <v>4</v>
      </c>
      <c r="AY5140">
        <f t="shared" si="160"/>
        <v>43</v>
      </c>
      <c r="AZ5140">
        <f t="shared" si="161"/>
        <v>3</v>
      </c>
    </row>
    <row r="5141" spans="1:52" ht="55.2">
      <c r="A5141" s="3" t="s">
        <v>5185</v>
      </c>
      <c r="B5141">
        <v>6</v>
      </c>
      <c r="AR5141">
        <v>4</v>
      </c>
      <c r="AY5141">
        <f t="shared" si="160"/>
        <v>43</v>
      </c>
      <c r="AZ5141">
        <f t="shared" si="161"/>
        <v>3</v>
      </c>
    </row>
    <row r="5142" spans="1:52" ht="55.2">
      <c r="A5142" s="3" t="s">
        <v>5186</v>
      </c>
      <c r="B5142">
        <v>6</v>
      </c>
      <c r="AR5142">
        <v>4</v>
      </c>
      <c r="AY5142">
        <f t="shared" si="160"/>
        <v>43</v>
      </c>
      <c r="AZ5142">
        <f t="shared" si="161"/>
        <v>3</v>
      </c>
    </row>
    <row r="5143" spans="1:52" ht="55.2">
      <c r="A5143" s="3" t="s">
        <v>5187</v>
      </c>
      <c r="B5143">
        <v>6</v>
      </c>
      <c r="AW5143">
        <v>14</v>
      </c>
      <c r="AY5143">
        <f t="shared" si="160"/>
        <v>43</v>
      </c>
      <c r="AZ5143">
        <f t="shared" si="161"/>
        <v>3</v>
      </c>
    </row>
    <row r="5144" spans="1:52" ht="55.2">
      <c r="A5144" s="3" t="s">
        <v>5188</v>
      </c>
      <c r="B5144">
        <v>6</v>
      </c>
      <c r="J5144">
        <v>52</v>
      </c>
      <c r="AY5144">
        <f t="shared" si="160"/>
        <v>43</v>
      </c>
      <c r="AZ5144">
        <f t="shared" si="161"/>
        <v>3</v>
      </c>
    </row>
    <row r="5145" spans="1:52" ht="55.2">
      <c r="A5145" s="3" t="s">
        <v>5189</v>
      </c>
      <c r="B5145">
        <v>6</v>
      </c>
      <c r="J5145">
        <v>52</v>
      </c>
      <c r="AY5145">
        <f t="shared" si="160"/>
        <v>43</v>
      </c>
      <c r="AZ5145">
        <f t="shared" si="161"/>
        <v>3</v>
      </c>
    </row>
    <row r="5146" spans="1:52" ht="55.2">
      <c r="A5146" s="3" t="s">
        <v>5190</v>
      </c>
      <c r="B5146">
        <v>6</v>
      </c>
      <c r="J5146">
        <v>52</v>
      </c>
      <c r="AY5146">
        <f t="shared" si="160"/>
        <v>43</v>
      </c>
      <c r="AZ5146">
        <f t="shared" si="161"/>
        <v>3</v>
      </c>
    </row>
    <row r="5147" spans="1:52" ht="55.2">
      <c r="A5147" s="3" t="s">
        <v>5191</v>
      </c>
      <c r="B5147">
        <v>6</v>
      </c>
      <c r="J5147">
        <v>52</v>
      </c>
      <c r="AY5147">
        <f t="shared" si="160"/>
        <v>43</v>
      </c>
      <c r="AZ5147">
        <f t="shared" si="161"/>
        <v>3</v>
      </c>
    </row>
    <row r="5148" spans="1:52" ht="55.2">
      <c r="A5148" s="3" t="s">
        <v>5192</v>
      </c>
      <c r="B5148">
        <v>6</v>
      </c>
      <c r="J5148">
        <v>52</v>
      </c>
      <c r="AY5148">
        <f t="shared" si="160"/>
        <v>43</v>
      </c>
      <c r="AZ5148">
        <f t="shared" si="161"/>
        <v>3</v>
      </c>
    </row>
    <row r="5149" spans="1:52" ht="55.2">
      <c r="A5149" s="3" t="s">
        <v>5193</v>
      </c>
      <c r="B5149">
        <v>6</v>
      </c>
      <c r="J5149">
        <v>52</v>
      </c>
      <c r="AY5149">
        <f t="shared" si="160"/>
        <v>43</v>
      </c>
      <c r="AZ5149">
        <f t="shared" si="161"/>
        <v>3</v>
      </c>
    </row>
    <row r="5150" spans="1:52" ht="55.2">
      <c r="A5150" s="3" t="s">
        <v>5194</v>
      </c>
      <c r="B5150">
        <v>6</v>
      </c>
      <c r="J5150">
        <v>52</v>
      </c>
      <c r="AY5150">
        <f t="shared" si="160"/>
        <v>43</v>
      </c>
      <c r="AZ5150">
        <f t="shared" si="161"/>
        <v>3</v>
      </c>
    </row>
    <row r="5151" spans="1:52" ht="55.2">
      <c r="A5151" s="3" t="s">
        <v>5195</v>
      </c>
      <c r="B5151">
        <v>6</v>
      </c>
      <c r="J5151">
        <v>52</v>
      </c>
      <c r="AY5151">
        <f t="shared" si="160"/>
        <v>43</v>
      </c>
      <c r="AZ5151">
        <f t="shared" si="161"/>
        <v>3</v>
      </c>
    </row>
    <row r="5152" spans="1:52" ht="55.2">
      <c r="A5152" s="3" t="s">
        <v>5196</v>
      </c>
      <c r="B5152">
        <v>6</v>
      </c>
      <c r="J5152">
        <v>52</v>
      </c>
      <c r="AY5152">
        <f t="shared" si="160"/>
        <v>43</v>
      </c>
      <c r="AZ5152">
        <f t="shared" si="161"/>
        <v>3</v>
      </c>
    </row>
    <row r="5153" spans="1:52" ht="55.2">
      <c r="A5153" s="3" t="s">
        <v>5197</v>
      </c>
      <c r="B5153">
        <v>6</v>
      </c>
      <c r="J5153">
        <v>52</v>
      </c>
      <c r="AY5153">
        <f t="shared" ref="AY5153:AY5216" si="162">COUNTBLANK(F5153:AW5153)</f>
        <v>43</v>
      </c>
      <c r="AZ5153">
        <f t="shared" ref="AZ5153:AZ5216" si="163">COUNTBLANK(B5153:E5153)</f>
        <v>3</v>
      </c>
    </row>
    <row r="5154" spans="1:52" ht="55.2">
      <c r="A5154" s="3" t="s">
        <v>5198</v>
      </c>
      <c r="B5154">
        <v>6</v>
      </c>
      <c r="J5154">
        <v>52</v>
      </c>
      <c r="AY5154">
        <f t="shared" si="162"/>
        <v>43</v>
      </c>
      <c r="AZ5154">
        <f t="shared" si="163"/>
        <v>3</v>
      </c>
    </row>
    <row r="5155" spans="1:52" ht="55.2">
      <c r="A5155" s="3" t="s">
        <v>5199</v>
      </c>
      <c r="B5155">
        <v>6</v>
      </c>
      <c r="J5155">
        <v>52</v>
      </c>
      <c r="AY5155">
        <f t="shared" si="162"/>
        <v>43</v>
      </c>
      <c r="AZ5155">
        <f t="shared" si="163"/>
        <v>3</v>
      </c>
    </row>
    <row r="5156" spans="1:52" ht="55.2">
      <c r="A5156" s="3" t="s">
        <v>5200</v>
      </c>
      <c r="B5156">
        <v>6</v>
      </c>
      <c r="J5156">
        <v>52</v>
      </c>
      <c r="AY5156">
        <f t="shared" si="162"/>
        <v>43</v>
      </c>
      <c r="AZ5156">
        <f t="shared" si="163"/>
        <v>3</v>
      </c>
    </row>
    <row r="5157" spans="1:52" ht="55.2">
      <c r="A5157" s="3" t="s">
        <v>5201</v>
      </c>
      <c r="B5157">
        <v>6</v>
      </c>
      <c r="J5157">
        <v>52</v>
      </c>
      <c r="AY5157">
        <f t="shared" si="162"/>
        <v>43</v>
      </c>
      <c r="AZ5157">
        <f t="shared" si="163"/>
        <v>3</v>
      </c>
    </row>
    <row r="5158" spans="1:52" ht="55.2">
      <c r="A5158" s="3" t="s">
        <v>5202</v>
      </c>
      <c r="B5158">
        <v>6</v>
      </c>
      <c r="J5158">
        <v>52</v>
      </c>
      <c r="AY5158">
        <f t="shared" si="162"/>
        <v>43</v>
      </c>
      <c r="AZ5158">
        <f t="shared" si="163"/>
        <v>3</v>
      </c>
    </row>
    <row r="5159" spans="1:52" ht="55.2">
      <c r="A5159" s="3" t="s">
        <v>5203</v>
      </c>
      <c r="B5159">
        <v>6</v>
      </c>
      <c r="J5159">
        <v>52</v>
      </c>
      <c r="AY5159">
        <f t="shared" si="162"/>
        <v>43</v>
      </c>
      <c r="AZ5159">
        <f t="shared" si="163"/>
        <v>3</v>
      </c>
    </row>
    <row r="5160" spans="1:52" ht="55.2">
      <c r="A5160" s="3" t="s">
        <v>5204</v>
      </c>
      <c r="B5160">
        <v>6</v>
      </c>
      <c r="J5160">
        <v>52</v>
      </c>
      <c r="AY5160">
        <f t="shared" si="162"/>
        <v>43</v>
      </c>
      <c r="AZ5160">
        <f t="shared" si="163"/>
        <v>3</v>
      </c>
    </row>
    <row r="5161" spans="1:52" ht="55.2">
      <c r="A5161" s="3" t="s">
        <v>5205</v>
      </c>
      <c r="B5161">
        <v>6</v>
      </c>
      <c r="J5161">
        <v>52</v>
      </c>
      <c r="AY5161">
        <f t="shared" si="162"/>
        <v>43</v>
      </c>
      <c r="AZ5161">
        <f t="shared" si="163"/>
        <v>3</v>
      </c>
    </row>
    <row r="5162" spans="1:52" ht="55.2">
      <c r="A5162" s="3" t="s">
        <v>5206</v>
      </c>
      <c r="B5162">
        <v>6</v>
      </c>
      <c r="J5162">
        <v>52</v>
      </c>
      <c r="AY5162">
        <f t="shared" si="162"/>
        <v>43</v>
      </c>
      <c r="AZ5162">
        <f t="shared" si="163"/>
        <v>3</v>
      </c>
    </row>
    <row r="5163" spans="1:52" ht="55.2">
      <c r="A5163" s="3" t="s">
        <v>5207</v>
      </c>
      <c r="B5163">
        <v>6</v>
      </c>
      <c r="J5163">
        <v>52</v>
      </c>
      <c r="AY5163">
        <f t="shared" si="162"/>
        <v>43</v>
      </c>
      <c r="AZ5163">
        <f t="shared" si="163"/>
        <v>3</v>
      </c>
    </row>
    <row r="5164" spans="1:52" ht="55.2">
      <c r="A5164" s="3" t="s">
        <v>5208</v>
      </c>
      <c r="B5164">
        <v>6</v>
      </c>
      <c r="J5164">
        <v>52</v>
      </c>
      <c r="AY5164">
        <f t="shared" si="162"/>
        <v>43</v>
      </c>
      <c r="AZ5164">
        <f t="shared" si="163"/>
        <v>3</v>
      </c>
    </row>
    <row r="5165" spans="1:52" ht="55.2">
      <c r="A5165" s="3" t="s">
        <v>5209</v>
      </c>
      <c r="B5165">
        <v>6</v>
      </c>
      <c r="J5165">
        <v>52</v>
      </c>
      <c r="AY5165">
        <f t="shared" si="162"/>
        <v>43</v>
      </c>
      <c r="AZ5165">
        <f t="shared" si="163"/>
        <v>3</v>
      </c>
    </row>
    <row r="5166" spans="1:52" ht="55.2">
      <c r="A5166" s="3" t="s">
        <v>5210</v>
      </c>
      <c r="B5166">
        <v>6</v>
      </c>
      <c r="J5166">
        <v>52</v>
      </c>
      <c r="AY5166">
        <f t="shared" si="162"/>
        <v>43</v>
      </c>
      <c r="AZ5166">
        <f t="shared" si="163"/>
        <v>3</v>
      </c>
    </row>
    <row r="5167" spans="1:52" ht="55.2">
      <c r="A5167" s="3" t="s">
        <v>5211</v>
      </c>
      <c r="B5167">
        <v>6</v>
      </c>
      <c r="J5167">
        <v>52</v>
      </c>
      <c r="AY5167">
        <f t="shared" si="162"/>
        <v>43</v>
      </c>
      <c r="AZ5167">
        <f t="shared" si="163"/>
        <v>3</v>
      </c>
    </row>
    <row r="5168" spans="1:52" ht="55.2">
      <c r="A5168" s="3" t="s">
        <v>5212</v>
      </c>
      <c r="B5168">
        <v>6</v>
      </c>
      <c r="J5168">
        <v>52</v>
      </c>
      <c r="AY5168">
        <f t="shared" si="162"/>
        <v>43</v>
      </c>
      <c r="AZ5168">
        <f t="shared" si="163"/>
        <v>3</v>
      </c>
    </row>
    <row r="5169" spans="1:52" ht="55.2">
      <c r="A5169" s="3" t="s">
        <v>5213</v>
      </c>
      <c r="B5169">
        <v>6</v>
      </c>
      <c r="J5169">
        <v>52</v>
      </c>
      <c r="AY5169">
        <f t="shared" si="162"/>
        <v>43</v>
      </c>
      <c r="AZ5169">
        <f t="shared" si="163"/>
        <v>3</v>
      </c>
    </row>
    <row r="5170" spans="1:52" ht="55.2">
      <c r="A5170" s="3" t="s">
        <v>5214</v>
      </c>
      <c r="B5170">
        <v>6</v>
      </c>
      <c r="J5170">
        <v>52</v>
      </c>
      <c r="AY5170">
        <f t="shared" si="162"/>
        <v>43</v>
      </c>
      <c r="AZ5170">
        <f t="shared" si="163"/>
        <v>3</v>
      </c>
    </row>
    <row r="5171" spans="1:52" ht="55.2">
      <c r="A5171" s="3" t="s">
        <v>5215</v>
      </c>
      <c r="B5171">
        <v>6</v>
      </c>
      <c r="J5171">
        <v>52</v>
      </c>
      <c r="AY5171">
        <f t="shared" si="162"/>
        <v>43</v>
      </c>
      <c r="AZ5171">
        <f t="shared" si="163"/>
        <v>3</v>
      </c>
    </row>
    <row r="5172" spans="1:52" ht="55.2">
      <c r="A5172" s="3" t="s">
        <v>5216</v>
      </c>
      <c r="B5172">
        <v>6</v>
      </c>
      <c r="J5172">
        <v>52</v>
      </c>
      <c r="AY5172">
        <f t="shared" si="162"/>
        <v>43</v>
      </c>
      <c r="AZ5172">
        <f t="shared" si="163"/>
        <v>3</v>
      </c>
    </row>
    <row r="5173" spans="1:52" ht="55.2">
      <c r="A5173" s="3" t="s">
        <v>5217</v>
      </c>
      <c r="B5173">
        <v>6</v>
      </c>
      <c r="J5173">
        <v>52</v>
      </c>
      <c r="AY5173">
        <f t="shared" si="162"/>
        <v>43</v>
      </c>
      <c r="AZ5173">
        <f t="shared" si="163"/>
        <v>3</v>
      </c>
    </row>
    <row r="5174" spans="1:52" ht="55.2">
      <c r="A5174" s="3" t="s">
        <v>5218</v>
      </c>
      <c r="B5174">
        <v>6</v>
      </c>
      <c r="J5174">
        <v>52</v>
      </c>
      <c r="AY5174">
        <f t="shared" si="162"/>
        <v>43</v>
      </c>
      <c r="AZ5174">
        <f t="shared" si="163"/>
        <v>3</v>
      </c>
    </row>
    <row r="5175" spans="1:52" ht="55.2">
      <c r="A5175" s="3" t="s">
        <v>5219</v>
      </c>
      <c r="B5175">
        <v>6</v>
      </c>
      <c r="J5175">
        <v>52</v>
      </c>
      <c r="AY5175">
        <f t="shared" si="162"/>
        <v>43</v>
      </c>
      <c r="AZ5175">
        <f t="shared" si="163"/>
        <v>3</v>
      </c>
    </row>
    <row r="5176" spans="1:52" ht="55.2">
      <c r="A5176" s="3" t="s">
        <v>5220</v>
      </c>
      <c r="B5176">
        <v>6</v>
      </c>
      <c r="J5176">
        <v>52</v>
      </c>
      <c r="AY5176">
        <f t="shared" si="162"/>
        <v>43</v>
      </c>
      <c r="AZ5176">
        <f t="shared" si="163"/>
        <v>3</v>
      </c>
    </row>
    <row r="5177" spans="1:52" ht="55.2">
      <c r="A5177" s="3" t="s">
        <v>5221</v>
      </c>
      <c r="B5177">
        <v>6</v>
      </c>
      <c r="J5177">
        <v>52</v>
      </c>
      <c r="AY5177">
        <f t="shared" si="162"/>
        <v>43</v>
      </c>
      <c r="AZ5177">
        <f t="shared" si="163"/>
        <v>3</v>
      </c>
    </row>
    <row r="5178" spans="1:52" ht="55.2">
      <c r="A5178" s="3" t="s">
        <v>5222</v>
      </c>
      <c r="B5178">
        <v>6</v>
      </c>
      <c r="K5178">
        <v>14</v>
      </c>
      <c r="AY5178">
        <f t="shared" si="162"/>
        <v>43</v>
      </c>
      <c r="AZ5178">
        <f t="shared" si="163"/>
        <v>3</v>
      </c>
    </row>
    <row r="5179" spans="1:52" ht="55.2">
      <c r="A5179" s="3" t="s">
        <v>5223</v>
      </c>
      <c r="B5179">
        <v>6</v>
      </c>
      <c r="K5179">
        <v>14</v>
      </c>
      <c r="AY5179">
        <f t="shared" si="162"/>
        <v>43</v>
      </c>
      <c r="AZ5179">
        <f t="shared" si="163"/>
        <v>3</v>
      </c>
    </row>
    <row r="5180" spans="1:52" ht="55.2">
      <c r="A5180" s="3" t="s">
        <v>5224</v>
      </c>
      <c r="B5180">
        <v>6</v>
      </c>
      <c r="K5180">
        <v>14</v>
      </c>
      <c r="AY5180">
        <f t="shared" si="162"/>
        <v>43</v>
      </c>
      <c r="AZ5180">
        <f t="shared" si="163"/>
        <v>3</v>
      </c>
    </row>
    <row r="5181" spans="1:52" ht="55.2">
      <c r="A5181" s="3" t="s">
        <v>5225</v>
      </c>
      <c r="B5181">
        <v>6</v>
      </c>
      <c r="K5181">
        <v>14</v>
      </c>
      <c r="AY5181">
        <f t="shared" si="162"/>
        <v>43</v>
      </c>
      <c r="AZ5181">
        <f t="shared" si="163"/>
        <v>3</v>
      </c>
    </row>
    <row r="5182" spans="1:52" ht="55.2">
      <c r="A5182" s="3" t="s">
        <v>5226</v>
      </c>
      <c r="B5182">
        <v>6</v>
      </c>
      <c r="K5182">
        <v>14</v>
      </c>
      <c r="AY5182">
        <f t="shared" si="162"/>
        <v>43</v>
      </c>
      <c r="AZ5182">
        <f t="shared" si="163"/>
        <v>3</v>
      </c>
    </row>
    <row r="5183" spans="1:52" ht="55.2">
      <c r="A5183" s="3" t="s">
        <v>5227</v>
      </c>
      <c r="B5183">
        <v>6</v>
      </c>
      <c r="K5183">
        <v>14</v>
      </c>
      <c r="AY5183">
        <f t="shared" si="162"/>
        <v>43</v>
      </c>
      <c r="AZ5183">
        <f t="shared" si="163"/>
        <v>3</v>
      </c>
    </row>
    <row r="5184" spans="1:52" ht="55.2">
      <c r="A5184" s="3" t="s">
        <v>5228</v>
      </c>
      <c r="B5184">
        <v>6</v>
      </c>
      <c r="K5184">
        <v>14</v>
      </c>
      <c r="AY5184">
        <f t="shared" si="162"/>
        <v>43</v>
      </c>
      <c r="AZ5184">
        <f t="shared" si="163"/>
        <v>3</v>
      </c>
    </row>
    <row r="5185" spans="1:52" ht="55.2">
      <c r="A5185" s="3" t="s">
        <v>5229</v>
      </c>
      <c r="B5185">
        <v>6</v>
      </c>
      <c r="K5185">
        <v>14</v>
      </c>
      <c r="AY5185">
        <f t="shared" si="162"/>
        <v>43</v>
      </c>
      <c r="AZ5185">
        <f t="shared" si="163"/>
        <v>3</v>
      </c>
    </row>
    <row r="5186" spans="1:52" ht="55.2">
      <c r="A5186" s="3" t="s">
        <v>5230</v>
      </c>
      <c r="B5186">
        <v>6</v>
      </c>
      <c r="K5186">
        <v>14</v>
      </c>
      <c r="AY5186">
        <f t="shared" si="162"/>
        <v>43</v>
      </c>
      <c r="AZ5186">
        <f t="shared" si="163"/>
        <v>3</v>
      </c>
    </row>
    <row r="5187" spans="1:52" ht="55.2">
      <c r="A5187" s="3" t="s">
        <v>5231</v>
      </c>
      <c r="B5187">
        <v>6</v>
      </c>
      <c r="K5187">
        <v>14</v>
      </c>
      <c r="AY5187">
        <f t="shared" si="162"/>
        <v>43</v>
      </c>
      <c r="AZ5187">
        <f t="shared" si="163"/>
        <v>3</v>
      </c>
    </row>
    <row r="5188" spans="1:52" ht="55.2">
      <c r="A5188" s="3" t="s">
        <v>5232</v>
      </c>
      <c r="B5188">
        <v>6</v>
      </c>
      <c r="K5188">
        <v>14</v>
      </c>
      <c r="AY5188">
        <f t="shared" si="162"/>
        <v>43</v>
      </c>
      <c r="AZ5188">
        <f t="shared" si="163"/>
        <v>3</v>
      </c>
    </row>
    <row r="5189" spans="1:52" ht="55.2">
      <c r="A5189" s="3" t="s">
        <v>5233</v>
      </c>
      <c r="B5189">
        <v>6</v>
      </c>
      <c r="K5189">
        <v>14</v>
      </c>
      <c r="AY5189">
        <f t="shared" si="162"/>
        <v>43</v>
      </c>
      <c r="AZ5189">
        <f t="shared" si="163"/>
        <v>3</v>
      </c>
    </row>
    <row r="5190" spans="1:52" ht="55.2">
      <c r="A5190" s="3" t="s">
        <v>5234</v>
      </c>
      <c r="B5190">
        <v>6</v>
      </c>
      <c r="K5190">
        <v>14</v>
      </c>
      <c r="AY5190">
        <f t="shared" si="162"/>
        <v>43</v>
      </c>
      <c r="AZ5190">
        <f t="shared" si="163"/>
        <v>3</v>
      </c>
    </row>
    <row r="5191" spans="1:52" ht="55.2">
      <c r="A5191" s="3" t="s">
        <v>5235</v>
      </c>
      <c r="B5191">
        <v>6</v>
      </c>
      <c r="K5191">
        <v>14</v>
      </c>
      <c r="AY5191">
        <f t="shared" si="162"/>
        <v>43</v>
      </c>
      <c r="AZ5191">
        <f t="shared" si="163"/>
        <v>3</v>
      </c>
    </row>
    <row r="5192" spans="1:52" ht="55.2">
      <c r="A5192" s="3" t="s">
        <v>5236</v>
      </c>
      <c r="B5192">
        <v>6</v>
      </c>
      <c r="K5192">
        <v>14</v>
      </c>
      <c r="AY5192">
        <f t="shared" si="162"/>
        <v>43</v>
      </c>
      <c r="AZ5192">
        <f t="shared" si="163"/>
        <v>3</v>
      </c>
    </row>
    <row r="5193" spans="1:52" ht="55.2">
      <c r="A5193" s="3" t="s">
        <v>5237</v>
      </c>
      <c r="B5193">
        <v>6</v>
      </c>
      <c r="K5193">
        <v>14</v>
      </c>
      <c r="AY5193">
        <f t="shared" si="162"/>
        <v>43</v>
      </c>
      <c r="AZ5193">
        <f t="shared" si="163"/>
        <v>3</v>
      </c>
    </row>
    <row r="5194" spans="1:52" ht="55.2">
      <c r="A5194" s="3" t="s">
        <v>5238</v>
      </c>
      <c r="B5194">
        <v>6</v>
      </c>
      <c r="K5194">
        <v>14</v>
      </c>
      <c r="AY5194">
        <f t="shared" si="162"/>
        <v>43</v>
      </c>
      <c r="AZ5194">
        <f t="shared" si="163"/>
        <v>3</v>
      </c>
    </row>
    <row r="5195" spans="1:52" ht="55.2">
      <c r="A5195" s="3" t="s">
        <v>5239</v>
      </c>
      <c r="B5195">
        <v>6</v>
      </c>
      <c r="K5195">
        <v>14</v>
      </c>
      <c r="AY5195">
        <f t="shared" si="162"/>
        <v>43</v>
      </c>
      <c r="AZ5195">
        <f t="shared" si="163"/>
        <v>3</v>
      </c>
    </row>
    <row r="5196" spans="1:52" ht="55.2">
      <c r="A5196" s="3" t="s">
        <v>5240</v>
      </c>
      <c r="B5196">
        <v>6</v>
      </c>
      <c r="K5196">
        <v>14</v>
      </c>
      <c r="AY5196">
        <f t="shared" si="162"/>
        <v>43</v>
      </c>
      <c r="AZ5196">
        <f t="shared" si="163"/>
        <v>3</v>
      </c>
    </row>
    <row r="5197" spans="1:52" ht="55.2">
      <c r="A5197" s="3" t="s">
        <v>5241</v>
      </c>
      <c r="B5197">
        <v>6</v>
      </c>
      <c r="K5197">
        <v>14</v>
      </c>
      <c r="AY5197">
        <f t="shared" si="162"/>
        <v>43</v>
      </c>
      <c r="AZ5197">
        <f t="shared" si="163"/>
        <v>3</v>
      </c>
    </row>
    <row r="5198" spans="1:52" ht="55.2">
      <c r="A5198" s="3" t="s">
        <v>5242</v>
      </c>
      <c r="B5198">
        <v>6</v>
      </c>
      <c r="K5198">
        <v>14</v>
      </c>
      <c r="AY5198">
        <f t="shared" si="162"/>
        <v>43</v>
      </c>
      <c r="AZ5198">
        <f t="shared" si="163"/>
        <v>3</v>
      </c>
    </row>
    <row r="5199" spans="1:52" ht="55.2">
      <c r="A5199" s="3" t="s">
        <v>5243</v>
      </c>
      <c r="B5199">
        <v>6</v>
      </c>
      <c r="K5199">
        <v>14</v>
      </c>
      <c r="AY5199">
        <f t="shared" si="162"/>
        <v>43</v>
      </c>
      <c r="AZ5199">
        <f t="shared" si="163"/>
        <v>3</v>
      </c>
    </row>
    <row r="5200" spans="1:52" ht="55.2">
      <c r="A5200" s="3" t="s">
        <v>5244</v>
      </c>
      <c r="B5200">
        <v>6</v>
      </c>
      <c r="K5200">
        <v>14</v>
      </c>
      <c r="AY5200">
        <f t="shared" si="162"/>
        <v>43</v>
      </c>
      <c r="AZ5200">
        <f t="shared" si="163"/>
        <v>3</v>
      </c>
    </row>
    <row r="5201" spans="1:52" ht="55.2">
      <c r="A5201" s="3" t="s">
        <v>5245</v>
      </c>
      <c r="B5201">
        <v>6</v>
      </c>
      <c r="K5201">
        <v>14</v>
      </c>
      <c r="AY5201">
        <f t="shared" si="162"/>
        <v>43</v>
      </c>
      <c r="AZ5201">
        <f t="shared" si="163"/>
        <v>3</v>
      </c>
    </row>
    <row r="5202" spans="1:52" ht="55.2">
      <c r="A5202" s="3" t="s">
        <v>5246</v>
      </c>
      <c r="B5202">
        <v>6</v>
      </c>
      <c r="K5202">
        <v>14</v>
      </c>
      <c r="AY5202">
        <f t="shared" si="162"/>
        <v>43</v>
      </c>
      <c r="AZ5202">
        <f t="shared" si="163"/>
        <v>3</v>
      </c>
    </row>
    <row r="5203" spans="1:52" ht="55.2">
      <c r="A5203" s="3" t="s">
        <v>5247</v>
      </c>
      <c r="B5203">
        <v>6</v>
      </c>
      <c r="K5203">
        <v>14</v>
      </c>
      <c r="AY5203">
        <f t="shared" si="162"/>
        <v>43</v>
      </c>
      <c r="AZ5203">
        <f t="shared" si="163"/>
        <v>3</v>
      </c>
    </row>
    <row r="5204" spans="1:52" ht="55.2">
      <c r="A5204" s="3" t="s">
        <v>5248</v>
      </c>
      <c r="B5204">
        <v>6</v>
      </c>
      <c r="K5204">
        <v>14</v>
      </c>
      <c r="AY5204">
        <f t="shared" si="162"/>
        <v>43</v>
      </c>
      <c r="AZ5204">
        <f t="shared" si="163"/>
        <v>3</v>
      </c>
    </row>
    <row r="5205" spans="1:52" ht="55.2">
      <c r="A5205" s="3" t="s">
        <v>5249</v>
      </c>
      <c r="B5205">
        <v>6</v>
      </c>
      <c r="K5205">
        <v>14</v>
      </c>
      <c r="AY5205">
        <f t="shared" si="162"/>
        <v>43</v>
      </c>
      <c r="AZ5205">
        <f t="shared" si="163"/>
        <v>3</v>
      </c>
    </row>
    <row r="5206" spans="1:52" ht="55.2">
      <c r="A5206" s="3" t="s">
        <v>5250</v>
      </c>
      <c r="B5206">
        <v>6</v>
      </c>
      <c r="K5206">
        <v>14</v>
      </c>
      <c r="AY5206">
        <f t="shared" si="162"/>
        <v>43</v>
      </c>
      <c r="AZ5206">
        <f t="shared" si="163"/>
        <v>3</v>
      </c>
    </row>
    <row r="5207" spans="1:52" ht="55.2">
      <c r="A5207" s="3" t="s">
        <v>5251</v>
      </c>
      <c r="B5207">
        <v>6</v>
      </c>
      <c r="K5207">
        <v>14</v>
      </c>
      <c r="AY5207">
        <f t="shared" si="162"/>
        <v>43</v>
      </c>
      <c r="AZ5207">
        <f t="shared" si="163"/>
        <v>3</v>
      </c>
    </row>
    <row r="5208" spans="1:52" ht="55.2">
      <c r="A5208" s="3" t="s">
        <v>5252</v>
      </c>
      <c r="B5208">
        <v>6</v>
      </c>
      <c r="K5208">
        <v>14</v>
      </c>
      <c r="AY5208">
        <f t="shared" si="162"/>
        <v>43</v>
      </c>
      <c r="AZ5208">
        <f t="shared" si="163"/>
        <v>3</v>
      </c>
    </row>
    <row r="5209" spans="1:52" ht="55.2">
      <c r="A5209" s="3" t="s">
        <v>5253</v>
      </c>
      <c r="B5209">
        <v>6</v>
      </c>
      <c r="K5209">
        <v>14</v>
      </c>
      <c r="AY5209">
        <f t="shared" si="162"/>
        <v>43</v>
      </c>
      <c r="AZ5209">
        <f t="shared" si="163"/>
        <v>3</v>
      </c>
    </row>
    <row r="5210" spans="1:52" ht="55.2">
      <c r="A5210" s="3" t="s">
        <v>5254</v>
      </c>
      <c r="B5210">
        <v>6</v>
      </c>
      <c r="K5210">
        <v>14</v>
      </c>
      <c r="AY5210">
        <f t="shared" si="162"/>
        <v>43</v>
      </c>
      <c r="AZ5210">
        <f t="shared" si="163"/>
        <v>3</v>
      </c>
    </row>
    <row r="5211" spans="1:52" ht="55.2">
      <c r="A5211" s="3" t="s">
        <v>5255</v>
      </c>
      <c r="B5211">
        <v>6</v>
      </c>
      <c r="K5211">
        <v>14</v>
      </c>
      <c r="AY5211">
        <f t="shared" si="162"/>
        <v>43</v>
      </c>
      <c r="AZ5211">
        <f t="shared" si="163"/>
        <v>3</v>
      </c>
    </row>
    <row r="5212" spans="1:52" ht="55.2">
      <c r="A5212" s="3" t="s">
        <v>5256</v>
      </c>
      <c r="B5212">
        <v>6</v>
      </c>
      <c r="K5212">
        <v>14</v>
      </c>
      <c r="AY5212">
        <f t="shared" si="162"/>
        <v>43</v>
      </c>
      <c r="AZ5212">
        <f t="shared" si="163"/>
        <v>3</v>
      </c>
    </row>
    <row r="5213" spans="1:52" ht="55.2">
      <c r="A5213" s="3" t="s">
        <v>5257</v>
      </c>
      <c r="B5213">
        <v>6</v>
      </c>
      <c r="K5213">
        <v>14</v>
      </c>
      <c r="AY5213">
        <f t="shared" si="162"/>
        <v>43</v>
      </c>
      <c r="AZ5213">
        <f t="shared" si="163"/>
        <v>3</v>
      </c>
    </row>
    <row r="5214" spans="1:52" ht="55.2">
      <c r="A5214" s="3" t="s">
        <v>5258</v>
      </c>
      <c r="B5214">
        <v>6</v>
      </c>
      <c r="K5214">
        <v>14</v>
      </c>
      <c r="AY5214">
        <f t="shared" si="162"/>
        <v>43</v>
      </c>
      <c r="AZ5214">
        <f t="shared" si="163"/>
        <v>3</v>
      </c>
    </row>
    <row r="5215" spans="1:52" ht="55.2">
      <c r="A5215" s="3" t="s">
        <v>5259</v>
      </c>
      <c r="B5215">
        <v>6</v>
      </c>
      <c r="J5215">
        <v>53</v>
      </c>
      <c r="AY5215">
        <f t="shared" si="162"/>
        <v>43</v>
      </c>
      <c r="AZ5215">
        <f t="shared" si="163"/>
        <v>3</v>
      </c>
    </row>
    <row r="5216" spans="1:52" ht="55.2">
      <c r="A5216" s="3" t="s">
        <v>5260</v>
      </c>
      <c r="B5216">
        <v>6</v>
      </c>
      <c r="J5216">
        <v>53</v>
      </c>
      <c r="AY5216">
        <f t="shared" si="162"/>
        <v>43</v>
      </c>
      <c r="AZ5216">
        <f t="shared" si="163"/>
        <v>3</v>
      </c>
    </row>
    <row r="5217" spans="1:52" ht="55.2">
      <c r="A5217" s="3" t="s">
        <v>5261</v>
      </c>
      <c r="B5217">
        <v>6</v>
      </c>
      <c r="J5217">
        <v>53</v>
      </c>
      <c r="AY5217">
        <f t="shared" ref="AY5217:AY5280" si="164">COUNTBLANK(F5217:AW5217)</f>
        <v>43</v>
      </c>
      <c r="AZ5217">
        <f t="shared" ref="AZ5217:AZ5280" si="165">COUNTBLANK(B5217:E5217)</f>
        <v>3</v>
      </c>
    </row>
    <row r="5218" spans="1:52" ht="55.2">
      <c r="A5218" s="3" t="s">
        <v>5262</v>
      </c>
      <c r="B5218">
        <v>6</v>
      </c>
      <c r="J5218">
        <v>53</v>
      </c>
      <c r="AY5218">
        <f t="shared" si="164"/>
        <v>43</v>
      </c>
      <c r="AZ5218">
        <f t="shared" si="165"/>
        <v>3</v>
      </c>
    </row>
    <row r="5219" spans="1:52" ht="55.2">
      <c r="A5219" s="3" t="s">
        <v>5263</v>
      </c>
      <c r="B5219">
        <v>6</v>
      </c>
      <c r="J5219">
        <v>53</v>
      </c>
      <c r="AY5219">
        <f t="shared" si="164"/>
        <v>43</v>
      </c>
      <c r="AZ5219">
        <f t="shared" si="165"/>
        <v>3</v>
      </c>
    </row>
    <row r="5220" spans="1:52" ht="55.2">
      <c r="A5220" s="3" t="s">
        <v>5264</v>
      </c>
      <c r="B5220">
        <v>6</v>
      </c>
      <c r="J5220">
        <v>53</v>
      </c>
      <c r="AY5220">
        <f t="shared" si="164"/>
        <v>43</v>
      </c>
      <c r="AZ5220">
        <f t="shared" si="165"/>
        <v>3</v>
      </c>
    </row>
    <row r="5221" spans="1:52" ht="55.2">
      <c r="A5221" s="3" t="s">
        <v>5265</v>
      </c>
      <c r="B5221">
        <v>6</v>
      </c>
      <c r="C5221">
        <v>6</v>
      </c>
      <c r="J5221">
        <v>53</v>
      </c>
      <c r="AY5221">
        <f t="shared" si="164"/>
        <v>43</v>
      </c>
      <c r="AZ5221">
        <f t="shared" si="165"/>
        <v>2</v>
      </c>
    </row>
    <row r="5222" spans="1:52" ht="55.2">
      <c r="A5222" s="3" t="s">
        <v>5266</v>
      </c>
      <c r="B5222">
        <v>6</v>
      </c>
      <c r="C5222">
        <v>6</v>
      </c>
      <c r="J5222">
        <v>53</v>
      </c>
      <c r="AY5222">
        <f t="shared" si="164"/>
        <v>43</v>
      </c>
      <c r="AZ5222">
        <f t="shared" si="165"/>
        <v>2</v>
      </c>
    </row>
    <row r="5223" spans="1:52" ht="55.2">
      <c r="A5223" s="3" t="s">
        <v>5267</v>
      </c>
      <c r="B5223">
        <v>6</v>
      </c>
      <c r="C5223">
        <v>6</v>
      </c>
      <c r="J5223">
        <v>53</v>
      </c>
      <c r="AY5223">
        <f t="shared" si="164"/>
        <v>43</v>
      </c>
      <c r="AZ5223">
        <f t="shared" si="165"/>
        <v>2</v>
      </c>
    </row>
    <row r="5224" spans="1:52" ht="55.2">
      <c r="A5224" s="3" t="s">
        <v>5268</v>
      </c>
      <c r="B5224">
        <v>6</v>
      </c>
      <c r="C5224">
        <v>6</v>
      </c>
      <c r="J5224">
        <v>53</v>
      </c>
      <c r="AY5224">
        <f t="shared" si="164"/>
        <v>43</v>
      </c>
      <c r="AZ5224">
        <f t="shared" si="165"/>
        <v>2</v>
      </c>
    </row>
    <row r="5225" spans="1:52" ht="55.2">
      <c r="A5225" s="3" t="s">
        <v>5269</v>
      </c>
      <c r="B5225">
        <v>6</v>
      </c>
      <c r="C5225">
        <v>6</v>
      </c>
      <c r="J5225">
        <v>53</v>
      </c>
      <c r="AY5225">
        <f t="shared" si="164"/>
        <v>43</v>
      </c>
      <c r="AZ5225">
        <f t="shared" si="165"/>
        <v>2</v>
      </c>
    </row>
    <row r="5226" spans="1:52" ht="55.2">
      <c r="A5226" s="3" t="s">
        <v>5270</v>
      </c>
      <c r="B5226">
        <v>6</v>
      </c>
      <c r="C5226">
        <v>6</v>
      </c>
      <c r="AT5226">
        <v>13</v>
      </c>
      <c r="AY5226">
        <f t="shared" si="164"/>
        <v>43</v>
      </c>
      <c r="AZ5226">
        <f t="shared" si="165"/>
        <v>2</v>
      </c>
    </row>
    <row r="5227" spans="1:52" ht="55.2">
      <c r="A5227" s="3" t="s">
        <v>5271</v>
      </c>
      <c r="B5227">
        <v>6</v>
      </c>
      <c r="C5227">
        <v>6</v>
      </c>
      <c r="AT5227">
        <v>13</v>
      </c>
      <c r="AY5227">
        <f t="shared" si="164"/>
        <v>43</v>
      </c>
      <c r="AZ5227">
        <f t="shared" si="165"/>
        <v>2</v>
      </c>
    </row>
    <row r="5228" spans="1:52" ht="55.2">
      <c r="A5228" s="3" t="s">
        <v>5272</v>
      </c>
      <c r="B5228">
        <v>6</v>
      </c>
      <c r="C5228">
        <v>6</v>
      </c>
      <c r="AT5228">
        <v>13</v>
      </c>
      <c r="AY5228">
        <f t="shared" si="164"/>
        <v>43</v>
      </c>
      <c r="AZ5228">
        <f t="shared" si="165"/>
        <v>2</v>
      </c>
    </row>
    <row r="5229" spans="1:52" ht="55.2">
      <c r="A5229" s="3" t="s">
        <v>5273</v>
      </c>
      <c r="B5229">
        <v>6</v>
      </c>
      <c r="C5229">
        <v>6</v>
      </c>
      <c r="AT5229">
        <v>13</v>
      </c>
      <c r="AY5229">
        <f t="shared" si="164"/>
        <v>43</v>
      </c>
      <c r="AZ5229">
        <f t="shared" si="165"/>
        <v>2</v>
      </c>
    </row>
    <row r="5230" spans="1:52" ht="55.2">
      <c r="A5230" s="3" t="s">
        <v>5274</v>
      </c>
      <c r="B5230">
        <v>6</v>
      </c>
      <c r="C5230">
        <v>6</v>
      </c>
      <c r="AT5230">
        <v>13</v>
      </c>
      <c r="AY5230">
        <f t="shared" si="164"/>
        <v>43</v>
      </c>
      <c r="AZ5230">
        <f t="shared" si="165"/>
        <v>2</v>
      </c>
    </row>
    <row r="5231" spans="1:52" ht="55.2">
      <c r="A5231" s="3" t="s">
        <v>5275</v>
      </c>
      <c r="B5231">
        <v>6</v>
      </c>
      <c r="C5231">
        <v>6</v>
      </c>
      <c r="AT5231">
        <v>13</v>
      </c>
      <c r="AY5231">
        <f t="shared" si="164"/>
        <v>43</v>
      </c>
      <c r="AZ5231">
        <f t="shared" si="165"/>
        <v>2</v>
      </c>
    </row>
    <row r="5232" spans="1:52" ht="55.2">
      <c r="A5232" s="3" t="s">
        <v>5276</v>
      </c>
      <c r="B5232">
        <v>6</v>
      </c>
      <c r="C5232">
        <v>6</v>
      </c>
      <c r="AT5232">
        <v>13</v>
      </c>
      <c r="AY5232">
        <f t="shared" si="164"/>
        <v>43</v>
      </c>
      <c r="AZ5232">
        <f t="shared" si="165"/>
        <v>2</v>
      </c>
    </row>
    <row r="5233" spans="1:52" ht="55.2">
      <c r="A5233" s="3" t="s">
        <v>5277</v>
      </c>
      <c r="B5233">
        <v>6</v>
      </c>
      <c r="C5233">
        <v>6</v>
      </c>
      <c r="AT5233">
        <v>13</v>
      </c>
      <c r="AY5233">
        <f t="shared" si="164"/>
        <v>43</v>
      </c>
      <c r="AZ5233">
        <f t="shared" si="165"/>
        <v>2</v>
      </c>
    </row>
    <row r="5234" spans="1:52" ht="55.2">
      <c r="A5234" s="3" t="s">
        <v>5278</v>
      </c>
      <c r="B5234">
        <v>6</v>
      </c>
      <c r="C5234">
        <v>6</v>
      </c>
      <c r="AT5234">
        <v>13</v>
      </c>
      <c r="AY5234">
        <f t="shared" si="164"/>
        <v>43</v>
      </c>
      <c r="AZ5234">
        <f t="shared" si="165"/>
        <v>2</v>
      </c>
    </row>
    <row r="5235" spans="1:52" ht="55.2">
      <c r="A5235" s="3" t="s">
        <v>5279</v>
      </c>
      <c r="B5235">
        <v>6</v>
      </c>
      <c r="C5235">
        <v>6</v>
      </c>
      <c r="AT5235">
        <v>13</v>
      </c>
      <c r="AY5235">
        <f t="shared" si="164"/>
        <v>43</v>
      </c>
      <c r="AZ5235">
        <f t="shared" si="165"/>
        <v>2</v>
      </c>
    </row>
    <row r="5236" spans="1:52" ht="55.2">
      <c r="A5236" s="3" t="s">
        <v>5280</v>
      </c>
      <c r="B5236">
        <v>6</v>
      </c>
      <c r="C5236">
        <v>6</v>
      </c>
      <c r="AT5236">
        <v>13</v>
      </c>
      <c r="AY5236">
        <f t="shared" si="164"/>
        <v>43</v>
      </c>
      <c r="AZ5236">
        <f t="shared" si="165"/>
        <v>2</v>
      </c>
    </row>
    <row r="5237" spans="1:52" ht="55.2">
      <c r="A5237" s="3" t="s">
        <v>5281</v>
      </c>
      <c r="B5237">
        <v>6</v>
      </c>
      <c r="C5237">
        <v>6</v>
      </c>
      <c r="AT5237">
        <v>13</v>
      </c>
      <c r="AY5237">
        <f t="shared" si="164"/>
        <v>43</v>
      </c>
      <c r="AZ5237">
        <f t="shared" si="165"/>
        <v>2</v>
      </c>
    </row>
    <row r="5238" spans="1:52" ht="55.2">
      <c r="A5238" s="3" t="s">
        <v>5282</v>
      </c>
      <c r="B5238">
        <v>6</v>
      </c>
      <c r="C5238">
        <v>6</v>
      </c>
      <c r="AT5238">
        <v>13</v>
      </c>
      <c r="AY5238">
        <f t="shared" si="164"/>
        <v>43</v>
      </c>
      <c r="AZ5238">
        <f t="shared" si="165"/>
        <v>2</v>
      </c>
    </row>
    <row r="5239" spans="1:52" ht="55.2">
      <c r="A5239" s="3" t="s">
        <v>5283</v>
      </c>
      <c r="B5239">
        <v>6</v>
      </c>
      <c r="C5239">
        <v>6</v>
      </c>
      <c r="AT5239">
        <v>13</v>
      </c>
      <c r="AY5239">
        <f t="shared" si="164"/>
        <v>43</v>
      </c>
      <c r="AZ5239">
        <f t="shared" si="165"/>
        <v>2</v>
      </c>
    </row>
    <row r="5240" spans="1:52" ht="55.2">
      <c r="A5240" s="3" t="s">
        <v>5284</v>
      </c>
      <c r="B5240">
        <v>6</v>
      </c>
      <c r="C5240">
        <v>6</v>
      </c>
      <c r="AT5240">
        <v>13</v>
      </c>
      <c r="AY5240">
        <f t="shared" si="164"/>
        <v>43</v>
      </c>
      <c r="AZ5240">
        <f t="shared" si="165"/>
        <v>2</v>
      </c>
    </row>
    <row r="5241" spans="1:52" ht="55.2">
      <c r="A5241" s="3" t="s">
        <v>5285</v>
      </c>
      <c r="B5241">
        <v>6</v>
      </c>
      <c r="C5241">
        <v>6</v>
      </c>
      <c r="AT5241">
        <v>13</v>
      </c>
      <c r="AY5241">
        <f t="shared" si="164"/>
        <v>43</v>
      </c>
      <c r="AZ5241">
        <f t="shared" si="165"/>
        <v>2</v>
      </c>
    </row>
    <row r="5242" spans="1:52" ht="55.2">
      <c r="A5242" s="3" t="s">
        <v>5286</v>
      </c>
      <c r="B5242">
        <v>6</v>
      </c>
      <c r="C5242">
        <v>6</v>
      </c>
      <c r="AT5242">
        <v>13</v>
      </c>
      <c r="AY5242">
        <f t="shared" si="164"/>
        <v>43</v>
      </c>
      <c r="AZ5242">
        <f t="shared" si="165"/>
        <v>2</v>
      </c>
    </row>
    <row r="5243" spans="1:52" ht="55.2">
      <c r="A5243" s="3" t="s">
        <v>5287</v>
      </c>
      <c r="B5243">
        <v>6</v>
      </c>
      <c r="C5243">
        <v>6</v>
      </c>
      <c r="AT5243">
        <v>13</v>
      </c>
      <c r="AY5243">
        <f t="shared" si="164"/>
        <v>43</v>
      </c>
      <c r="AZ5243">
        <f t="shared" si="165"/>
        <v>2</v>
      </c>
    </row>
    <row r="5244" spans="1:52" ht="55.2">
      <c r="A5244" s="3" t="s">
        <v>5288</v>
      </c>
      <c r="B5244">
        <v>6</v>
      </c>
      <c r="C5244">
        <v>6</v>
      </c>
      <c r="AT5244">
        <v>13</v>
      </c>
      <c r="AY5244">
        <f t="shared" si="164"/>
        <v>43</v>
      </c>
      <c r="AZ5244">
        <f t="shared" si="165"/>
        <v>2</v>
      </c>
    </row>
    <row r="5245" spans="1:52" ht="55.2">
      <c r="A5245" s="3" t="s">
        <v>5289</v>
      </c>
      <c r="B5245">
        <v>6</v>
      </c>
      <c r="C5245">
        <v>6</v>
      </c>
      <c r="AT5245">
        <v>13</v>
      </c>
      <c r="AY5245">
        <f t="shared" si="164"/>
        <v>43</v>
      </c>
      <c r="AZ5245">
        <f t="shared" si="165"/>
        <v>2</v>
      </c>
    </row>
    <row r="5246" spans="1:52" ht="55.2">
      <c r="A5246" s="3" t="s">
        <v>5290</v>
      </c>
      <c r="B5246">
        <v>6</v>
      </c>
      <c r="C5246">
        <v>6</v>
      </c>
      <c r="AT5246">
        <v>13</v>
      </c>
      <c r="AY5246">
        <f t="shared" si="164"/>
        <v>43</v>
      </c>
      <c r="AZ5246">
        <f t="shared" si="165"/>
        <v>2</v>
      </c>
    </row>
    <row r="5247" spans="1:52" ht="55.2">
      <c r="A5247" s="3" t="s">
        <v>5291</v>
      </c>
      <c r="B5247">
        <v>6</v>
      </c>
      <c r="C5247">
        <v>6</v>
      </c>
      <c r="AT5247">
        <v>13</v>
      </c>
      <c r="AY5247">
        <f t="shared" si="164"/>
        <v>43</v>
      </c>
      <c r="AZ5247">
        <f t="shared" si="165"/>
        <v>2</v>
      </c>
    </row>
    <row r="5248" spans="1:52" ht="55.2">
      <c r="A5248" s="3" t="s">
        <v>5292</v>
      </c>
      <c r="B5248">
        <v>6</v>
      </c>
      <c r="C5248">
        <v>6</v>
      </c>
      <c r="AT5248">
        <v>13</v>
      </c>
      <c r="AY5248">
        <f t="shared" si="164"/>
        <v>43</v>
      </c>
      <c r="AZ5248">
        <f t="shared" si="165"/>
        <v>2</v>
      </c>
    </row>
    <row r="5249" spans="1:52" ht="55.2">
      <c r="A5249" s="3" t="s">
        <v>5293</v>
      </c>
      <c r="B5249">
        <v>6</v>
      </c>
      <c r="C5249">
        <v>6</v>
      </c>
      <c r="AT5249">
        <v>13</v>
      </c>
      <c r="AY5249">
        <f t="shared" si="164"/>
        <v>43</v>
      </c>
      <c r="AZ5249">
        <f t="shared" si="165"/>
        <v>2</v>
      </c>
    </row>
    <row r="5250" spans="1:52" ht="55.2">
      <c r="A5250" s="3" t="s">
        <v>5294</v>
      </c>
      <c r="B5250">
        <v>6</v>
      </c>
      <c r="C5250">
        <v>6</v>
      </c>
      <c r="AT5250">
        <v>13</v>
      </c>
      <c r="AY5250">
        <f t="shared" si="164"/>
        <v>43</v>
      </c>
      <c r="AZ5250">
        <f t="shared" si="165"/>
        <v>2</v>
      </c>
    </row>
    <row r="5251" spans="1:52" ht="55.2">
      <c r="A5251" s="3" t="s">
        <v>5295</v>
      </c>
      <c r="B5251">
        <v>6</v>
      </c>
      <c r="C5251">
        <v>6</v>
      </c>
      <c r="AT5251">
        <v>13</v>
      </c>
      <c r="AY5251">
        <f t="shared" si="164"/>
        <v>43</v>
      </c>
      <c r="AZ5251">
        <f t="shared" si="165"/>
        <v>2</v>
      </c>
    </row>
    <row r="5252" spans="1:52" ht="55.2">
      <c r="A5252" s="3" t="s">
        <v>5296</v>
      </c>
      <c r="B5252">
        <v>6</v>
      </c>
      <c r="C5252">
        <v>6</v>
      </c>
      <c r="K5252">
        <v>15</v>
      </c>
      <c r="AY5252">
        <f t="shared" si="164"/>
        <v>43</v>
      </c>
      <c r="AZ5252">
        <f t="shared" si="165"/>
        <v>2</v>
      </c>
    </row>
    <row r="5253" spans="1:52" ht="55.2">
      <c r="A5253" s="3" t="s">
        <v>5297</v>
      </c>
      <c r="B5253">
        <v>6</v>
      </c>
      <c r="C5253">
        <v>6</v>
      </c>
      <c r="K5253">
        <v>15</v>
      </c>
      <c r="AY5253">
        <f t="shared" si="164"/>
        <v>43</v>
      </c>
      <c r="AZ5253">
        <f t="shared" si="165"/>
        <v>2</v>
      </c>
    </row>
    <row r="5254" spans="1:52" ht="55.2">
      <c r="A5254" s="3" t="s">
        <v>5298</v>
      </c>
      <c r="B5254">
        <v>6</v>
      </c>
      <c r="C5254">
        <v>6</v>
      </c>
      <c r="K5254">
        <v>15</v>
      </c>
      <c r="AY5254">
        <f t="shared" si="164"/>
        <v>43</v>
      </c>
      <c r="AZ5254">
        <f t="shared" si="165"/>
        <v>2</v>
      </c>
    </row>
    <row r="5255" spans="1:52" ht="55.2">
      <c r="A5255" s="3" t="s">
        <v>5299</v>
      </c>
      <c r="B5255">
        <v>6</v>
      </c>
      <c r="C5255">
        <v>6</v>
      </c>
      <c r="K5255">
        <v>15</v>
      </c>
      <c r="AY5255">
        <f t="shared" si="164"/>
        <v>43</v>
      </c>
      <c r="AZ5255">
        <f t="shared" si="165"/>
        <v>2</v>
      </c>
    </row>
    <row r="5256" spans="1:52" ht="55.2">
      <c r="A5256" s="3" t="s">
        <v>5300</v>
      </c>
      <c r="B5256">
        <v>6</v>
      </c>
      <c r="C5256">
        <v>6</v>
      </c>
      <c r="K5256">
        <v>15</v>
      </c>
      <c r="AY5256">
        <f t="shared" si="164"/>
        <v>43</v>
      </c>
      <c r="AZ5256">
        <f t="shared" si="165"/>
        <v>2</v>
      </c>
    </row>
    <row r="5257" spans="1:52" ht="55.2">
      <c r="A5257" s="3" t="s">
        <v>5301</v>
      </c>
      <c r="B5257">
        <v>6</v>
      </c>
      <c r="C5257">
        <v>6</v>
      </c>
      <c r="K5257">
        <v>15</v>
      </c>
      <c r="AY5257">
        <f t="shared" si="164"/>
        <v>43</v>
      </c>
      <c r="AZ5257">
        <f t="shared" si="165"/>
        <v>2</v>
      </c>
    </row>
    <row r="5258" spans="1:52" ht="55.2">
      <c r="A5258" s="3" t="s">
        <v>5302</v>
      </c>
      <c r="B5258">
        <v>6</v>
      </c>
      <c r="C5258">
        <v>6</v>
      </c>
      <c r="K5258">
        <v>15</v>
      </c>
      <c r="AY5258">
        <f t="shared" si="164"/>
        <v>43</v>
      </c>
      <c r="AZ5258">
        <f t="shared" si="165"/>
        <v>2</v>
      </c>
    </row>
    <row r="5259" spans="1:52" ht="55.2">
      <c r="A5259" s="3" t="s">
        <v>5303</v>
      </c>
      <c r="B5259">
        <v>6</v>
      </c>
      <c r="C5259">
        <v>6</v>
      </c>
      <c r="J5259">
        <v>54</v>
      </c>
      <c r="AY5259">
        <f t="shared" si="164"/>
        <v>43</v>
      </c>
      <c r="AZ5259">
        <f t="shared" si="165"/>
        <v>2</v>
      </c>
    </row>
    <row r="5260" spans="1:52" ht="55.2">
      <c r="A5260" s="3" t="s">
        <v>5304</v>
      </c>
      <c r="B5260">
        <v>6</v>
      </c>
      <c r="C5260">
        <v>6</v>
      </c>
      <c r="J5260">
        <v>54</v>
      </c>
      <c r="AY5260">
        <f t="shared" si="164"/>
        <v>43</v>
      </c>
      <c r="AZ5260">
        <f t="shared" si="165"/>
        <v>2</v>
      </c>
    </row>
    <row r="5261" spans="1:52" ht="55.2">
      <c r="A5261" s="3" t="s">
        <v>5305</v>
      </c>
      <c r="B5261">
        <v>6</v>
      </c>
      <c r="C5261">
        <v>6</v>
      </c>
      <c r="J5261">
        <v>54</v>
      </c>
      <c r="AY5261">
        <f t="shared" si="164"/>
        <v>43</v>
      </c>
      <c r="AZ5261">
        <f t="shared" si="165"/>
        <v>2</v>
      </c>
    </row>
    <row r="5262" spans="1:52" ht="55.2">
      <c r="A5262" s="3" t="s">
        <v>5306</v>
      </c>
      <c r="B5262">
        <v>6</v>
      </c>
      <c r="C5262">
        <v>6</v>
      </c>
      <c r="J5262">
        <v>54</v>
      </c>
      <c r="AY5262">
        <f t="shared" si="164"/>
        <v>43</v>
      </c>
      <c r="AZ5262">
        <f t="shared" si="165"/>
        <v>2</v>
      </c>
    </row>
    <row r="5263" spans="1:52" ht="55.2">
      <c r="A5263" s="3" t="s">
        <v>5307</v>
      </c>
      <c r="B5263">
        <v>6</v>
      </c>
      <c r="C5263">
        <v>6</v>
      </c>
      <c r="J5263">
        <v>54</v>
      </c>
      <c r="AY5263">
        <f t="shared" si="164"/>
        <v>43</v>
      </c>
      <c r="AZ5263">
        <f t="shared" si="165"/>
        <v>2</v>
      </c>
    </row>
    <row r="5264" spans="1:52" ht="55.2">
      <c r="A5264" s="3" t="s">
        <v>5308</v>
      </c>
      <c r="B5264">
        <v>6</v>
      </c>
      <c r="C5264">
        <v>6</v>
      </c>
      <c r="J5264">
        <v>54</v>
      </c>
      <c r="AY5264">
        <f t="shared" si="164"/>
        <v>43</v>
      </c>
      <c r="AZ5264">
        <f t="shared" si="165"/>
        <v>2</v>
      </c>
    </row>
    <row r="5265" spans="1:52" ht="55.2">
      <c r="A5265" s="3" t="s">
        <v>5309</v>
      </c>
      <c r="B5265">
        <v>6</v>
      </c>
      <c r="C5265">
        <v>6</v>
      </c>
      <c r="J5265">
        <v>54</v>
      </c>
      <c r="AY5265">
        <f t="shared" si="164"/>
        <v>43</v>
      </c>
      <c r="AZ5265">
        <f t="shared" si="165"/>
        <v>2</v>
      </c>
    </row>
    <row r="5266" spans="1:52" ht="55.2">
      <c r="A5266" s="3" t="s">
        <v>5310</v>
      </c>
      <c r="C5266">
        <v>6</v>
      </c>
      <c r="J5266">
        <v>54</v>
      </c>
      <c r="AY5266">
        <f t="shared" si="164"/>
        <v>43</v>
      </c>
      <c r="AZ5266">
        <f t="shared" si="165"/>
        <v>3</v>
      </c>
    </row>
    <row r="5267" spans="1:52" ht="55.2">
      <c r="A5267" s="3" t="s">
        <v>5311</v>
      </c>
      <c r="C5267">
        <v>6</v>
      </c>
      <c r="J5267">
        <v>54</v>
      </c>
      <c r="AY5267">
        <f t="shared" si="164"/>
        <v>43</v>
      </c>
      <c r="AZ5267">
        <f t="shared" si="165"/>
        <v>3</v>
      </c>
    </row>
    <row r="5268" spans="1:52" ht="55.2">
      <c r="A5268" s="3" t="s">
        <v>5312</v>
      </c>
      <c r="C5268">
        <v>6</v>
      </c>
      <c r="T5268">
        <v>2</v>
      </c>
      <c r="AY5268">
        <f t="shared" si="164"/>
        <v>43</v>
      </c>
      <c r="AZ5268">
        <f t="shared" si="165"/>
        <v>3</v>
      </c>
    </row>
    <row r="5269" spans="1:52" ht="55.2">
      <c r="A5269" s="3" t="s">
        <v>5313</v>
      </c>
      <c r="C5269">
        <v>6</v>
      </c>
      <c r="T5269">
        <v>2</v>
      </c>
      <c r="AY5269">
        <f t="shared" si="164"/>
        <v>43</v>
      </c>
      <c r="AZ5269">
        <f t="shared" si="165"/>
        <v>3</v>
      </c>
    </row>
    <row r="5270" spans="1:52" ht="55.2">
      <c r="A5270" s="3" t="s">
        <v>5314</v>
      </c>
      <c r="C5270">
        <v>6</v>
      </c>
      <c r="T5270">
        <v>2</v>
      </c>
      <c r="AY5270">
        <f t="shared" si="164"/>
        <v>43</v>
      </c>
      <c r="AZ5270">
        <f t="shared" si="165"/>
        <v>3</v>
      </c>
    </row>
    <row r="5271" spans="1:52" ht="55.2">
      <c r="A5271" s="3" t="s">
        <v>5315</v>
      </c>
      <c r="C5271">
        <v>6</v>
      </c>
      <c r="T5271">
        <v>2</v>
      </c>
      <c r="AY5271">
        <f t="shared" si="164"/>
        <v>43</v>
      </c>
      <c r="AZ5271">
        <f t="shared" si="165"/>
        <v>3</v>
      </c>
    </row>
    <row r="5272" spans="1:52" ht="55.2">
      <c r="A5272" s="3" t="s">
        <v>5316</v>
      </c>
      <c r="C5272">
        <v>6</v>
      </c>
      <c r="T5272">
        <v>2</v>
      </c>
      <c r="AY5272">
        <f t="shared" si="164"/>
        <v>43</v>
      </c>
      <c r="AZ5272">
        <f t="shared" si="165"/>
        <v>3</v>
      </c>
    </row>
    <row r="5273" spans="1:52" ht="55.2">
      <c r="A5273" s="3" t="s">
        <v>5317</v>
      </c>
      <c r="C5273">
        <v>6</v>
      </c>
      <c r="T5273">
        <v>2</v>
      </c>
      <c r="AY5273">
        <f t="shared" si="164"/>
        <v>43</v>
      </c>
      <c r="AZ5273">
        <f t="shared" si="165"/>
        <v>3</v>
      </c>
    </row>
    <row r="5274" spans="1:52" ht="55.2">
      <c r="A5274" s="3" t="s">
        <v>5318</v>
      </c>
      <c r="C5274">
        <v>6</v>
      </c>
      <c r="T5274">
        <v>2</v>
      </c>
      <c r="AY5274">
        <f t="shared" si="164"/>
        <v>43</v>
      </c>
      <c r="AZ5274">
        <f t="shared" si="165"/>
        <v>3</v>
      </c>
    </row>
    <row r="5275" spans="1:52" ht="55.2">
      <c r="A5275" s="3" t="s">
        <v>5319</v>
      </c>
      <c r="C5275">
        <v>6</v>
      </c>
      <c r="T5275">
        <v>2</v>
      </c>
      <c r="AY5275">
        <f t="shared" si="164"/>
        <v>43</v>
      </c>
      <c r="AZ5275">
        <f t="shared" si="165"/>
        <v>3</v>
      </c>
    </row>
    <row r="5276" spans="1:52" ht="55.2">
      <c r="A5276" s="3" t="s">
        <v>5320</v>
      </c>
      <c r="C5276">
        <v>6</v>
      </c>
      <c r="T5276">
        <v>2</v>
      </c>
      <c r="AY5276">
        <f t="shared" si="164"/>
        <v>43</v>
      </c>
      <c r="AZ5276">
        <f t="shared" si="165"/>
        <v>3</v>
      </c>
    </row>
    <row r="5277" spans="1:52" ht="55.2">
      <c r="A5277" s="3" t="s">
        <v>5321</v>
      </c>
      <c r="C5277">
        <v>6</v>
      </c>
      <c r="T5277">
        <v>2</v>
      </c>
      <c r="AY5277">
        <f t="shared" si="164"/>
        <v>43</v>
      </c>
      <c r="AZ5277">
        <f t="shared" si="165"/>
        <v>3</v>
      </c>
    </row>
    <row r="5278" spans="1:52" ht="55.2">
      <c r="A5278" s="3" t="s">
        <v>5322</v>
      </c>
      <c r="C5278">
        <v>6</v>
      </c>
      <c r="T5278">
        <v>2</v>
      </c>
      <c r="AY5278">
        <f t="shared" si="164"/>
        <v>43</v>
      </c>
      <c r="AZ5278">
        <f t="shared" si="165"/>
        <v>3</v>
      </c>
    </row>
    <row r="5279" spans="1:52" ht="55.2">
      <c r="A5279" s="3" t="s">
        <v>5323</v>
      </c>
      <c r="C5279">
        <v>6</v>
      </c>
      <c r="T5279">
        <v>2</v>
      </c>
      <c r="AY5279">
        <f t="shared" si="164"/>
        <v>43</v>
      </c>
      <c r="AZ5279">
        <f t="shared" si="165"/>
        <v>3</v>
      </c>
    </row>
    <row r="5280" spans="1:52" ht="55.2">
      <c r="A5280" s="3" t="s">
        <v>5324</v>
      </c>
      <c r="C5280">
        <v>6</v>
      </c>
      <c r="T5280">
        <v>2</v>
      </c>
      <c r="AY5280">
        <f t="shared" si="164"/>
        <v>43</v>
      </c>
      <c r="AZ5280">
        <f t="shared" si="165"/>
        <v>3</v>
      </c>
    </row>
    <row r="5281" spans="1:52" ht="55.2">
      <c r="A5281" s="3" t="s">
        <v>5325</v>
      </c>
      <c r="C5281">
        <v>6</v>
      </c>
      <c r="T5281">
        <v>2</v>
      </c>
      <c r="AY5281">
        <f t="shared" ref="AY5281:AY5344" si="166">COUNTBLANK(F5281:AW5281)</f>
        <v>43</v>
      </c>
      <c r="AZ5281">
        <f t="shared" ref="AZ5281:AZ5344" si="167">COUNTBLANK(B5281:E5281)</f>
        <v>3</v>
      </c>
    </row>
    <row r="5282" spans="1:52" ht="55.2">
      <c r="A5282" s="3" t="s">
        <v>5326</v>
      </c>
      <c r="C5282">
        <v>6</v>
      </c>
      <c r="T5282">
        <v>2</v>
      </c>
      <c r="AY5282">
        <f t="shared" si="166"/>
        <v>43</v>
      </c>
      <c r="AZ5282">
        <f t="shared" si="167"/>
        <v>3</v>
      </c>
    </row>
    <row r="5283" spans="1:52" ht="55.2">
      <c r="A5283" s="3" t="s">
        <v>5327</v>
      </c>
      <c r="C5283">
        <v>6</v>
      </c>
      <c r="T5283">
        <v>2</v>
      </c>
      <c r="AY5283">
        <f t="shared" si="166"/>
        <v>43</v>
      </c>
      <c r="AZ5283">
        <f t="shared" si="167"/>
        <v>3</v>
      </c>
    </row>
    <row r="5284" spans="1:52" ht="55.2">
      <c r="A5284" s="3" t="s">
        <v>5328</v>
      </c>
      <c r="C5284">
        <v>6</v>
      </c>
      <c r="T5284">
        <v>2</v>
      </c>
      <c r="AY5284">
        <f t="shared" si="166"/>
        <v>43</v>
      </c>
      <c r="AZ5284">
        <f t="shared" si="167"/>
        <v>3</v>
      </c>
    </row>
    <row r="5285" spans="1:52" ht="55.2">
      <c r="A5285" s="3" t="s">
        <v>5329</v>
      </c>
      <c r="C5285">
        <v>6</v>
      </c>
      <c r="T5285">
        <v>2</v>
      </c>
      <c r="AY5285">
        <f t="shared" si="166"/>
        <v>43</v>
      </c>
      <c r="AZ5285">
        <f t="shared" si="167"/>
        <v>3</v>
      </c>
    </row>
    <row r="5286" spans="1:52" ht="55.2">
      <c r="A5286" s="3" t="s">
        <v>5330</v>
      </c>
      <c r="C5286">
        <v>6</v>
      </c>
      <c r="T5286">
        <v>2</v>
      </c>
      <c r="AY5286">
        <f t="shared" si="166"/>
        <v>43</v>
      </c>
      <c r="AZ5286">
        <f t="shared" si="167"/>
        <v>3</v>
      </c>
    </row>
    <row r="5287" spans="1:52" ht="55.2">
      <c r="A5287" s="3" t="s">
        <v>5331</v>
      </c>
      <c r="C5287">
        <v>6</v>
      </c>
      <c r="U5287">
        <v>1</v>
      </c>
      <c r="AY5287">
        <f t="shared" si="166"/>
        <v>43</v>
      </c>
      <c r="AZ5287">
        <f t="shared" si="167"/>
        <v>3</v>
      </c>
    </row>
    <row r="5288" spans="1:52" ht="55.2">
      <c r="A5288" s="3" t="s">
        <v>5332</v>
      </c>
      <c r="C5288">
        <v>6</v>
      </c>
      <c r="U5288">
        <v>1</v>
      </c>
      <c r="AY5288">
        <f t="shared" si="166"/>
        <v>43</v>
      </c>
      <c r="AZ5288">
        <f t="shared" si="167"/>
        <v>3</v>
      </c>
    </row>
    <row r="5289" spans="1:52" ht="55.2">
      <c r="A5289" s="3" t="s">
        <v>5333</v>
      </c>
      <c r="C5289">
        <v>6</v>
      </c>
      <c r="U5289">
        <v>1</v>
      </c>
      <c r="AY5289">
        <f t="shared" si="166"/>
        <v>43</v>
      </c>
      <c r="AZ5289">
        <f t="shared" si="167"/>
        <v>3</v>
      </c>
    </row>
    <row r="5290" spans="1:52" ht="55.2">
      <c r="A5290" s="3" t="s">
        <v>5334</v>
      </c>
      <c r="C5290">
        <v>6</v>
      </c>
      <c r="U5290">
        <v>1</v>
      </c>
      <c r="AY5290">
        <f t="shared" si="166"/>
        <v>43</v>
      </c>
      <c r="AZ5290">
        <f t="shared" si="167"/>
        <v>3</v>
      </c>
    </row>
    <row r="5291" spans="1:52" ht="55.2">
      <c r="A5291" s="3" t="s">
        <v>5335</v>
      </c>
      <c r="C5291">
        <v>6</v>
      </c>
      <c r="U5291">
        <v>1</v>
      </c>
      <c r="AY5291">
        <f t="shared" si="166"/>
        <v>43</v>
      </c>
      <c r="AZ5291">
        <f t="shared" si="167"/>
        <v>3</v>
      </c>
    </row>
    <row r="5292" spans="1:52" ht="55.2">
      <c r="A5292" s="3" t="s">
        <v>5336</v>
      </c>
      <c r="C5292">
        <v>6</v>
      </c>
      <c r="U5292">
        <v>1</v>
      </c>
      <c r="AY5292">
        <f t="shared" si="166"/>
        <v>43</v>
      </c>
      <c r="AZ5292">
        <f t="shared" si="167"/>
        <v>3</v>
      </c>
    </row>
    <row r="5293" spans="1:52" ht="55.2">
      <c r="A5293" s="3" t="s">
        <v>5337</v>
      </c>
      <c r="C5293">
        <v>6</v>
      </c>
      <c r="U5293">
        <v>1</v>
      </c>
      <c r="AY5293">
        <f t="shared" si="166"/>
        <v>43</v>
      </c>
      <c r="AZ5293">
        <f t="shared" si="167"/>
        <v>3</v>
      </c>
    </row>
    <row r="5294" spans="1:52" ht="55.2">
      <c r="A5294" s="3" t="s">
        <v>5338</v>
      </c>
      <c r="C5294">
        <v>6</v>
      </c>
      <c r="U5294">
        <v>1</v>
      </c>
      <c r="AY5294">
        <f t="shared" si="166"/>
        <v>43</v>
      </c>
      <c r="AZ5294">
        <f t="shared" si="167"/>
        <v>3</v>
      </c>
    </row>
    <row r="5295" spans="1:52" ht="55.2">
      <c r="A5295" s="3" t="s">
        <v>5339</v>
      </c>
      <c r="C5295">
        <v>6</v>
      </c>
      <c r="U5295">
        <v>1</v>
      </c>
      <c r="AY5295">
        <f t="shared" si="166"/>
        <v>43</v>
      </c>
      <c r="AZ5295">
        <f t="shared" si="167"/>
        <v>3</v>
      </c>
    </row>
    <row r="5296" spans="1:52" ht="55.2">
      <c r="A5296" s="3" t="s">
        <v>5340</v>
      </c>
      <c r="C5296">
        <v>6</v>
      </c>
      <c r="U5296">
        <v>1</v>
      </c>
      <c r="AY5296">
        <f t="shared" si="166"/>
        <v>43</v>
      </c>
      <c r="AZ5296">
        <f t="shared" si="167"/>
        <v>3</v>
      </c>
    </row>
    <row r="5297" spans="1:52" ht="55.2">
      <c r="A5297" s="3" t="s">
        <v>5341</v>
      </c>
      <c r="C5297">
        <v>6</v>
      </c>
      <c r="U5297">
        <v>1</v>
      </c>
      <c r="AY5297">
        <f t="shared" si="166"/>
        <v>43</v>
      </c>
      <c r="AZ5297">
        <f t="shared" si="167"/>
        <v>3</v>
      </c>
    </row>
    <row r="5298" spans="1:52" ht="55.2">
      <c r="A5298" s="3" t="s">
        <v>5342</v>
      </c>
      <c r="C5298">
        <v>6</v>
      </c>
      <c r="U5298">
        <v>1</v>
      </c>
      <c r="AY5298">
        <f t="shared" si="166"/>
        <v>43</v>
      </c>
      <c r="AZ5298">
        <f t="shared" si="167"/>
        <v>3</v>
      </c>
    </row>
    <row r="5299" spans="1:52" ht="55.2">
      <c r="A5299" s="3" t="s">
        <v>5343</v>
      </c>
      <c r="C5299">
        <v>6</v>
      </c>
      <c r="U5299">
        <v>1</v>
      </c>
      <c r="AY5299">
        <f t="shared" si="166"/>
        <v>43</v>
      </c>
      <c r="AZ5299">
        <f t="shared" si="167"/>
        <v>3</v>
      </c>
    </row>
    <row r="5300" spans="1:52" ht="55.2">
      <c r="A5300" s="3" t="s">
        <v>5344</v>
      </c>
      <c r="C5300">
        <v>6</v>
      </c>
      <c r="U5300">
        <v>1</v>
      </c>
      <c r="AY5300">
        <f t="shared" si="166"/>
        <v>43</v>
      </c>
      <c r="AZ5300">
        <f t="shared" si="167"/>
        <v>3</v>
      </c>
    </row>
    <row r="5301" spans="1:52" ht="55.2">
      <c r="A5301" s="3" t="s">
        <v>5345</v>
      </c>
      <c r="C5301">
        <v>6</v>
      </c>
      <c r="U5301">
        <v>1</v>
      </c>
      <c r="AY5301">
        <f t="shared" si="166"/>
        <v>43</v>
      </c>
      <c r="AZ5301">
        <f t="shared" si="167"/>
        <v>3</v>
      </c>
    </row>
    <row r="5302" spans="1:52" ht="55.2">
      <c r="A5302" s="3" t="s">
        <v>5346</v>
      </c>
      <c r="C5302">
        <v>6</v>
      </c>
      <c r="U5302">
        <v>1</v>
      </c>
      <c r="AY5302">
        <f t="shared" si="166"/>
        <v>43</v>
      </c>
      <c r="AZ5302">
        <f t="shared" si="167"/>
        <v>3</v>
      </c>
    </row>
    <row r="5303" spans="1:52" ht="55.2">
      <c r="A5303" s="3" t="s">
        <v>5347</v>
      </c>
      <c r="C5303">
        <v>6</v>
      </c>
      <c r="U5303">
        <v>1</v>
      </c>
      <c r="AY5303">
        <f t="shared" si="166"/>
        <v>43</v>
      </c>
      <c r="AZ5303">
        <f t="shared" si="167"/>
        <v>3</v>
      </c>
    </row>
    <row r="5304" spans="1:52" ht="55.2">
      <c r="A5304" s="3" t="s">
        <v>5348</v>
      </c>
      <c r="C5304">
        <v>6</v>
      </c>
      <c r="U5304">
        <v>1</v>
      </c>
      <c r="AY5304">
        <f t="shared" si="166"/>
        <v>43</v>
      </c>
      <c r="AZ5304">
        <f t="shared" si="167"/>
        <v>3</v>
      </c>
    </row>
    <row r="5305" spans="1:52" ht="55.2">
      <c r="A5305" s="3" t="s">
        <v>5349</v>
      </c>
      <c r="C5305">
        <v>6</v>
      </c>
      <c r="U5305">
        <v>1</v>
      </c>
      <c r="AY5305">
        <f t="shared" si="166"/>
        <v>43</v>
      </c>
      <c r="AZ5305">
        <f t="shared" si="167"/>
        <v>3</v>
      </c>
    </row>
    <row r="5306" spans="1:52" ht="55.2">
      <c r="A5306" s="3" t="s">
        <v>5350</v>
      </c>
      <c r="C5306">
        <v>6</v>
      </c>
      <c r="U5306">
        <v>1</v>
      </c>
      <c r="AY5306">
        <f t="shared" si="166"/>
        <v>43</v>
      </c>
      <c r="AZ5306">
        <f t="shared" si="167"/>
        <v>3</v>
      </c>
    </row>
    <row r="5307" spans="1:52" ht="55.2">
      <c r="A5307" s="3" t="s">
        <v>5351</v>
      </c>
      <c r="C5307">
        <v>6</v>
      </c>
      <c r="U5307">
        <v>1</v>
      </c>
      <c r="AY5307">
        <f t="shared" si="166"/>
        <v>43</v>
      </c>
      <c r="AZ5307">
        <f t="shared" si="167"/>
        <v>3</v>
      </c>
    </row>
    <row r="5308" spans="1:52" ht="55.2">
      <c r="A5308" s="3" t="s">
        <v>5352</v>
      </c>
      <c r="C5308">
        <v>6</v>
      </c>
      <c r="U5308">
        <v>1</v>
      </c>
      <c r="AY5308">
        <f t="shared" si="166"/>
        <v>43</v>
      </c>
      <c r="AZ5308">
        <f t="shared" si="167"/>
        <v>3</v>
      </c>
    </row>
    <row r="5309" spans="1:52" ht="55.2">
      <c r="A5309" s="3" t="s">
        <v>5353</v>
      </c>
      <c r="C5309">
        <v>6</v>
      </c>
      <c r="U5309">
        <v>1</v>
      </c>
      <c r="AY5309">
        <f t="shared" si="166"/>
        <v>43</v>
      </c>
      <c r="AZ5309">
        <f t="shared" si="167"/>
        <v>3</v>
      </c>
    </row>
    <row r="5310" spans="1:52" ht="55.2">
      <c r="A5310" s="3" t="s">
        <v>5354</v>
      </c>
      <c r="C5310">
        <v>6</v>
      </c>
      <c r="U5310">
        <v>1</v>
      </c>
      <c r="AY5310">
        <f t="shared" si="166"/>
        <v>43</v>
      </c>
      <c r="AZ5310">
        <f t="shared" si="167"/>
        <v>3</v>
      </c>
    </row>
    <row r="5311" spans="1:52" ht="55.2">
      <c r="A5311" s="3" t="s">
        <v>5355</v>
      </c>
      <c r="C5311">
        <v>6</v>
      </c>
      <c r="U5311">
        <v>1</v>
      </c>
      <c r="AY5311">
        <f t="shared" si="166"/>
        <v>43</v>
      </c>
      <c r="AZ5311">
        <f t="shared" si="167"/>
        <v>3</v>
      </c>
    </row>
    <row r="5312" spans="1:52" ht="55.2">
      <c r="A5312" s="3" t="s">
        <v>5356</v>
      </c>
      <c r="C5312">
        <v>6</v>
      </c>
      <c r="U5312">
        <v>1</v>
      </c>
      <c r="AY5312">
        <f t="shared" si="166"/>
        <v>43</v>
      </c>
      <c r="AZ5312">
        <f t="shared" si="167"/>
        <v>3</v>
      </c>
    </row>
    <row r="5313" spans="1:52" ht="55.2">
      <c r="A5313" s="3" t="s">
        <v>5357</v>
      </c>
      <c r="C5313">
        <v>6</v>
      </c>
      <c r="U5313">
        <v>1</v>
      </c>
      <c r="AY5313">
        <f t="shared" si="166"/>
        <v>43</v>
      </c>
      <c r="AZ5313">
        <f t="shared" si="167"/>
        <v>3</v>
      </c>
    </row>
    <row r="5314" spans="1:52" ht="55.2">
      <c r="A5314" s="3" t="s">
        <v>5358</v>
      </c>
      <c r="C5314">
        <v>6</v>
      </c>
      <c r="U5314">
        <v>1</v>
      </c>
      <c r="AY5314">
        <f t="shared" si="166"/>
        <v>43</v>
      </c>
      <c r="AZ5314">
        <f t="shared" si="167"/>
        <v>3</v>
      </c>
    </row>
    <row r="5315" spans="1:52" ht="55.2">
      <c r="A5315" s="3" t="s">
        <v>5359</v>
      </c>
      <c r="C5315">
        <v>6</v>
      </c>
      <c r="U5315">
        <v>1</v>
      </c>
      <c r="AY5315">
        <f t="shared" si="166"/>
        <v>43</v>
      </c>
      <c r="AZ5315">
        <f t="shared" si="167"/>
        <v>3</v>
      </c>
    </row>
    <row r="5316" spans="1:52" ht="55.2">
      <c r="A5316" s="3" t="s">
        <v>5360</v>
      </c>
      <c r="C5316">
        <v>6</v>
      </c>
      <c r="U5316">
        <v>1</v>
      </c>
      <c r="AY5316">
        <f t="shared" si="166"/>
        <v>43</v>
      </c>
      <c r="AZ5316">
        <f t="shared" si="167"/>
        <v>3</v>
      </c>
    </row>
    <row r="5317" spans="1:52" ht="55.2">
      <c r="A5317" s="3" t="s">
        <v>5361</v>
      </c>
      <c r="C5317">
        <v>6</v>
      </c>
      <c r="U5317">
        <v>1</v>
      </c>
      <c r="AY5317">
        <f t="shared" si="166"/>
        <v>43</v>
      </c>
      <c r="AZ5317">
        <f t="shared" si="167"/>
        <v>3</v>
      </c>
    </row>
    <row r="5318" spans="1:52" ht="55.2">
      <c r="A5318" s="3" t="s">
        <v>5362</v>
      </c>
      <c r="C5318">
        <v>6</v>
      </c>
      <c r="U5318">
        <v>1</v>
      </c>
      <c r="AY5318">
        <f t="shared" si="166"/>
        <v>43</v>
      </c>
      <c r="AZ5318">
        <f t="shared" si="167"/>
        <v>3</v>
      </c>
    </row>
    <row r="5319" spans="1:52" ht="55.2">
      <c r="A5319" s="3" t="s">
        <v>5363</v>
      </c>
      <c r="C5319">
        <v>6</v>
      </c>
      <c r="U5319">
        <v>1</v>
      </c>
      <c r="AY5319">
        <f t="shared" si="166"/>
        <v>43</v>
      </c>
      <c r="AZ5319">
        <f t="shared" si="167"/>
        <v>3</v>
      </c>
    </row>
    <row r="5320" spans="1:52" ht="55.2">
      <c r="A5320" s="3" t="s">
        <v>5364</v>
      </c>
      <c r="C5320">
        <v>6</v>
      </c>
      <c r="U5320">
        <v>1</v>
      </c>
      <c r="AY5320">
        <f t="shared" si="166"/>
        <v>43</v>
      </c>
      <c r="AZ5320">
        <f t="shared" si="167"/>
        <v>3</v>
      </c>
    </row>
    <row r="5321" spans="1:52" ht="55.2">
      <c r="A5321" s="3" t="s">
        <v>5365</v>
      </c>
      <c r="C5321">
        <v>6</v>
      </c>
      <c r="U5321">
        <v>1</v>
      </c>
      <c r="AY5321">
        <f t="shared" si="166"/>
        <v>43</v>
      </c>
      <c r="AZ5321">
        <f t="shared" si="167"/>
        <v>3</v>
      </c>
    </row>
    <row r="5322" spans="1:52" ht="55.2">
      <c r="A5322" s="3" t="s">
        <v>5366</v>
      </c>
      <c r="C5322">
        <v>6</v>
      </c>
      <c r="U5322">
        <v>1</v>
      </c>
      <c r="AY5322">
        <f t="shared" si="166"/>
        <v>43</v>
      </c>
      <c r="AZ5322">
        <f t="shared" si="167"/>
        <v>3</v>
      </c>
    </row>
    <row r="5323" spans="1:52" ht="55.2">
      <c r="A5323" s="3" t="s">
        <v>5367</v>
      </c>
      <c r="C5323">
        <v>6</v>
      </c>
      <c r="U5323">
        <v>1</v>
      </c>
      <c r="AY5323">
        <f t="shared" si="166"/>
        <v>43</v>
      </c>
      <c r="AZ5323">
        <f t="shared" si="167"/>
        <v>3</v>
      </c>
    </row>
    <row r="5324" spans="1:52" ht="55.2">
      <c r="A5324" s="3" t="s">
        <v>5368</v>
      </c>
      <c r="C5324">
        <v>6</v>
      </c>
      <c r="U5324">
        <v>1</v>
      </c>
      <c r="AY5324">
        <f t="shared" si="166"/>
        <v>43</v>
      </c>
      <c r="AZ5324">
        <f t="shared" si="167"/>
        <v>3</v>
      </c>
    </row>
    <row r="5325" spans="1:52" ht="55.2">
      <c r="A5325" s="3" t="s">
        <v>5369</v>
      </c>
      <c r="C5325">
        <v>6</v>
      </c>
      <c r="U5325">
        <v>1</v>
      </c>
      <c r="AY5325">
        <f t="shared" si="166"/>
        <v>43</v>
      </c>
      <c r="AZ5325">
        <f t="shared" si="167"/>
        <v>3</v>
      </c>
    </row>
    <row r="5326" spans="1:52" ht="55.2">
      <c r="A5326" s="3" t="s">
        <v>5370</v>
      </c>
      <c r="C5326">
        <v>6</v>
      </c>
      <c r="U5326">
        <v>1</v>
      </c>
      <c r="AY5326">
        <f t="shared" si="166"/>
        <v>43</v>
      </c>
      <c r="AZ5326">
        <f t="shared" si="167"/>
        <v>3</v>
      </c>
    </row>
    <row r="5327" spans="1:52" ht="55.2">
      <c r="A5327" s="3" t="s">
        <v>5371</v>
      </c>
      <c r="C5327">
        <v>6</v>
      </c>
      <c r="U5327">
        <v>1</v>
      </c>
      <c r="AY5327">
        <f t="shared" si="166"/>
        <v>43</v>
      </c>
      <c r="AZ5327">
        <f t="shared" si="167"/>
        <v>3</v>
      </c>
    </row>
    <row r="5328" spans="1:52" ht="55.2">
      <c r="A5328" s="3" t="s">
        <v>5372</v>
      </c>
      <c r="C5328">
        <v>6</v>
      </c>
      <c r="U5328">
        <v>1</v>
      </c>
      <c r="AY5328">
        <f t="shared" si="166"/>
        <v>43</v>
      </c>
      <c r="AZ5328">
        <f t="shared" si="167"/>
        <v>3</v>
      </c>
    </row>
    <row r="5329" spans="1:52" ht="55.2">
      <c r="A5329" s="3" t="s">
        <v>5373</v>
      </c>
      <c r="C5329">
        <v>6</v>
      </c>
      <c r="U5329">
        <v>1</v>
      </c>
      <c r="AY5329">
        <f t="shared" si="166"/>
        <v>43</v>
      </c>
      <c r="AZ5329">
        <f t="shared" si="167"/>
        <v>3</v>
      </c>
    </row>
    <row r="5330" spans="1:52" ht="55.2">
      <c r="A5330" s="3" t="s">
        <v>5374</v>
      </c>
      <c r="C5330">
        <v>6</v>
      </c>
      <c r="U5330">
        <v>1</v>
      </c>
      <c r="AY5330">
        <f t="shared" si="166"/>
        <v>43</v>
      </c>
      <c r="AZ5330">
        <f t="shared" si="167"/>
        <v>3</v>
      </c>
    </row>
    <row r="5331" spans="1:52" ht="55.2">
      <c r="A5331" s="3" t="s">
        <v>5375</v>
      </c>
      <c r="C5331">
        <v>6</v>
      </c>
      <c r="U5331">
        <v>1</v>
      </c>
      <c r="AY5331">
        <f t="shared" si="166"/>
        <v>43</v>
      </c>
      <c r="AZ5331">
        <f t="shared" si="167"/>
        <v>3</v>
      </c>
    </row>
    <row r="5332" spans="1:52" ht="55.2">
      <c r="A5332" s="3" t="s">
        <v>5376</v>
      </c>
      <c r="C5332">
        <v>6</v>
      </c>
      <c r="U5332">
        <v>1</v>
      </c>
      <c r="AY5332">
        <f t="shared" si="166"/>
        <v>43</v>
      </c>
      <c r="AZ5332">
        <f t="shared" si="167"/>
        <v>3</v>
      </c>
    </row>
    <row r="5333" spans="1:52" ht="55.2">
      <c r="A5333" s="3" t="s">
        <v>5377</v>
      </c>
      <c r="C5333">
        <v>6</v>
      </c>
      <c r="U5333">
        <v>1</v>
      </c>
      <c r="AY5333">
        <f t="shared" si="166"/>
        <v>43</v>
      </c>
      <c r="AZ5333">
        <f t="shared" si="167"/>
        <v>3</v>
      </c>
    </row>
    <row r="5334" spans="1:52" ht="55.2">
      <c r="A5334" s="3" t="s">
        <v>5378</v>
      </c>
      <c r="C5334">
        <v>6</v>
      </c>
      <c r="U5334">
        <v>1</v>
      </c>
      <c r="AY5334">
        <f t="shared" si="166"/>
        <v>43</v>
      </c>
      <c r="AZ5334">
        <f t="shared" si="167"/>
        <v>3</v>
      </c>
    </row>
    <row r="5335" spans="1:52" ht="55.2">
      <c r="A5335" s="3" t="s">
        <v>5379</v>
      </c>
      <c r="C5335">
        <v>6</v>
      </c>
      <c r="U5335">
        <v>1</v>
      </c>
      <c r="AY5335">
        <f t="shared" si="166"/>
        <v>43</v>
      </c>
      <c r="AZ5335">
        <f t="shared" si="167"/>
        <v>3</v>
      </c>
    </row>
    <row r="5336" spans="1:52" ht="55.2">
      <c r="A5336" s="3" t="s">
        <v>5380</v>
      </c>
      <c r="C5336">
        <v>6</v>
      </c>
      <c r="U5336">
        <v>1</v>
      </c>
      <c r="AY5336">
        <f t="shared" si="166"/>
        <v>43</v>
      </c>
      <c r="AZ5336">
        <f t="shared" si="167"/>
        <v>3</v>
      </c>
    </row>
    <row r="5337" spans="1:52" ht="55.2">
      <c r="A5337" s="3" t="s">
        <v>5381</v>
      </c>
      <c r="C5337">
        <v>6</v>
      </c>
      <c r="T5337">
        <v>3</v>
      </c>
      <c r="AY5337">
        <f t="shared" si="166"/>
        <v>43</v>
      </c>
      <c r="AZ5337">
        <f t="shared" si="167"/>
        <v>3</v>
      </c>
    </row>
    <row r="5338" spans="1:52" ht="55.2">
      <c r="A5338" s="3" t="s">
        <v>5382</v>
      </c>
      <c r="C5338">
        <v>6</v>
      </c>
      <c r="T5338">
        <v>3</v>
      </c>
      <c r="AY5338">
        <f t="shared" si="166"/>
        <v>43</v>
      </c>
      <c r="AZ5338">
        <f t="shared" si="167"/>
        <v>3</v>
      </c>
    </row>
    <row r="5339" spans="1:52" ht="55.2">
      <c r="A5339" s="3" t="s">
        <v>5383</v>
      </c>
      <c r="C5339">
        <v>6</v>
      </c>
      <c r="T5339">
        <v>3</v>
      </c>
      <c r="AY5339">
        <f t="shared" si="166"/>
        <v>43</v>
      </c>
      <c r="AZ5339">
        <f t="shared" si="167"/>
        <v>3</v>
      </c>
    </row>
    <row r="5340" spans="1:52" ht="55.2">
      <c r="A5340" s="3" t="s">
        <v>5384</v>
      </c>
      <c r="C5340">
        <v>6</v>
      </c>
      <c r="T5340">
        <v>3</v>
      </c>
      <c r="AY5340">
        <f t="shared" si="166"/>
        <v>43</v>
      </c>
      <c r="AZ5340">
        <f t="shared" si="167"/>
        <v>3</v>
      </c>
    </row>
    <row r="5341" spans="1:52" ht="55.2">
      <c r="A5341" s="3" t="s">
        <v>5385</v>
      </c>
      <c r="C5341">
        <v>6</v>
      </c>
      <c r="T5341">
        <v>3</v>
      </c>
      <c r="AY5341">
        <f t="shared" si="166"/>
        <v>43</v>
      </c>
      <c r="AZ5341">
        <f t="shared" si="167"/>
        <v>3</v>
      </c>
    </row>
    <row r="5342" spans="1:52" ht="55.2">
      <c r="A5342" s="3" t="s">
        <v>5386</v>
      </c>
      <c r="C5342">
        <v>6</v>
      </c>
      <c r="T5342">
        <v>3</v>
      </c>
      <c r="AY5342">
        <f t="shared" si="166"/>
        <v>43</v>
      </c>
      <c r="AZ5342">
        <f t="shared" si="167"/>
        <v>3</v>
      </c>
    </row>
    <row r="5343" spans="1:52" ht="55.2">
      <c r="A5343" s="3" t="s">
        <v>5387</v>
      </c>
      <c r="C5343">
        <v>6</v>
      </c>
      <c r="T5343">
        <v>3</v>
      </c>
      <c r="AY5343">
        <f t="shared" si="166"/>
        <v>43</v>
      </c>
      <c r="AZ5343">
        <f t="shared" si="167"/>
        <v>3</v>
      </c>
    </row>
    <row r="5344" spans="1:52" ht="55.2">
      <c r="A5344" s="3" t="s">
        <v>5388</v>
      </c>
      <c r="C5344">
        <v>6</v>
      </c>
      <c r="T5344">
        <v>3</v>
      </c>
      <c r="AY5344">
        <f t="shared" si="166"/>
        <v>43</v>
      </c>
      <c r="AZ5344">
        <f t="shared" si="167"/>
        <v>3</v>
      </c>
    </row>
    <row r="5345" spans="1:52" ht="55.2">
      <c r="A5345" s="3" t="s">
        <v>5389</v>
      </c>
      <c r="C5345">
        <v>6</v>
      </c>
      <c r="T5345">
        <v>3</v>
      </c>
      <c r="AY5345">
        <f t="shared" ref="AY5345:AY5408" si="168">COUNTBLANK(F5345:AW5345)</f>
        <v>43</v>
      </c>
      <c r="AZ5345">
        <f t="shared" ref="AZ5345:AZ5408" si="169">COUNTBLANK(B5345:E5345)</f>
        <v>3</v>
      </c>
    </row>
    <row r="5346" spans="1:52" ht="55.2">
      <c r="A5346" s="3" t="s">
        <v>5390</v>
      </c>
      <c r="C5346">
        <v>6</v>
      </c>
      <c r="T5346">
        <v>3</v>
      </c>
      <c r="AY5346">
        <f t="shared" si="168"/>
        <v>43</v>
      </c>
      <c r="AZ5346">
        <f t="shared" si="169"/>
        <v>3</v>
      </c>
    </row>
    <row r="5347" spans="1:52" ht="55.2">
      <c r="A5347" s="3" t="s">
        <v>5391</v>
      </c>
      <c r="C5347">
        <v>6</v>
      </c>
      <c r="T5347">
        <v>3</v>
      </c>
      <c r="AY5347">
        <f t="shared" si="168"/>
        <v>43</v>
      </c>
      <c r="AZ5347">
        <f t="shared" si="169"/>
        <v>3</v>
      </c>
    </row>
    <row r="5348" spans="1:52" ht="55.2">
      <c r="A5348" s="3" t="s">
        <v>5392</v>
      </c>
      <c r="C5348">
        <v>6</v>
      </c>
      <c r="T5348">
        <v>3</v>
      </c>
      <c r="AY5348">
        <f t="shared" si="168"/>
        <v>43</v>
      </c>
      <c r="AZ5348">
        <f t="shared" si="169"/>
        <v>3</v>
      </c>
    </row>
    <row r="5349" spans="1:52" ht="55.2">
      <c r="A5349" s="3" t="s">
        <v>5393</v>
      </c>
      <c r="C5349">
        <v>6</v>
      </c>
      <c r="T5349">
        <v>3</v>
      </c>
      <c r="AY5349">
        <f t="shared" si="168"/>
        <v>43</v>
      </c>
      <c r="AZ5349">
        <f t="shared" si="169"/>
        <v>3</v>
      </c>
    </row>
    <row r="5350" spans="1:52" ht="55.2">
      <c r="A5350" s="3" t="s">
        <v>5394</v>
      </c>
      <c r="C5350">
        <v>6</v>
      </c>
      <c r="T5350">
        <v>3</v>
      </c>
      <c r="AY5350">
        <f t="shared" si="168"/>
        <v>43</v>
      </c>
      <c r="AZ5350">
        <f t="shared" si="169"/>
        <v>3</v>
      </c>
    </row>
    <row r="5351" spans="1:52" ht="55.2">
      <c r="A5351" s="3" t="s">
        <v>5395</v>
      </c>
      <c r="C5351">
        <v>6</v>
      </c>
      <c r="T5351">
        <v>3</v>
      </c>
      <c r="AY5351">
        <f t="shared" si="168"/>
        <v>43</v>
      </c>
      <c r="AZ5351">
        <f t="shared" si="169"/>
        <v>3</v>
      </c>
    </row>
    <row r="5352" spans="1:52" ht="55.2">
      <c r="A5352" s="3" t="s">
        <v>5396</v>
      </c>
      <c r="C5352">
        <v>6</v>
      </c>
      <c r="T5352">
        <v>3</v>
      </c>
      <c r="AY5352">
        <f t="shared" si="168"/>
        <v>43</v>
      </c>
      <c r="AZ5352">
        <f t="shared" si="169"/>
        <v>3</v>
      </c>
    </row>
    <row r="5353" spans="1:52" ht="55.2">
      <c r="A5353" s="3" t="s">
        <v>5397</v>
      </c>
      <c r="C5353">
        <v>6</v>
      </c>
      <c r="T5353">
        <v>3</v>
      </c>
      <c r="AY5353">
        <f t="shared" si="168"/>
        <v>43</v>
      </c>
      <c r="AZ5353">
        <f t="shared" si="169"/>
        <v>3</v>
      </c>
    </row>
    <row r="5354" spans="1:52" ht="55.2">
      <c r="A5354" s="3" t="s">
        <v>5398</v>
      </c>
      <c r="C5354">
        <v>6</v>
      </c>
      <c r="T5354">
        <v>3</v>
      </c>
      <c r="AY5354">
        <f t="shared" si="168"/>
        <v>43</v>
      </c>
      <c r="AZ5354">
        <f t="shared" si="169"/>
        <v>3</v>
      </c>
    </row>
    <row r="5355" spans="1:52" ht="55.2">
      <c r="A5355" s="3" t="s">
        <v>5399</v>
      </c>
      <c r="C5355">
        <v>6</v>
      </c>
      <c r="T5355">
        <v>3</v>
      </c>
      <c r="AY5355">
        <f t="shared" si="168"/>
        <v>43</v>
      </c>
      <c r="AZ5355">
        <f t="shared" si="169"/>
        <v>3</v>
      </c>
    </row>
    <row r="5356" spans="1:52" ht="55.2">
      <c r="A5356" s="3" t="s">
        <v>5400</v>
      </c>
      <c r="C5356">
        <v>6</v>
      </c>
      <c r="T5356">
        <v>3</v>
      </c>
      <c r="AY5356">
        <f t="shared" si="168"/>
        <v>43</v>
      </c>
      <c r="AZ5356">
        <f t="shared" si="169"/>
        <v>3</v>
      </c>
    </row>
    <row r="5357" spans="1:52" ht="55.2">
      <c r="A5357" s="3" t="s">
        <v>5401</v>
      </c>
      <c r="C5357">
        <v>6</v>
      </c>
      <c r="T5357">
        <v>3</v>
      </c>
      <c r="AY5357">
        <f t="shared" si="168"/>
        <v>43</v>
      </c>
      <c r="AZ5357">
        <f t="shared" si="169"/>
        <v>3</v>
      </c>
    </row>
    <row r="5358" spans="1:52" ht="55.2">
      <c r="A5358" s="3" t="s">
        <v>5402</v>
      </c>
      <c r="C5358">
        <v>6</v>
      </c>
      <c r="T5358">
        <v>3</v>
      </c>
      <c r="AY5358">
        <f t="shared" si="168"/>
        <v>43</v>
      </c>
      <c r="AZ5358">
        <f t="shared" si="169"/>
        <v>3</v>
      </c>
    </row>
    <row r="5359" spans="1:52" ht="55.2">
      <c r="A5359" s="3" t="s">
        <v>5403</v>
      </c>
      <c r="C5359">
        <v>6</v>
      </c>
      <c r="T5359">
        <v>3</v>
      </c>
      <c r="AY5359">
        <f t="shared" si="168"/>
        <v>43</v>
      </c>
      <c r="AZ5359">
        <f t="shared" si="169"/>
        <v>3</v>
      </c>
    </row>
    <row r="5360" spans="1:52" ht="55.2">
      <c r="A5360" s="3" t="s">
        <v>5404</v>
      </c>
      <c r="C5360">
        <v>6</v>
      </c>
      <c r="T5360">
        <v>3</v>
      </c>
      <c r="AY5360">
        <f t="shared" si="168"/>
        <v>43</v>
      </c>
      <c r="AZ5360">
        <f t="shared" si="169"/>
        <v>3</v>
      </c>
    </row>
    <row r="5361" spans="1:52" ht="55.2">
      <c r="A5361" s="3" t="s">
        <v>5405</v>
      </c>
      <c r="C5361">
        <v>6</v>
      </c>
      <c r="K5361">
        <v>16</v>
      </c>
      <c r="AY5361">
        <f t="shared" si="168"/>
        <v>43</v>
      </c>
      <c r="AZ5361">
        <f t="shared" si="169"/>
        <v>3</v>
      </c>
    </row>
    <row r="5362" spans="1:52" ht="55.2">
      <c r="A5362" s="3" t="s">
        <v>5406</v>
      </c>
      <c r="C5362">
        <v>6</v>
      </c>
      <c r="K5362">
        <v>16</v>
      </c>
      <c r="AY5362">
        <f t="shared" si="168"/>
        <v>43</v>
      </c>
      <c r="AZ5362">
        <f t="shared" si="169"/>
        <v>3</v>
      </c>
    </row>
    <row r="5363" spans="1:52" ht="55.2">
      <c r="A5363" s="3" t="s">
        <v>5407</v>
      </c>
      <c r="C5363">
        <v>6</v>
      </c>
      <c r="K5363">
        <v>16</v>
      </c>
      <c r="AY5363">
        <f t="shared" si="168"/>
        <v>43</v>
      </c>
      <c r="AZ5363">
        <f t="shared" si="169"/>
        <v>3</v>
      </c>
    </row>
    <row r="5364" spans="1:52" ht="55.2">
      <c r="A5364" s="3" t="s">
        <v>5408</v>
      </c>
      <c r="C5364">
        <v>6</v>
      </c>
      <c r="K5364">
        <v>16</v>
      </c>
      <c r="AY5364">
        <f t="shared" si="168"/>
        <v>43</v>
      </c>
      <c r="AZ5364">
        <f t="shared" si="169"/>
        <v>3</v>
      </c>
    </row>
    <row r="5365" spans="1:52" ht="55.2">
      <c r="A5365" s="3" t="s">
        <v>5409</v>
      </c>
      <c r="C5365">
        <v>6</v>
      </c>
      <c r="K5365">
        <v>16</v>
      </c>
      <c r="AY5365">
        <f t="shared" si="168"/>
        <v>43</v>
      </c>
      <c r="AZ5365">
        <f t="shared" si="169"/>
        <v>3</v>
      </c>
    </row>
    <row r="5366" spans="1:52" ht="55.2">
      <c r="A5366" s="3" t="s">
        <v>5410</v>
      </c>
      <c r="C5366">
        <v>6</v>
      </c>
      <c r="K5366">
        <v>16</v>
      </c>
      <c r="AY5366">
        <f t="shared" si="168"/>
        <v>43</v>
      </c>
      <c r="AZ5366">
        <f t="shared" si="169"/>
        <v>3</v>
      </c>
    </row>
    <row r="5367" spans="1:52" ht="55.2">
      <c r="A5367" s="3" t="s">
        <v>5411</v>
      </c>
      <c r="C5367">
        <v>6</v>
      </c>
      <c r="K5367">
        <v>16</v>
      </c>
      <c r="AY5367">
        <f t="shared" si="168"/>
        <v>43</v>
      </c>
      <c r="AZ5367">
        <f t="shared" si="169"/>
        <v>3</v>
      </c>
    </row>
    <row r="5368" spans="1:52" ht="55.2">
      <c r="A5368" s="3" t="s">
        <v>5412</v>
      </c>
      <c r="C5368">
        <v>6</v>
      </c>
      <c r="K5368">
        <v>16</v>
      </c>
      <c r="AY5368">
        <f t="shared" si="168"/>
        <v>43</v>
      </c>
      <c r="AZ5368">
        <f t="shared" si="169"/>
        <v>3</v>
      </c>
    </row>
    <row r="5369" spans="1:52" ht="55.2">
      <c r="A5369" s="3" t="s">
        <v>5413</v>
      </c>
      <c r="C5369">
        <v>6</v>
      </c>
      <c r="K5369">
        <v>16</v>
      </c>
      <c r="AY5369">
        <f t="shared" si="168"/>
        <v>43</v>
      </c>
      <c r="AZ5369">
        <f t="shared" si="169"/>
        <v>3</v>
      </c>
    </row>
    <row r="5370" spans="1:52" ht="55.2">
      <c r="A5370" s="3" t="s">
        <v>5414</v>
      </c>
      <c r="C5370">
        <v>6</v>
      </c>
      <c r="K5370">
        <v>16</v>
      </c>
      <c r="AY5370">
        <f t="shared" si="168"/>
        <v>43</v>
      </c>
      <c r="AZ5370">
        <f t="shared" si="169"/>
        <v>3</v>
      </c>
    </row>
    <row r="5371" spans="1:52" ht="55.2">
      <c r="A5371" s="3" t="s">
        <v>5415</v>
      </c>
      <c r="C5371">
        <v>6</v>
      </c>
      <c r="K5371">
        <v>16</v>
      </c>
      <c r="AY5371">
        <f t="shared" si="168"/>
        <v>43</v>
      </c>
      <c r="AZ5371">
        <f t="shared" si="169"/>
        <v>3</v>
      </c>
    </row>
    <row r="5372" spans="1:52" ht="55.2">
      <c r="A5372" s="3" t="s">
        <v>5416</v>
      </c>
      <c r="C5372">
        <v>6</v>
      </c>
      <c r="K5372">
        <v>16</v>
      </c>
      <c r="AY5372">
        <f t="shared" si="168"/>
        <v>43</v>
      </c>
      <c r="AZ5372">
        <f t="shared" si="169"/>
        <v>3</v>
      </c>
    </row>
    <row r="5373" spans="1:52" ht="55.2">
      <c r="A5373" s="3" t="s">
        <v>5417</v>
      </c>
      <c r="C5373">
        <v>6</v>
      </c>
      <c r="K5373">
        <v>16</v>
      </c>
      <c r="AY5373">
        <f t="shared" si="168"/>
        <v>43</v>
      </c>
      <c r="AZ5373">
        <f t="shared" si="169"/>
        <v>3</v>
      </c>
    </row>
    <row r="5374" spans="1:52" ht="55.2">
      <c r="A5374" s="3" t="s">
        <v>5418</v>
      </c>
      <c r="C5374">
        <v>6</v>
      </c>
      <c r="K5374">
        <v>16</v>
      </c>
      <c r="AY5374">
        <f t="shared" si="168"/>
        <v>43</v>
      </c>
      <c r="AZ5374">
        <f t="shared" si="169"/>
        <v>3</v>
      </c>
    </row>
    <row r="5375" spans="1:52" ht="55.2">
      <c r="A5375" s="3" t="s">
        <v>5419</v>
      </c>
      <c r="C5375">
        <v>6</v>
      </c>
      <c r="AW5375">
        <v>15</v>
      </c>
      <c r="AY5375">
        <f t="shared" si="168"/>
        <v>43</v>
      </c>
      <c r="AZ5375">
        <f t="shared" si="169"/>
        <v>3</v>
      </c>
    </row>
    <row r="5376" spans="1:52" ht="55.2">
      <c r="A5376" s="3" t="s">
        <v>5420</v>
      </c>
      <c r="C5376">
        <v>6</v>
      </c>
      <c r="T5376">
        <v>4</v>
      </c>
      <c r="AY5376">
        <f t="shared" si="168"/>
        <v>43</v>
      </c>
      <c r="AZ5376">
        <f t="shared" si="169"/>
        <v>3</v>
      </c>
    </row>
    <row r="5377" spans="1:52" ht="55.2">
      <c r="A5377" s="3" t="s">
        <v>5421</v>
      </c>
      <c r="C5377">
        <v>6</v>
      </c>
      <c r="T5377">
        <v>4</v>
      </c>
      <c r="AY5377">
        <f t="shared" si="168"/>
        <v>43</v>
      </c>
      <c r="AZ5377">
        <f t="shared" si="169"/>
        <v>3</v>
      </c>
    </row>
    <row r="5378" spans="1:52" ht="55.2">
      <c r="A5378" s="3" t="s">
        <v>5422</v>
      </c>
      <c r="C5378">
        <v>6</v>
      </c>
      <c r="T5378">
        <v>4</v>
      </c>
      <c r="AY5378">
        <f t="shared" si="168"/>
        <v>43</v>
      </c>
      <c r="AZ5378">
        <f t="shared" si="169"/>
        <v>3</v>
      </c>
    </row>
    <row r="5379" spans="1:52" ht="55.2">
      <c r="A5379" s="3" t="s">
        <v>5423</v>
      </c>
      <c r="C5379">
        <v>6</v>
      </c>
      <c r="T5379">
        <v>4</v>
      </c>
      <c r="AY5379">
        <f t="shared" si="168"/>
        <v>43</v>
      </c>
      <c r="AZ5379">
        <f t="shared" si="169"/>
        <v>3</v>
      </c>
    </row>
    <row r="5380" spans="1:52" ht="55.2">
      <c r="A5380" s="3" t="s">
        <v>5424</v>
      </c>
      <c r="C5380">
        <v>6</v>
      </c>
      <c r="T5380">
        <v>4</v>
      </c>
      <c r="AY5380">
        <f t="shared" si="168"/>
        <v>43</v>
      </c>
      <c r="AZ5380">
        <f t="shared" si="169"/>
        <v>3</v>
      </c>
    </row>
    <row r="5381" spans="1:52" ht="55.2">
      <c r="A5381" s="3" t="s">
        <v>5425</v>
      </c>
      <c r="C5381">
        <v>6</v>
      </c>
      <c r="T5381">
        <v>4</v>
      </c>
      <c r="AY5381">
        <f t="shared" si="168"/>
        <v>43</v>
      </c>
      <c r="AZ5381">
        <f t="shared" si="169"/>
        <v>3</v>
      </c>
    </row>
    <row r="5382" spans="1:52" ht="55.2">
      <c r="A5382" s="3" t="s">
        <v>5426</v>
      </c>
      <c r="C5382">
        <v>6</v>
      </c>
      <c r="T5382">
        <v>4</v>
      </c>
      <c r="AY5382">
        <f t="shared" si="168"/>
        <v>43</v>
      </c>
      <c r="AZ5382">
        <f t="shared" si="169"/>
        <v>3</v>
      </c>
    </row>
    <row r="5383" spans="1:52" ht="55.2">
      <c r="A5383" s="3" t="s">
        <v>5427</v>
      </c>
      <c r="C5383">
        <v>6</v>
      </c>
      <c r="K5383">
        <v>17</v>
      </c>
      <c r="AY5383">
        <f t="shared" si="168"/>
        <v>43</v>
      </c>
      <c r="AZ5383">
        <f t="shared" si="169"/>
        <v>3</v>
      </c>
    </row>
    <row r="5384" spans="1:52" ht="55.2">
      <c r="A5384" s="3" t="s">
        <v>5428</v>
      </c>
      <c r="C5384">
        <v>6</v>
      </c>
      <c r="K5384">
        <v>17</v>
      </c>
      <c r="AY5384">
        <f t="shared" si="168"/>
        <v>43</v>
      </c>
      <c r="AZ5384">
        <f t="shared" si="169"/>
        <v>3</v>
      </c>
    </row>
    <row r="5385" spans="1:52" ht="55.2">
      <c r="A5385" s="3" t="s">
        <v>5429</v>
      </c>
      <c r="C5385">
        <v>6</v>
      </c>
      <c r="K5385">
        <v>17</v>
      </c>
      <c r="AY5385">
        <f t="shared" si="168"/>
        <v>43</v>
      </c>
      <c r="AZ5385">
        <f t="shared" si="169"/>
        <v>3</v>
      </c>
    </row>
    <row r="5386" spans="1:52" ht="55.2">
      <c r="A5386" s="3" t="s">
        <v>5430</v>
      </c>
      <c r="C5386">
        <v>6</v>
      </c>
      <c r="K5386">
        <v>17</v>
      </c>
      <c r="AY5386">
        <f t="shared" si="168"/>
        <v>43</v>
      </c>
      <c r="AZ5386">
        <f t="shared" si="169"/>
        <v>3</v>
      </c>
    </row>
    <row r="5387" spans="1:52" ht="55.2">
      <c r="A5387" s="3" t="s">
        <v>5431</v>
      </c>
      <c r="C5387">
        <v>6</v>
      </c>
      <c r="K5387">
        <v>17</v>
      </c>
      <c r="AY5387">
        <f t="shared" si="168"/>
        <v>43</v>
      </c>
      <c r="AZ5387">
        <f t="shared" si="169"/>
        <v>3</v>
      </c>
    </row>
    <row r="5388" spans="1:52" ht="55.2">
      <c r="A5388" s="3" t="s">
        <v>5432</v>
      </c>
      <c r="C5388">
        <v>6</v>
      </c>
      <c r="K5388">
        <v>17</v>
      </c>
      <c r="AY5388">
        <f t="shared" si="168"/>
        <v>43</v>
      </c>
      <c r="AZ5388">
        <f t="shared" si="169"/>
        <v>3</v>
      </c>
    </row>
    <row r="5389" spans="1:52" ht="55.2">
      <c r="A5389" s="3" t="s">
        <v>5433</v>
      </c>
      <c r="C5389">
        <v>6</v>
      </c>
      <c r="K5389">
        <v>17</v>
      </c>
      <c r="AY5389">
        <f t="shared" si="168"/>
        <v>43</v>
      </c>
      <c r="AZ5389">
        <f t="shared" si="169"/>
        <v>3</v>
      </c>
    </row>
    <row r="5390" spans="1:52" ht="55.2">
      <c r="A5390" s="3" t="s">
        <v>5434</v>
      </c>
      <c r="C5390">
        <v>6</v>
      </c>
      <c r="K5390">
        <v>17</v>
      </c>
      <c r="AY5390">
        <f t="shared" si="168"/>
        <v>43</v>
      </c>
      <c r="AZ5390">
        <f t="shared" si="169"/>
        <v>3</v>
      </c>
    </row>
    <row r="5391" spans="1:52" ht="55.2">
      <c r="A5391" s="3" t="s">
        <v>5435</v>
      </c>
      <c r="C5391">
        <v>6</v>
      </c>
      <c r="K5391">
        <v>17</v>
      </c>
      <c r="AY5391">
        <f t="shared" si="168"/>
        <v>43</v>
      </c>
      <c r="AZ5391">
        <f t="shared" si="169"/>
        <v>3</v>
      </c>
    </row>
    <row r="5392" spans="1:52" ht="55.2">
      <c r="A5392" s="3" t="s">
        <v>5436</v>
      </c>
      <c r="C5392">
        <v>6</v>
      </c>
      <c r="K5392">
        <v>17</v>
      </c>
      <c r="AY5392">
        <f t="shared" si="168"/>
        <v>43</v>
      </c>
      <c r="AZ5392">
        <f t="shared" si="169"/>
        <v>3</v>
      </c>
    </row>
    <row r="5393" spans="1:52" ht="55.2">
      <c r="A5393" s="3" t="s">
        <v>5437</v>
      </c>
      <c r="C5393">
        <v>6</v>
      </c>
      <c r="K5393">
        <v>17</v>
      </c>
      <c r="AY5393">
        <f t="shared" si="168"/>
        <v>43</v>
      </c>
      <c r="AZ5393">
        <f t="shared" si="169"/>
        <v>3</v>
      </c>
    </row>
    <row r="5394" spans="1:52" ht="55.2">
      <c r="A5394" s="3" t="s">
        <v>5438</v>
      </c>
      <c r="C5394">
        <v>6</v>
      </c>
      <c r="K5394">
        <v>17</v>
      </c>
      <c r="AY5394">
        <f t="shared" si="168"/>
        <v>43</v>
      </c>
      <c r="AZ5394">
        <f t="shared" si="169"/>
        <v>3</v>
      </c>
    </row>
    <row r="5395" spans="1:52" ht="55.2">
      <c r="A5395" s="3" t="s">
        <v>5439</v>
      </c>
      <c r="C5395">
        <v>6</v>
      </c>
      <c r="K5395">
        <v>17</v>
      </c>
      <c r="AY5395">
        <f t="shared" si="168"/>
        <v>43</v>
      </c>
      <c r="AZ5395">
        <f t="shared" si="169"/>
        <v>3</v>
      </c>
    </row>
    <row r="5396" spans="1:52" ht="55.2">
      <c r="A5396" s="3" t="s">
        <v>5440</v>
      </c>
      <c r="C5396">
        <v>6</v>
      </c>
      <c r="K5396">
        <v>17</v>
      </c>
      <c r="AY5396">
        <f t="shared" si="168"/>
        <v>43</v>
      </c>
      <c r="AZ5396">
        <f t="shared" si="169"/>
        <v>3</v>
      </c>
    </row>
    <row r="5397" spans="1:52" ht="55.2">
      <c r="A5397" s="3" t="s">
        <v>5441</v>
      </c>
      <c r="C5397">
        <v>6</v>
      </c>
      <c r="K5397">
        <v>17</v>
      </c>
      <c r="AY5397">
        <f t="shared" si="168"/>
        <v>43</v>
      </c>
      <c r="AZ5397">
        <f t="shared" si="169"/>
        <v>3</v>
      </c>
    </row>
    <row r="5398" spans="1:52" ht="55.2">
      <c r="A5398" s="3" t="s">
        <v>5442</v>
      </c>
      <c r="C5398">
        <v>6</v>
      </c>
      <c r="K5398">
        <v>17</v>
      </c>
      <c r="AY5398">
        <f t="shared" si="168"/>
        <v>43</v>
      </c>
      <c r="AZ5398">
        <f t="shared" si="169"/>
        <v>3</v>
      </c>
    </row>
    <row r="5399" spans="1:52" ht="55.2">
      <c r="A5399" s="3" t="s">
        <v>5443</v>
      </c>
      <c r="C5399">
        <v>6</v>
      </c>
      <c r="K5399">
        <v>17</v>
      </c>
      <c r="AY5399">
        <f t="shared" si="168"/>
        <v>43</v>
      </c>
      <c r="AZ5399">
        <f t="shared" si="169"/>
        <v>3</v>
      </c>
    </row>
    <row r="5400" spans="1:52" ht="55.2">
      <c r="A5400" s="3" t="s">
        <v>5444</v>
      </c>
      <c r="C5400">
        <v>6</v>
      </c>
      <c r="K5400">
        <v>17</v>
      </c>
      <c r="AY5400">
        <f t="shared" si="168"/>
        <v>43</v>
      </c>
      <c r="AZ5400">
        <f t="shared" si="169"/>
        <v>3</v>
      </c>
    </row>
    <row r="5401" spans="1:52" ht="55.2">
      <c r="A5401" s="3" t="s">
        <v>5445</v>
      </c>
      <c r="C5401">
        <v>6</v>
      </c>
      <c r="K5401">
        <v>17</v>
      </c>
      <c r="AY5401">
        <f t="shared" si="168"/>
        <v>43</v>
      </c>
      <c r="AZ5401">
        <f t="shared" si="169"/>
        <v>3</v>
      </c>
    </row>
    <row r="5402" spans="1:52" ht="55.2">
      <c r="A5402" s="3" t="s">
        <v>5446</v>
      </c>
      <c r="C5402">
        <v>6</v>
      </c>
      <c r="K5402">
        <v>17</v>
      </c>
      <c r="AY5402">
        <f t="shared" si="168"/>
        <v>43</v>
      </c>
      <c r="AZ5402">
        <f t="shared" si="169"/>
        <v>3</v>
      </c>
    </row>
    <row r="5403" spans="1:52" ht="55.2">
      <c r="A5403" s="3" t="s">
        <v>5447</v>
      </c>
      <c r="C5403">
        <v>6</v>
      </c>
      <c r="K5403">
        <v>17</v>
      </c>
      <c r="AY5403">
        <f t="shared" si="168"/>
        <v>43</v>
      </c>
      <c r="AZ5403">
        <f t="shared" si="169"/>
        <v>3</v>
      </c>
    </row>
    <row r="5404" spans="1:52" ht="55.2">
      <c r="A5404" s="3" t="s">
        <v>5448</v>
      </c>
      <c r="C5404">
        <v>6</v>
      </c>
      <c r="K5404">
        <v>17</v>
      </c>
      <c r="AY5404">
        <f t="shared" si="168"/>
        <v>43</v>
      </c>
      <c r="AZ5404">
        <f t="shared" si="169"/>
        <v>3</v>
      </c>
    </row>
    <row r="5405" spans="1:52" ht="55.2">
      <c r="A5405" s="3" t="s">
        <v>5449</v>
      </c>
      <c r="C5405">
        <v>6</v>
      </c>
      <c r="K5405">
        <v>17</v>
      </c>
      <c r="AY5405">
        <f t="shared" si="168"/>
        <v>43</v>
      </c>
      <c r="AZ5405">
        <f t="shared" si="169"/>
        <v>3</v>
      </c>
    </row>
    <row r="5406" spans="1:52" ht="55.2">
      <c r="A5406" s="3" t="s">
        <v>5450</v>
      </c>
      <c r="C5406">
        <v>6</v>
      </c>
      <c r="K5406">
        <v>17</v>
      </c>
      <c r="AY5406">
        <f t="shared" si="168"/>
        <v>43</v>
      </c>
      <c r="AZ5406">
        <f t="shared" si="169"/>
        <v>3</v>
      </c>
    </row>
    <row r="5407" spans="1:52" ht="55.2">
      <c r="A5407" s="3" t="s">
        <v>5451</v>
      </c>
      <c r="C5407">
        <v>6</v>
      </c>
      <c r="K5407">
        <v>17</v>
      </c>
      <c r="AY5407">
        <f t="shared" si="168"/>
        <v>43</v>
      </c>
      <c r="AZ5407">
        <f t="shared" si="169"/>
        <v>3</v>
      </c>
    </row>
    <row r="5408" spans="1:52" ht="55.2">
      <c r="A5408" s="3" t="s">
        <v>5452</v>
      </c>
      <c r="C5408">
        <v>6</v>
      </c>
      <c r="K5408">
        <v>17</v>
      </c>
      <c r="AY5408">
        <f t="shared" si="168"/>
        <v>43</v>
      </c>
      <c r="AZ5408">
        <f t="shared" si="169"/>
        <v>3</v>
      </c>
    </row>
    <row r="5409" spans="1:52" ht="55.2">
      <c r="A5409" s="3" t="s">
        <v>5453</v>
      </c>
      <c r="C5409">
        <v>6</v>
      </c>
      <c r="K5409">
        <v>17</v>
      </c>
      <c r="AY5409">
        <f t="shared" ref="AY5409:AY5472" si="170">COUNTBLANK(F5409:AW5409)</f>
        <v>43</v>
      </c>
      <c r="AZ5409">
        <f t="shared" ref="AZ5409:AZ5472" si="171">COUNTBLANK(B5409:E5409)</f>
        <v>3</v>
      </c>
    </row>
    <row r="5410" spans="1:52" ht="55.2">
      <c r="A5410" s="3" t="s">
        <v>5454</v>
      </c>
      <c r="C5410">
        <v>6</v>
      </c>
      <c r="K5410">
        <v>17</v>
      </c>
      <c r="AY5410">
        <f t="shared" si="170"/>
        <v>43</v>
      </c>
      <c r="AZ5410">
        <f t="shared" si="171"/>
        <v>3</v>
      </c>
    </row>
    <row r="5411" spans="1:52" ht="55.2">
      <c r="A5411" s="3" t="s">
        <v>5455</v>
      </c>
      <c r="C5411">
        <v>6</v>
      </c>
      <c r="K5411">
        <v>17</v>
      </c>
      <c r="AY5411">
        <f t="shared" si="170"/>
        <v>43</v>
      </c>
      <c r="AZ5411">
        <f t="shared" si="171"/>
        <v>3</v>
      </c>
    </row>
    <row r="5412" spans="1:52" ht="55.2">
      <c r="A5412" s="3" t="s">
        <v>5456</v>
      </c>
      <c r="C5412">
        <v>6</v>
      </c>
      <c r="K5412">
        <v>17</v>
      </c>
      <c r="AY5412">
        <f t="shared" si="170"/>
        <v>43</v>
      </c>
      <c r="AZ5412">
        <f t="shared" si="171"/>
        <v>3</v>
      </c>
    </row>
    <row r="5413" spans="1:52" ht="55.2">
      <c r="A5413" s="3" t="s">
        <v>5457</v>
      </c>
      <c r="C5413">
        <v>6</v>
      </c>
      <c r="K5413">
        <v>17</v>
      </c>
      <c r="AY5413">
        <f t="shared" si="170"/>
        <v>43</v>
      </c>
      <c r="AZ5413">
        <f t="shared" si="171"/>
        <v>3</v>
      </c>
    </row>
    <row r="5414" spans="1:52" ht="55.2">
      <c r="A5414" s="3" t="s">
        <v>5458</v>
      </c>
      <c r="C5414">
        <v>6</v>
      </c>
      <c r="K5414">
        <v>17</v>
      </c>
      <c r="AY5414">
        <f t="shared" si="170"/>
        <v>43</v>
      </c>
      <c r="AZ5414">
        <f t="shared" si="171"/>
        <v>3</v>
      </c>
    </row>
    <row r="5415" spans="1:52" ht="55.2">
      <c r="A5415" s="3" t="s">
        <v>5459</v>
      </c>
      <c r="C5415">
        <v>6</v>
      </c>
      <c r="K5415">
        <v>17</v>
      </c>
      <c r="AY5415">
        <f t="shared" si="170"/>
        <v>43</v>
      </c>
      <c r="AZ5415">
        <f t="shared" si="171"/>
        <v>3</v>
      </c>
    </row>
    <row r="5416" spans="1:52" ht="55.2">
      <c r="A5416" s="3" t="s">
        <v>5460</v>
      </c>
      <c r="C5416">
        <v>6</v>
      </c>
      <c r="K5416">
        <v>17</v>
      </c>
      <c r="AY5416">
        <f t="shared" si="170"/>
        <v>43</v>
      </c>
      <c r="AZ5416">
        <f t="shared" si="171"/>
        <v>3</v>
      </c>
    </row>
    <row r="5417" spans="1:52" ht="55.2">
      <c r="A5417" s="3" t="s">
        <v>5461</v>
      </c>
      <c r="C5417">
        <v>6</v>
      </c>
      <c r="J5417">
        <v>55</v>
      </c>
      <c r="AY5417">
        <f t="shared" si="170"/>
        <v>43</v>
      </c>
      <c r="AZ5417">
        <f t="shared" si="171"/>
        <v>3</v>
      </c>
    </row>
    <row r="5418" spans="1:52" ht="55.2">
      <c r="A5418" s="3" t="s">
        <v>5462</v>
      </c>
      <c r="C5418">
        <v>6</v>
      </c>
      <c r="J5418">
        <v>55</v>
      </c>
      <c r="AY5418">
        <f t="shared" si="170"/>
        <v>43</v>
      </c>
      <c r="AZ5418">
        <f t="shared" si="171"/>
        <v>3</v>
      </c>
    </row>
    <row r="5419" spans="1:52" ht="55.2">
      <c r="A5419" s="3" t="s">
        <v>5463</v>
      </c>
      <c r="C5419">
        <v>6</v>
      </c>
      <c r="J5419">
        <v>55</v>
      </c>
      <c r="AY5419">
        <f t="shared" si="170"/>
        <v>43</v>
      </c>
      <c r="AZ5419">
        <f t="shared" si="171"/>
        <v>3</v>
      </c>
    </row>
    <row r="5420" spans="1:52" ht="55.2">
      <c r="A5420" s="3" t="s">
        <v>5464</v>
      </c>
      <c r="C5420">
        <v>6</v>
      </c>
      <c r="J5420">
        <v>55</v>
      </c>
      <c r="AY5420">
        <f t="shared" si="170"/>
        <v>43</v>
      </c>
      <c r="AZ5420">
        <f t="shared" si="171"/>
        <v>3</v>
      </c>
    </row>
    <row r="5421" spans="1:52" ht="55.2">
      <c r="A5421" s="3" t="s">
        <v>5465</v>
      </c>
      <c r="C5421">
        <v>6</v>
      </c>
      <c r="J5421">
        <v>55</v>
      </c>
      <c r="AY5421">
        <f t="shared" si="170"/>
        <v>43</v>
      </c>
      <c r="AZ5421">
        <f t="shared" si="171"/>
        <v>3</v>
      </c>
    </row>
    <row r="5422" spans="1:52" ht="55.2">
      <c r="A5422" s="3" t="s">
        <v>5466</v>
      </c>
      <c r="C5422">
        <v>6</v>
      </c>
      <c r="J5422">
        <v>55</v>
      </c>
      <c r="AY5422">
        <f t="shared" si="170"/>
        <v>43</v>
      </c>
      <c r="AZ5422">
        <f t="shared" si="171"/>
        <v>3</v>
      </c>
    </row>
    <row r="5423" spans="1:52" ht="55.2">
      <c r="A5423" s="3" t="s">
        <v>5467</v>
      </c>
      <c r="C5423">
        <v>6</v>
      </c>
      <c r="J5423">
        <v>55</v>
      </c>
      <c r="AY5423">
        <f t="shared" si="170"/>
        <v>43</v>
      </c>
      <c r="AZ5423">
        <f t="shared" si="171"/>
        <v>3</v>
      </c>
    </row>
    <row r="5424" spans="1:52" ht="55.2">
      <c r="A5424" s="3" t="s">
        <v>5468</v>
      </c>
      <c r="C5424">
        <v>6</v>
      </c>
      <c r="J5424">
        <v>55</v>
      </c>
      <c r="AY5424">
        <f t="shared" si="170"/>
        <v>43</v>
      </c>
      <c r="AZ5424">
        <f t="shared" si="171"/>
        <v>3</v>
      </c>
    </row>
    <row r="5425" spans="1:52" ht="55.2">
      <c r="A5425" s="3" t="s">
        <v>5469</v>
      </c>
      <c r="C5425">
        <v>6</v>
      </c>
      <c r="J5425">
        <v>55</v>
      </c>
      <c r="AY5425">
        <f t="shared" si="170"/>
        <v>43</v>
      </c>
      <c r="AZ5425">
        <f t="shared" si="171"/>
        <v>3</v>
      </c>
    </row>
    <row r="5426" spans="1:52" ht="55.2">
      <c r="A5426" s="3" t="s">
        <v>5470</v>
      </c>
      <c r="C5426">
        <v>6</v>
      </c>
      <c r="AW5426">
        <v>16</v>
      </c>
      <c r="AY5426">
        <f t="shared" si="170"/>
        <v>43</v>
      </c>
      <c r="AZ5426">
        <f t="shared" si="171"/>
        <v>3</v>
      </c>
    </row>
    <row r="5427" spans="1:52" ht="55.2">
      <c r="A5427" s="3" t="s">
        <v>5471</v>
      </c>
      <c r="C5427">
        <v>6</v>
      </c>
      <c r="AW5427">
        <v>16</v>
      </c>
      <c r="AY5427">
        <f t="shared" si="170"/>
        <v>43</v>
      </c>
      <c r="AZ5427">
        <f t="shared" si="171"/>
        <v>3</v>
      </c>
    </row>
    <row r="5428" spans="1:52" ht="55.2">
      <c r="A5428" s="3" t="s">
        <v>5472</v>
      </c>
      <c r="C5428">
        <v>6</v>
      </c>
      <c r="AW5428">
        <v>16</v>
      </c>
      <c r="AY5428">
        <f t="shared" si="170"/>
        <v>43</v>
      </c>
      <c r="AZ5428">
        <f t="shared" si="171"/>
        <v>3</v>
      </c>
    </row>
    <row r="5429" spans="1:52" ht="55.2">
      <c r="A5429" s="3" t="s">
        <v>5473</v>
      </c>
      <c r="C5429">
        <v>6</v>
      </c>
      <c r="AW5429">
        <v>16</v>
      </c>
      <c r="AY5429">
        <f t="shared" si="170"/>
        <v>43</v>
      </c>
      <c r="AZ5429">
        <f t="shared" si="171"/>
        <v>3</v>
      </c>
    </row>
    <row r="5430" spans="1:52" ht="55.2">
      <c r="A5430" s="3" t="s">
        <v>5474</v>
      </c>
      <c r="C5430">
        <v>6</v>
      </c>
      <c r="AW5430">
        <v>16</v>
      </c>
      <c r="AY5430">
        <f t="shared" si="170"/>
        <v>43</v>
      </c>
      <c r="AZ5430">
        <f t="shared" si="171"/>
        <v>3</v>
      </c>
    </row>
    <row r="5431" spans="1:52" ht="55.2">
      <c r="A5431" s="3" t="s">
        <v>5475</v>
      </c>
      <c r="C5431">
        <v>6</v>
      </c>
      <c r="AW5431">
        <v>16</v>
      </c>
      <c r="AY5431">
        <f t="shared" si="170"/>
        <v>43</v>
      </c>
      <c r="AZ5431">
        <f t="shared" si="171"/>
        <v>3</v>
      </c>
    </row>
    <row r="5432" spans="1:52" ht="55.2">
      <c r="A5432" s="3" t="s">
        <v>5476</v>
      </c>
      <c r="C5432">
        <v>6</v>
      </c>
      <c r="AW5432">
        <v>16</v>
      </c>
      <c r="AY5432">
        <f t="shared" si="170"/>
        <v>43</v>
      </c>
      <c r="AZ5432">
        <f t="shared" si="171"/>
        <v>3</v>
      </c>
    </row>
    <row r="5433" spans="1:52" ht="55.2">
      <c r="A5433" s="3" t="s">
        <v>5477</v>
      </c>
      <c r="C5433">
        <v>6</v>
      </c>
      <c r="AW5433">
        <v>16</v>
      </c>
      <c r="AY5433">
        <f t="shared" si="170"/>
        <v>43</v>
      </c>
      <c r="AZ5433">
        <f t="shared" si="171"/>
        <v>3</v>
      </c>
    </row>
    <row r="5434" spans="1:52" ht="55.2">
      <c r="A5434" s="3" t="s">
        <v>5478</v>
      </c>
      <c r="C5434">
        <v>6</v>
      </c>
      <c r="AW5434">
        <v>16</v>
      </c>
      <c r="AY5434">
        <f t="shared" si="170"/>
        <v>43</v>
      </c>
      <c r="AZ5434">
        <f t="shared" si="171"/>
        <v>3</v>
      </c>
    </row>
    <row r="5435" spans="1:52" ht="55.2">
      <c r="A5435" s="3" t="s">
        <v>5479</v>
      </c>
      <c r="C5435">
        <v>6</v>
      </c>
      <c r="AW5435">
        <v>16</v>
      </c>
      <c r="AY5435">
        <f t="shared" si="170"/>
        <v>43</v>
      </c>
      <c r="AZ5435">
        <f t="shared" si="171"/>
        <v>3</v>
      </c>
    </row>
    <row r="5436" spans="1:52" ht="55.2">
      <c r="A5436" s="3" t="s">
        <v>5480</v>
      </c>
      <c r="C5436">
        <v>6</v>
      </c>
      <c r="J5436">
        <v>56</v>
      </c>
      <c r="AY5436">
        <f t="shared" si="170"/>
        <v>43</v>
      </c>
      <c r="AZ5436">
        <f t="shared" si="171"/>
        <v>3</v>
      </c>
    </row>
    <row r="5437" spans="1:52" ht="55.2">
      <c r="A5437" s="3" t="s">
        <v>5481</v>
      </c>
      <c r="C5437">
        <v>6</v>
      </c>
      <c r="J5437">
        <v>56</v>
      </c>
      <c r="AY5437">
        <f t="shared" si="170"/>
        <v>43</v>
      </c>
      <c r="AZ5437">
        <f t="shared" si="171"/>
        <v>3</v>
      </c>
    </row>
    <row r="5438" spans="1:52" ht="55.2">
      <c r="A5438" s="3" t="s">
        <v>5482</v>
      </c>
      <c r="C5438">
        <v>6</v>
      </c>
      <c r="J5438">
        <v>56</v>
      </c>
      <c r="AY5438">
        <f t="shared" si="170"/>
        <v>43</v>
      </c>
      <c r="AZ5438">
        <f t="shared" si="171"/>
        <v>3</v>
      </c>
    </row>
    <row r="5439" spans="1:52" ht="55.2">
      <c r="A5439" s="3" t="s">
        <v>5483</v>
      </c>
      <c r="C5439">
        <v>6</v>
      </c>
      <c r="J5439">
        <v>56</v>
      </c>
      <c r="AY5439">
        <f t="shared" si="170"/>
        <v>43</v>
      </c>
      <c r="AZ5439">
        <f t="shared" si="171"/>
        <v>3</v>
      </c>
    </row>
    <row r="5440" spans="1:52" ht="55.2">
      <c r="A5440" s="3" t="s">
        <v>5484</v>
      </c>
      <c r="C5440">
        <v>6</v>
      </c>
      <c r="J5440">
        <v>56</v>
      </c>
      <c r="AY5440">
        <f t="shared" si="170"/>
        <v>43</v>
      </c>
      <c r="AZ5440">
        <f t="shared" si="171"/>
        <v>3</v>
      </c>
    </row>
    <row r="5441" spans="1:52" ht="55.2">
      <c r="A5441" s="3" t="s">
        <v>5485</v>
      </c>
      <c r="C5441">
        <v>6</v>
      </c>
      <c r="J5441">
        <v>56</v>
      </c>
      <c r="AY5441">
        <f t="shared" si="170"/>
        <v>43</v>
      </c>
      <c r="AZ5441">
        <f t="shared" si="171"/>
        <v>3</v>
      </c>
    </row>
    <row r="5442" spans="1:52" ht="55.2">
      <c r="A5442" s="3" t="s">
        <v>5486</v>
      </c>
      <c r="C5442">
        <v>6</v>
      </c>
      <c r="J5442">
        <v>56</v>
      </c>
      <c r="AY5442">
        <f t="shared" si="170"/>
        <v>43</v>
      </c>
      <c r="AZ5442">
        <f t="shared" si="171"/>
        <v>3</v>
      </c>
    </row>
    <row r="5443" spans="1:52" ht="55.2">
      <c r="A5443" s="3" t="s">
        <v>5487</v>
      </c>
      <c r="C5443">
        <v>6</v>
      </c>
      <c r="J5443">
        <v>56</v>
      </c>
      <c r="AY5443">
        <f t="shared" si="170"/>
        <v>43</v>
      </c>
      <c r="AZ5443">
        <f t="shared" si="171"/>
        <v>3</v>
      </c>
    </row>
    <row r="5444" spans="1:52" ht="55.2">
      <c r="A5444" s="3" t="s">
        <v>5488</v>
      </c>
      <c r="C5444">
        <v>6</v>
      </c>
      <c r="J5444">
        <v>56</v>
      </c>
      <c r="AY5444">
        <f t="shared" si="170"/>
        <v>43</v>
      </c>
      <c r="AZ5444">
        <f t="shared" si="171"/>
        <v>3</v>
      </c>
    </row>
    <row r="5445" spans="1:52" ht="55.2">
      <c r="A5445" s="3" t="s">
        <v>5489</v>
      </c>
      <c r="C5445">
        <v>6</v>
      </c>
      <c r="J5445">
        <v>56</v>
      </c>
      <c r="AY5445">
        <f t="shared" si="170"/>
        <v>43</v>
      </c>
      <c r="AZ5445">
        <f t="shared" si="171"/>
        <v>3</v>
      </c>
    </row>
    <row r="5446" spans="1:52" ht="55.2">
      <c r="A5446" s="3" t="s">
        <v>5490</v>
      </c>
      <c r="C5446">
        <v>6</v>
      </c>
      <c r="J5446">
        <v>56</v>
      </c>
      <c r="AY5446">
        <f t="shared" si="170"/>
        <v>43</v>
      </c>
      <c r="AZ5446">
        <f t="shared" si="171"/>
        <v>3</v>
      </c>
    </row>
    <row r="5447" spans="1:52" ht="55.2">
      <c r="A5447" s="3" t="s">
        <v>5491</v>
      </c>
      <c r="C5447">
        <v>6</v>
      </c>
      <c r="J5447">
        <v>56</v>
      </c>
      <c r="AY5447">
        <f t="shared" si="170"/>
        <v>43</v>
      </c>
      <c r="AZ5447">
        <f t="shared" si="171"/>
        <v>3</v>
      </c>
    </row>
    <row r="5448" spans="1:52" ht="55.2">
      <c r="A5448" s="3" t="s">
        <v>5492</v>
      </c>
      <c r="C5448">
        <v>6</v>
      </c>
      <c r="J5448">
        <v>56</v>
      </c>
      <c r="AY5448">
        <f t="shared" si="170"/>
        <v>43</v>
      </c>
      <c r="AZ5448">
        <f t="shared" si="171"/>
        <v>3</v>
      </c>
    </row>
    <row r="5449" spans="1:52" ht="55.2">
      <c r="A5449" s="3" t="s">
        <v>5493</v>
      </c>
      <c r="C5449">
        <v>6</v>
      </c>
      <c r="J5449">
        <v>56</v>
      </c>
      <c r="AY5449">
        <f t="shared" si="170"/>
        <v>43</v>
      </c>
      <c r="AZ5449">
        <f t="shared" si="171"/>
        <v>3</v>
      </c>
    </row>
    <row r="5450" spans="1:52" ht="55.2">
      <c r="A5450" s="3" t="s">
        <v>5494</v>
      </c>
      <c r="C5450">
        <v>6</v>
      </c>
      <c r="J5450">
        <v>56</v>
      </c>
      <c r="AY5450">
        <f t="shared" si="170"/>
        <v>43</v>
      </c>
      <c r="AZ5450">
        <f t="shared" si="171"/>
        <v>3</v>
      </c>
    </row>
    <row r="5451" spans="1:52" ht="55.2">
      <c r="A5451" s="3" t="s">
        <v>5495</v>
      </c>
      <c r="C5451">
        <v>6</v>
      </c>
      <c r="V5451">
        <v>2</v>
      </c>
      <c r="AY5451">
        <f t="shared" si="170"/>
        <v>43</v>
      </c>
      <c r="AZ5451">
        <f t="shared" si="171"/>
        <v>3</v>
      </c>
    </row>
    <row r="5452" spans="1:52" ht="55.2">
      <c r="A5452" s="3" t="s">
        <v>5496</v>
      </c>
      <c r="C5452">
        <v>6</v>
      </c>
      <c r="V5452">
        <v>2</v>
      </c>
      <c r="AY5452">
        <f t="shared" si="170"/>
        <v>43</v>
      </c>
      <c r="AZ5452">
        <f t="shared" si="171"/>
        <v>3</v>
      </c>
    </row>
    <row r="5453" spans="1:52" ht="55.2">
      <c r="A5453" s="3" t="s">
        <v>5497</v>
      </c>
      <c r="C5453">
        <v>6</v>
      </c>
      <c r="V5453">
        <v>2</v>
      </c>
      <c r="AY5453">
        <f t="shared" si="170"/>
        <v>43</v>
      </c>
      <c r="AZ5453">
        <f t="shared" si="171"/>
        <v>3</v>
      </c>
    </row>
    <row r="5454" spans="1:52" ht="55.2">
      <c r="A5454" s="3" t="s">
        <v>5498</v>
      </c>
      <c r="C5454">
        <v>6</v>
      </c>
      <c r="V5454">
        <v>2</v>
      </c>
      <c r="AY5454">
        <f t="shared" si="170"/>
        <v>43</v>
      </c>
      <c r="AZ5454">
        <f t="shared" si="171"/>
        <v>3</v>
      </c>
    </row>
    <row r="5455" spans="1:52" ht="55.2">
      <c r="A5455" s="3" t="s">
        <v>5499</v>
      </c>
      <c r="C5455">
        <v>6</v>
      </c>
      <c r="V5455">
        <v>2</v>
      </c>
      <c r="AY5455">
        <f t="shared" si="170"/>
        <v>43</v>
      </c>
      <c r="AZ5455">
        <f t="shared" si="171"/>
        <v>3</v>
      </c>
    </row>
    <row r="5456" spans="1:52" ht="55.2">
      <c r="A5456" s="3" t="s">
        <v>5500</v>
      </c>
      <c r="C5456">
        <v>6</v>
      </c>
      <c r="V5456">
        <v>2</v>
      </c>
      <c r="AY5456">
        <f t="shared" si="170"/>
        <v>43</v>
      </c>
      <c r="AZ5456">
        <f t="shared" si="171"/>
        <v>3</v>
      </c>
    </row>
    <row r="5457" spans="1:52" ht="55.2">
      <c r="A5457" s="3" t="s">
        <v>5501</v>
      </c>
      <c r="C5457">
        <v>6</v>
      </c>
      <c r="V5457">
        <v>2</v>
      </c>
      <c r="AY5457">
        <f t="shared" si="170"/>
        <v>43</v>
      </c>
      <c r="AZ5457">
        <f t="shared" si="171"/>
        <v>3</v>
      </c>
    </row>
    <row r="5458" spans="1:52" ht="55.2">
      <c r="A5458" s="3" t="s">
        <v>5502</v>
      </c>
      <c r="C5458">
        <v>6</v>
      </c>
      <c r="V5458">
        <v>2</v>
      </c>
      <c r="AY5458">
        <f t="shared" si="170"/>
        <v>43</v>
      </c>
      <c r="AZ5458">
        <f t="shared" si="171"/>
        <v>3</v>
      </c>
    </row>
    <row r="5459" spans="1:52" ht="55.2">
      <c r="A5459" s="3" t="s">
        <v>5503</v>
      </c>
      <c r="C5459">
        <v>6</v>
      </c>
      <c r="V5459">
        <v>2</v>
      </c>
      <c r="AY5459">
        <f t="shared" si="170"/>
        <v>43</v>
      </c>
      <c r="AZ5459">
        <f t="shared" si="171"/>
        <v>3</v>
      </c>
    </row>
    <row r="5460" spans="1:52" ht="55.2">
      <c r="A5460" s="3" t="s">
        <v>5504</v>
      </c>
      <c r="C5460">
        <v>6</v>
      </c>
      <c r="V5460">
        <v>2</v>
      </c>
      <c r="AY5460">
        <f t="shared" si="170"/>
        <v>43</v>
      </c>
      <c r="AZ5460">
        <f t="shared" si="171"/>
        <v>3</v>
      </c>
    </row>
    <row r="5461" spans="1:52" ht="55.2">
      <c r="A5461" s="3" t="s">
        <v>5505</v>
      </c>
      <c r="C5461">
        <v>6</v>
      </c>
      <c r="V5461">
        <v>2</v>
      </c>
      <c r="AY5461">
        <f t="shared" si="170"/>
        <v>43</v>
      </c>
      <c r="AZ5461">
        <f t="shared" si="171"/>
        <v>3</v>
      </c>
    </row>
    <row r="5462" spans="1:52" ht="55.2">
      <c r="A5462" s="3" t="s">
        <v>5506</v>
      </c>
      <c r="C5462">
        <v>6</v>
      </c>
      <c r="V5462">
        <v>2</v>
      </c>
      <c r="AY5462">
        <f t="shared" si="170"/>
        <v>43</v>
      </c>
      <c r="AZ5462">
        <f t="shared" si="171"/>
        <v>3</v>
      </c>
    </row>
    <row r="5463" spans="1:52" ht="55.2">
      <c r="A5463" s="3" t="s">
        <v>5507</v>
      </c>
      <c r="C5463">
        <v>6</v>
      </c>
      <c r="V5463">
        <v>2</v>
      </c>
      <c r="AY5463">
        <f t="shared" si="170"/>
        <v>43</v>
      </c>
      <c r="AZ5463">
        <f t="shared" si="171"/>
        <v>3</v>
      </c>
    </row>
    <row r="5464" spans="1:52" ht="55.2">
      <c r="A5464" s="3" t="s">
        <v>5508</v>
      </c>
      <c r="C5464">
        <v>6</v>
      </c>
      <c r="V5464">
        <v>2</v>
      </c>
      <c r="AY5464">
        <f t="shared" si="170"/>
        <v>43</v>
      </c>
      <c r="AZ5464">
        <f t="shared" si="171"/>
        <v>3</v>
      </c>
    </row>
    <row r="5465" spans="1:52" ht="55.2">
      <c r="A5465" s="3" t="s">
        <v>5509</v>
      </c>
      <c r="C5465">
        <v>6</v>
      </c>
      <c r="V5465">
        <v>2</v>
      </c>
      <c r="AY5465">
        <f t="shared" si="170"/>
        <v>43</v>
      </c>
      <c r="AZ5465">
        <f t="shared" si="171"/>
        <v>3</v>
      </c>
    </row>
    <row r="5466" spans="1:52" ht="55.2">
      <c r="A5466" s="3" t="s">
        <v>5510</v>
      </c>
      <c r="C5466">
        <v>6</v>
      </c>
      <c r="V5466">
        <v>2</v>
      </c>
      <c r="AY5466">
        <f t="shared" si="170"/>
        <v>43</v>
      </c>
      <c r="AZ5466">
        <f t="shared" si="171"/>
        <v>3</v>
      </c>
    </row>
    <row r="5467" spans="1:52" ht="55.2">
      <c r="A5467" s="3" t="s">
        <v>5511</v>
      </c>
      <c r="C5467">
        <v>6</v>
      </c>
      <c r="V5467">
        <v>2</v>
      </c>
      <c r="AY5467">
        <f t="shared" si="170"/>
        <v>43</v>
      </c>
      <c r="AZ5467">
        <f t="shared" si="171"/>
        <v>3</v>
      </c>
    </row>
    <row r="5468" spans="1:52" ht="55.2">
      <c r="A5468" s="3" t="s">
        <v>5512</v>
      </c>
      <c r="C5468">
        <v>6</v>
      </c>
      <c r="V5468">
        <v>2</v>
      </c>
      <c r="AY5468">
        <f t="shared" si="170"/>
        <v>43</v>
      </c>
      <c r="AZ5468">
        <f t="shared" si="171"/>
        <v>3</v>
      </c>
    </row>
    <row r="5469" spans="1:52" ht="55.2">
      <c r="A5469" s="3" t="s">
        <v>5513</v>
      </c>
      <c r="C5469">
        <v>6</v>
      </c>
      <c r="V5469">
        <v>2</v>
      </c>
      <c r="AY5469">
        <f t="shared" si="170"/>
        <v>43</v>
      </c>
      <c r="AZ5469">
        <f t="shared" si="171"/>
        <v>3</v>
      </c>
    </row>
    <row r="5470" spans="1:52" ht="55.2">
      <c r="A5470" s="3" t="s">
        <v>5514</v>
      </c>
      <c r="C5470">
        <v>6</v>
      </c>
      <c r="V5470">
        <v>2</v>
      </c>
      <c r="AY5470">
        <f t="shared" si="170"/>
        <v>43</v>
      </c>
      <c r="AZ5470">
        <f t="shared" si="171"/>
        <v>3</v>
      </c>
    </row>
    <row r="5471" spans="1:52" ht="55.2">
      <c r="A5471" s="3" t="s">
        <v>5515</v>
      </c>
      <c r="C5471">
        <v>6</v>
      </c>
      <c r="V5471">
        <v>2</v>
      </c>
      <c r="AY5471">
        <f t="shared" si="170"/>
        <v>43</v>
      </c>
      <c r="AZ5471">
        <f t="shared" si="171"/>
        <v>3</v>
      </c>
    </row>
    <row r="5472" spans="1:52" ht="55.2">
      <c r="A5472" s="3" t="s">
        <v>5516</v>
      </c>
      <c r="C5472">
        <v>6</v>
      </c>
      <c r="V5472">
        <v>2</v>
      </c>
      <c r="AY5472">
        <f t="shared" si="170"/>
        <v>43</v>
      </c>
      <c r="AZ5472">
        <f t="shared" si="171"/>
        <v>3</v>
      </c>
    </row>
    <row r="5473" spans="1:52" ht="55.2">
      <c r="A5473" s="3" t="s">
        <v>5517</v>
      </c>
      <c r="C5473">
        <v>6</v>
      </c>
      <c r="V5473">
        <v>2</v>
      </c>
      <c r="AY5473">
        <f t="shared" ref="AY5473:AY5536" si="172">COUNTBLANK(F5473:AW5473)</f>
        <v>43</v>
      </c>
      <c r="AZ5473">
        <f t="shared" ref="AZ5473:AZ5536" si="173">COUNTBLANK(B5473:E5473)</f>
        <v>3</v>
      </c>
    </row>
    <row r="5474" spans="1:52" ht="55.2">
      <c r="A5474" s="3" t="s">
        <v>5518</v>
      </c>
      <c r="C5474">
        <v>6</v>
      </c>
      <c r="V5474">
        <v>2</v>
      </c>
      <c r="AY5474">
        <f t="shared" si="172"/>
        <v>43</v>
      </c>
      <c r="AZ5474">
        <f t="shared" si="173"/>
        <v>3</v>
      </c>
    </row>
    <row r="5475" spans="1:52" ht="55.2">
      <c r="A5475" s="3" t="s">
        <v>5519</v>
      </c>
      <c r="C5475">
        <v>6</v>
      </c>
      <c r="V5475">
        <v>2</v>
      </c>
      <c r="AY5475">
        <f t="shared" si="172"/>
        <v>43</v>
      </c>
      <c r="AZ5475">
        <f t="shared" si="173"/>
        <v>3</v>
      </c>
    </row>
    <row r="5476" spans="1:52" ht="55.2">
      <c r="A5476" s="3" t="s">
        <v>5520</v>
      </c>
      <c r="C5476">
        <v>6</v>
      </c>
      <c r="V5476">
        <v>2</v>
      </c>
      <c r="AY5476">
        <f t="shared" si="172"/>
        <v>43</v>
      </c>
      <c r="AZ5476">
        <f t="shared" si="173"/>
        <v>3</v>
      </c>
    </row>
    <row r="5477" spans="1:52" ht="55.2">
      <c r="A5477" s="3" t="s">
        <v>5521</v>
      </c>
      <c r="C5477">
        <v>6</v>
      </c>
      <c r="V5477">
        <v>2</v>
      </c>
      <c r="AY5477">
        <f t="shared" si="172"/>
        <v>43</v>
      </c>
      <c r="AZ5477">
        <f t="shared" si="173"/>
        <v>3</v>
      </c>
    </row>
    <row r="5478" spans="1:52" ht="55.2">
      <c r="A5478" s="3" t="s">
        <v>5522</v>
      </c>
      <c r="C5478">
        <v>6</v>
      </c>
      <c r="V5478">
        <v>2</v>
      </c>
      <c r="AY5478">
        <f t="shared" si="172"/>
        <v>43</v>
      </c>
      <c r="AZ5478">
        <f t="shared" si="173"/>
        <v>3</v>
      </c>
    </row>
    <row r="5479" spans="1:52" ht="55.2">
      <c r="A5479" s="3" t="s">
        <v>5523</v>
      </c>
      <c r="C5479">
        <v>6</v>
      </c>
      <c r="V5479">
        <v>2</v>
      </c>
      <c r="AY5479">
        <f t="shared" si="172"/>
        <v>43</v>
      </c>
      <c r="AZ5479">
        <f t="shared" si="173"/>
        <v>3</v>
      </c>
    </row>
    <row r="5480" spans="1:52" ht="55.2">
      <c r="A5480" s="3" t="s">
        <v>5524</v>
      </c>
      <c r="C5480">
        <v>6</v>
      </c>
      <c r="V5480">
        <v>2</v>
      </c>
      <c r="AY5480">
        <f t="shared" si="172"/>
        <v>43</v>
      </c>
      <c r="AZ5480">
        <f t="shared" si="173"/>
        <v>3</v>
      </c>
    </row>
    <row r="5481" spans="1:52" ht="55.2">
      <c r="A5481" s="3" t="s">
        <v>5525</v>
      </c>
      <c r="C5481">
        <v>6</v>
      </c>
      <c r="V5481">
        <v>2</v>
      </c>
      <c r="AY5481">
        <f t="shared" si="172"/>
        <v>43</v>
      </c>
      <c r="AZ5481">
        <f t="shared" si="173"/>
        <v>3</v>
      </c>
    </row>
    <row r="5482" spans="1:52" ht="55.2">
      <c r="A5482" s="3" t="s">
        <v>5526</v>
      </c>
      <c r="C5482">
        <v>6</v>
      </c>
      <c r="V5482">
        <v>2</v>
      </c>
      <c r="AY5482">
        <f t="shared" si="172"/>
        <v>43</v>
      </c>
      <c r="AZ5482">
        <f t="shared" si="173"/>
        <v>3</v>
      </c>
    </row>
    <row r="5483" spans="1:52" ht="55.2">
      <c r="A5483" s="3" t="s">
        <v>5527</v>
      </c>
      <c r="C5483">
        <v>6</v>
      </c>
      <c r="V5483">
        <v>2</v>
      </c>
      <c r="AY5483">
        <f t="shared" si="172"/>
        <v>43</v>
      </c>
      <c r="AZ5483">
        <f t="shared" si="173"/>
        <v>3</v>
      </c>
    </row>
    <row r="5484" spans="1:52" ht="55.2">
      <c r="A5484" s="3" t="s">
        <v>5528</v>
      </c>
      <c r="C5484">
        <v>6</v>
      </c>
      <c r="V5484">
        <v>2</v>
      </c>
      <c r="AY5484">
        <f t="shared" si="172"/>
        <v>43</v>
      </c>
      <c r="AZ5484">
        <f t="shared" si="173"/>
        <v>3</v>
      </c>
    </row>
    <row r="5485" spans="1:52" ht="55.2">
      <c r="A5485" s="3" t="s">
        <v>5529</v>
      </c>
      <c r="C5485">
        <v>6</v>
      </c>
      <c r="V5485">
        <v>2</v>
      </c>
      <c r="AY5485">
        <f t="shared" si="172"/>
        <v>43</v>
      </c>
      <c r="AZ5485">
        <f t="shared" si="173"/>
        <v>3</v>
      </c>
    </row>
    <row r="5486" spans="1:52" ht="55.2">
      <c r="A5486" s="3" t="s">
        <v>5530</v>
      </c>
      <c r="C5486">
        <v>6</v>
      </c>
      <c r="V5486">
        <v>2</v>
      </c>
      <c r="AY5486">
        <f t="shared" si="172"/>
        <v>43</v>
      </c>
      <c r="AZ5486">
        <f t="shared" si="173"/>
        <v>3</v>
      </c>
    </row>
    <row r="5487" spans="1:52" ht="55.2">
      <c r="A5487" s="3" t="s">
        <v>5531</v>
      </c>
      <c r="C5487">
        <v>6</v>
      </c>
      <c r="V5487">
        <v>2</v>
      </c>
      <c r="AY5487">
        <f t="shared" si="172"/>
        <v>43</v>
      </c>
      <c r="AZ5487">
        <f t="shared" si="173"/>
        <v>3</v>
      </c>
    </row>
    <row r="5488" spans="1:52" ht="55.2">
      <c r="A5488" s="3" t="s">
        <v>5532</v>
      </c>
      <c r="C5488">
        <v>6</v>
      </c>
      <c r="V5488">
        <v>2</v>
      </c>
      <c r="AY5488">
        <f t="shared" si="172"/>
        <v>43</v>
      </c>
      <c r="AZ5488">
        <f t="shared" si="173"/>
        <v>3</v>
      </c>
    </row>
    <row r="5489" spans="1:52" ht="55.2">
      <c r="A5489" s="3" t="s">
        <v>5533</v>
      </c>
      <c r="C5489">
        <v>6</v>
      </c>
      <c r="V5489">
        <v>2</v>
      </c>
      <c r="AY5489">
        <f t="shared" si="172"/>
        <v>43</v>
      </c>
      <c r="AZ5489">
        <f t="shared" si="173"/>
        <v>3</v>
      </c>
    </row>
    <row r="5490" spans="1:52" ht="55.2">
      <c r="A5490" s="3" t="s">
        <v>5534</v>
      </c>
      <c r="C5490">
        <v>6</v>
      </c>
      <c r="V5490">
        <v>2</v>
      </c>
      <c r="AY5490">
        <f t="shared" si="172"/>
        <v>43</v>
      </c>
      <c r="AZ5490">
        <f t="shared" si="173"/>
        <v>3</v>
      </c>
    </row>
    <row r="5491" spans="1:52" ht="55.2">
      <c r="A5491" s="3" t="s">
        <v>5535</v>
      </c>
      <c r="C5491">
        <v>6</v>
      </c>
      <c r="V5491">
        <v>2</v>
      </c>
      <c r="AY5491">
        <f t="shared" si="172"/>
        <v>43</v>
      </c>
      <c r="AZ5491">
        <f t="shared" si="173"/>
        <v>3</v>
      </c>
    </row>
    <row r="5492" spans="1:52" ht="55.2">
      <c r="A5492" s="3" t="s">
        <v>5536</v>
      </c>
      <c r="C5492">
        <v>6</v>
      </c>
      <c r="V5492">
        <v>2</v>
      </c>
      <c r="AY5492">
        <f t="shared" si="172"/>
        <v>43</v>
      </c>
      <c r="AZ5492">
        <f t="shared" si="173"/>
        <v>3</v>
      </c>
    </row>
    <row r="5493" spans="1:52" ht="55.2">
      <c r="A5493" s="3" t="s">
        <v>5537</v>
      </c>
      <c r="C5493">
        <v>6</v>
      </c>
      <c r="V5493">
        <v>2</v>
      </c>
      <c r="AY5493">
        <f t="shared" si="172"/>
        <v>43</v>
      </c>
      <c r="AZ5493">
        <f t="shared" si="173"/>
        <v>3</v>
      </c>
    </row>
    <row r="5494" spans="1:52" ht="55.2">
      <c r="A5494" s="3" t="s">
        <v>5538</v>
      </c>
      <c r="C5494">
        <v>6</v>
      </c>
      <c r="V5494">
        <v>2</v>
      </c>
      <c r="AY5494">
        <f t="shared" si="172"/>
        <v>43</v>
      </c>
      <c r="AZ5494">
        <f t="shared" si="173"/>
        <v>3</v>
      </c>
    </row>
    <row r="5495" spans="1:52" ht="55.2">
      <c r="A5495" s="3" t="s">
        <v>5539</v>
      </c>
      <c r="C5495">
        <v>6</v>
      </c>
      <c r="V5495">
        <v>2</v>
      </c>
      <c r="AY5495">
        <f t="shared" si="172"/>
        <v>43</v>
      </c>
      <c r="AZ5495">
        <f t="shared" si="173"/>
        <v>3</v>
      </c>
    </row>
    <row r="5496" spans="1:52" ht="55.2">
      <c r="A5496" s="3" t="s">
        <v>5540</v>
      </c>
      <c r="C5496">
        <v>6</v>
      </c>
      <c r="V5496">
        <v>2</v>
      </c>
      <c r="AY5496">
        <f t="shared" si="172"/>
        <v>43</v>
      </c>
      <c r="AZ5496">
        <f t="shared" si="173"/>
        <v>3</v>
      </c>
    </row>
    <row r="5497" spans="1:52" ht="55.2">
      <c r="A5497" s="3" t="s">
        <v>5541</v>
      </c>
      <c r="C5497">
        <v>6</v>
      </c>
      <c r="V5497">
        <v>2</v>
      </c>
      <c r="AY5497">
        <f t="shared" si="172"/>
        <v>43</v>
      </c>
      <c r="AZ5497">
        <f t="shared" si="173"/>
        <v>3</v>
      </c>
    </row>
    <row r="5498" spans="1:52" ht="55.2">
      <c r="A5498" s="3" t="s">
        <v>5542</v>
      </c>
      <c r="C5498">
        <v>6</v>
      </c>
      <c r="V5498">
        <v>2</v>
      </c>
      <c r="AY5498">
        <f t="shared" si="172"/>
        <v>43</v>
      </c>
      <c r="AZ5498">
        <f t="shared" si="173"/>
        <v>3</v>
      </c>
    </row>
    <row r="5499" spans="1:52" ht="55.2">
      <c r="A5499" s="3" t="s">
        <v>5543</v>
      </c>
      <c r="C5499">
        <v>6</v>
      </c>
      <c r="V5499">
        <v>2</v>
      </c>
      <c r="AY5499">
        <f t="shared" si="172"/>
        <v>43</v>
      </c>
      <c r="AZ5499">
        <f t="shared" si="173"/>
        <v>3</v>
      </c>
    </row>
    <row r="5500" spans="1:52" ht="55.2">
      <c r="A5500" s="3" t="s">
        <v>5544</v>
      </c>
      <c r="C5500">
        <v>6</v>
      </c>
      <c r="V5500">
        <v>2</v>
      </c>
      <c r="AY5500">
        <f t="shared" si="172"/>
        <v>43</v>
      </c>
      <c r="AZ5500">
        <f t="shared" si="173"/>
        <v>3</v>
      </c>
    </row>
    <row r="5501" spans="1:52" ht="55.2">
      <c r="A5501" s="3" t="s">
        <v>5545</v>
      </c>
      <c r="C5501">
        <v>6</v>
      </c>
      <c r="V5501">
        <v>2</v>
      </c>
      <c r="AY5501">
        <f t="shared" si="172"/>
        <v>43</v>
      </c>
      <c r="AZ5501">
        <f t="shared" si="173"/>
        <v>3</v>
      </c>
    </row>
    <row r="5502" spans="1:52" ht="55.2">
      <c r="A5502" s="3" t="s">
        <v>5546</v>
      </c>
      <c r="C5502">
        <v>6</v>
      </c>
      <c r="V5502">
        <v>2</v>
      </c>
      <c r="AY5502">
        <f t="shared" si="172"/>
        <v>43</v>
      </c>
      <c r="AZ5502">
        <f t="shared" si="173"/>
        <v>3</v>
      </c>
    </row>
    <row r="5503" spans="1:52" ht="55.2">
      <c r="A5503" s="3" t="s">
        <v>5547</v>
      </c>
      <c r="C5503">
        <v>6</v>
      </c>
      <c r="V5503">
        <v>2</v>
      </c>
      <c r="AY5503">
        <f t="shared" si="172"/>
        <v>43</v>
      </c>
      <c r="AZ5503">
        <f t="shared" si="173"/>
        <v>3</v>
      </c>
    </row>
    <row r="5504" spans="1:52" ht="55.2">
      <c r="A5504" s="3" t="s">
        <v>5548</v>
      </c>
      <c r="C5504">
        <v>6</v>
      </c>
      <c r="V5504">
        <v>2</v>
      </c>
      <c r="AY5504">
        <f t="shared" si="172"/>
        <v>43</v>
      </c>
      <c r="AZ5504">
        <f t="shared" si="173"/>
        <v>3</v>
      </c>
    </row>
    <row r="5505" spans="1:52" ht="55.2">
      <c r="A5505" s="3" t="s">
        <v>5549</v>
      </c>
      <c r="C5505">
        <v>6</v>
      </c>
      <c r="V5505">
        <v>2</v>
      </c>
      <c r="AY5505">
        <f t="shared" si="172"/>
        <v>43</v>
      </c>
      <c r="AZ5505">
        <f t="shared" si="173"/>
        <v>3</v>
      </c>
    </row>
    <row r="5506" spans="1:52" ht="55.2">
      <c r="A5506" s="3" t="s">
        <v>5550</v>
      </c>
      <c r="C5506">
        <v>6</v>
      </c>
      <c r="V5506">
        <v>2</v>
      </c>
      <c r="AY5506">
        <f t="shared" si="172"/>
        <v>43</v>
      </c>
      <c r="AZ5506">
        <f t="shared" si="173"/>
        <v>3</v>
      </c>
    </row>
    <row r="5507" spans="1:52" ht="55.2">
      <c r="A5507" s="3" t="s">
        <v>5551</v>
      </c>
      <c r="C5507">
        <v>6</v>
      </c>
      <c r="V5507">
        <v>2</v>
      </c>
      <c r="AY5507">
        <f t="shared" si="172"/>
        <v>43</v>
      </c>
      <c r="AZ5507">
        <f t="shared" si="173"/>
        <v>3</v>
      </c>
    </row>
    <row r="5508" spans="1:52" ht="55.2">
      <c r="A5508" s="3" t="s">
        <v>5552</v>
      </c>
      <c r="C5508">
        <v>6</v>
      </c>
      <c r="V5508">
        <v>2</v>
      </c>
      <c r="AY5508">
        <f t="shared" si="172"/>
        <v>43</v>
      </c>
      <c r="AZ5508">
        <f t="shared" si="173"/>
        <v>3</v>
      </c>
    </row>
    <row r="5509" spans="1:52" ht="55.2">
      <c r="A5509" s="3" t="s">
        <v>5553</v>
      </c>
      <c r="C5509">
        <v>6</v>
      </c>
      <c r="V5509">
        <v>2</v>
      </c>
      <c r="AY5509">
        <f t="shared" si="172"/>
        <v>43</v>
      </c>
      <c r="AZ5509">
        <f t="shared" si="173"/>
        <v>3</v>
      </c>
    </row>
    <row r="5510" spans="1:52" ht="55.2">
      <c r="A5510" s="3" t="s">
        <v>5554</v>
      </c>
      <c r="C5510">
        <v>6</v>
      </c>
      <c r="V5510">
        <v>2</v>
      </c>
      <c r="AY5510">
        <f t="shared" si="172"/>
        <v>43</v>
      </c>
      <c r="AZ5510">
        <f t="shared" si="173"/>
        <v>3</v>
      </c>
    </row>
    <row r="5511" spans="1:52" ht="55.2">
      <c r="A5511" s="3" t="s">
        <v>5555</v>
      </c>
      <c r="C5511">
        <v>6</v>
      </c>
      <c r="V5511">
        <v>2</v>
      </c>
      <c r="AY5511">
        <f t="shared" si="172"/>
        <v>43</v>
      </c>
      <c r="AZ5511">
        <f t="shared" si="173"/>
        <v>3</v>
      </c>
    </row>
    <row r="5512" spans="1:52" ht="55.2">
      <c r="A5512" s="3" t="s">
        <v>5556</v>
      </c>
      <c r="C5512">
        <v>6</v>
      </c>
      <c r="V5512">
        <v>2</v>
      </c>
      <c r="AY5512">
        <f t="shared" si="172"/>
        <v>43</v>
      </c>
      <c r="AZ5512">
        <f t="shared" si="173"/>
        <v>3</v>
      </c>
    </row>
    <row r="5513" spans="1:52" ht="55.2">
      <c r="A5513" s="3" t="s">
        <v>5557</v>
      </c>
      <c r="C5513">
        <v>6</v>
      </c>
      <c r="V5513">
        <v>2</v>
      </c>
      <c r="AY5513">
        <f t="shared" si="172"/>
        <v>43</v>
      </c>
      <c r="AZ5513">
        <f t="shared" si="173"/>
        <v>3</v>
      </c>
    </row>
    <row r="5514" spans="1:52" ht="55.2">
      <c r="A5514" s="3" t="s">
        <v>5558</v>
      </c>
      <c r="C5514">
        <v>6</v>
      </c>
      <c r="V5514">
        <v>2</v>
      </c>
      <c r="AY5514">
        <f t="shared" si="172"/>
        <v>43</v>
      </c>
      <c r="AZ5514">
        <f t="shared" si="173"/>
        <v>3</v>
      </c>
    </row>
    <row r="5515" spans="1:52" ht="55.2">
      <c r="A5515" s="3" t="s">
        <v>5559</v>
      </c>
      <c r="C5515">
        <v>6</v>
      </c>
      <c r="V5515">
        <v>2</v>
      </c>
      <c r="AY5515">
        <f t="shared" si="172"/>
        <v>43</v>
      </c>
      <c r="AZ5515">
        <f t="shared" si="173"/>
        <v>3</v>
      </c>
    </row>
    <row r="5516" spans="1:52" ht="55.2">
      <c r="A5516" s="3" t="s">
        <v>5560</v>
      </c>
      <c r="C5516">
        <v>6</v>
      </c>
      <c r="V5516">
        <v>2</v>
      </c>
      <c r="AY5516">
        <f t="shared" si="172"/>
        <v>43</v>
      </c>
      <c r="AZ5516">
        <f t="shared" si="173"/>
        <v>3</v>
      </c>
    </row>
    <row r="5517" spans="1:52" ht="55.2">
      <c r="A5517" s="3" t="s">
        <v>5561</v>
      </c>
      <c r="C5517">
        <v>6</v>
      </c>
      <c r="V5517">
        <v>2</v>
      </c>
      <c r="AY5517">
        <f t="shared" si="172"/>
        <v>43</v>
      </c>
      <c r="AZ5517">
        <f t="shared" si="173"/>
        <v>3</v>
      </c>
    </row>
    <row r="5518" spans="1:52" ht="55.2">
      <c r="A5518" s="3" t="s">
        <v>5562</v>
      </c>
      <c r="C5518">
        <v>6</v>
      </c>
      <c r="V5518">
        <v>2</v>
      </c>
      <c r="AY5518">
        <f t="shared" si="172"/>
        <v>43</v>
      </c>
      <c r="AZ5518">
        <f t="shared" si="173"/>
        <v>3</v>
      </c>
    </row>
    <row r="5519" spans="1:52" ht="55.2">
      <c r="A5519" s="3" t="s">
        <v>5563</v>
      </c>
      <c r="C5519">
        <v>6</v>
      </c>
      <c r="V5519">
        <v>2</v>
      </c>
      <c r="AY5519">
        <f t="shared" si="172"/>
        <v>43</v>
      </c>
      <c r="AZ5519">
        <f t="shared" si="173"/>
        <v>3</v>
      </c>
    </row>
    <row r="5520" spans="1:52" ht="55.2">
      <c r="A5520" s="3" t="s">
        <v>5564</v>
      </c>
      <c r="C5520">
        <v>6</v>
      </c>
      <c r="V5520">
        <v>2</v>
      </c>
      <c r="AY5520">
        <f t="shared" si="172"/>
        <v>43</v>
      </c>
      <c r="AZ5520">
        <f t="shared" si="173"/>
        <v>3</v>
      </c>
    </row>
    <row r="5521" spans="1:52" ht="55.2">
      <c r="A5521" s="3" t="s">
        <v>5565</v>
      </c>
      <c r="C5521">
        <v>6</v>
      </c>
      <c r="V5521">
        <v>2</v>
      </c>
      <c r="AY5521">
        <f t="shared" si="172"/>
        <v>43</v>
      </c>
      <c r="AZ5521">
        <f t="shared" si="173"/>
        <v>3</v>
      </c>
    </row>
    <row r="5522" spans="1:52" ht="55.2">
      <c r="A5522" s="3" t="s">
        <v>5566</v>
      </c>
      <c r="C5522">
        <v>6</v>
      </c>
      <c r="V5522">
        <v>2</v>
      </c>
      <c r="AY5522">
        <f t="shared" si="172"/>
        <v>43</v>
      </c>
      <c r="AZ5522">
        <f t="shared" si="173"/>
        <v>3</v>
      </c>
    </row>
    <row r="5523" spans="1:52" ht="55.2">
      <c r="A5523" s="3" t="s">
        <v>5567</v>
      </c>
      <c r="C5523">
        <v>6</v>
      </c>
      <c r="V5523">
        <v>2</v>
      </c>
      <c r="AY5523">
        <f t="shared" si="172"/>
        <v>43</v>
      </c>
      <c r="AZ5523">
        <f t="shared" si="173"/>
        <v>3</v>
      </c>
    </row>
    <row r="5524" spans="1:52" ht="55.2">
      <c r="A5524" s="3" t="s">
        <v>5568</v>
      </c>
      <c r="C5524">
        <v>6</v>
      </c>
      <c r="V5524">
        <v>2</v>
      </c>
      <c r="AY5524">
        <f t="shared" si="172"/>
        <v>43</v>
      </c>
      <c r="AZ5524">
        <f t="shared" si="173"/>
        <v>3</v>
      </c>
    </row>
    <row r="5525" spans="1:52" ht="55.2">
      <c r="A5525" s="3" t="s">
        <v>5569</v>
      </c>
      <c r="C5525">
        <v>6</v>
      </c>
      <c r="V5525">
        <v>2</v>
      </c>
      <c r="AY5525">
        <f t="shared" si="172"/>
        <v>43</v>
      </c>
      <c r="AZ5525">
        <f t="shared" si="173"/>
        <v>3</v>
      </c>
    </row>
    <row r="5526" spans="1:52" ht="55.2">
      <c r="A5526" s="3" t="s">
        <v>5570</v>
      </c>
      <c r="C5526">
        <v>6</v>
      </c>
      <c r="V5526">
        <v>2</v>
      </c>
      <c r="AY5526">
        <f t="shared" si="172"/>
        <v>43</v>
      </c>
      <c r="AZ5526">
        <f t="shared" si="173"/>
        <v>3</v>
      </c>
    </row>
    <row r="5527" spans="1:52" ht="55.2">
      <c r="A5527" s="3" t="s">
        <v>5571</v>
      </c>
      <c r="C5527">
        <v>6</v>
      </c>
      <c r="V5527">
        <v>2</v>
      </c>
      <c r="AY5527">
        <f t="shared" si="172"/>
        <v>43</v>
      </c>
      <c r="AZ5527">
        <f t="shared" si="173"/>
        <v>3</v>
      </c>
    </row>
    <row r="5528" spans="1:52" ht="55.2">
      <c r="A5528" s="3" t="s">
        <v>5572</v>
      </c>
      <c r="C5528">
        <v>6</v>
      </c>
      <c r="V5528">
        <v>2</v>
      </c>
      <c r="AY5528">
        <f t="shared" si="172"/>
        <v>43</v>
      </c>
      <c r="AZ5528">
        <f t="shared" si="173"/>
        <v>3</v>
      </c>
    </row>
    <row r="5529" spans="1:52" ht="55.2">
      <c r="A5529" s="3" t="s">
        <v>5573</v>
      </c>
      <c r="C5529">
        <v>6</v>
      </c>
      <c r="V5529">
        <v>2</v>
      </c>
      <c r="AY5529">
        <f t="shared" si="172"/>
        <v>43</v>
      </c>
      <c r="AZ5529">
        <f t="shared" si="173"/>
        <v>3</v>
      </c>
    </row>
    <row r="5530" spans="1:52" ht="55.2">
      <c r="A5530" s="3" t="s">
        <v>5574</v>
      </c>
      <c r="C5530">
        <v>6</v>
      </c>
      <c r="V5530">
        <v>2</v>
      </c>
      <c r="AY5530">
        <f t="shared" si="172"/>
        <v>43</v>
      </c>
      <c r="AZ5530">
        <f t="shared" si="173"/>
        <v>3</v>
      </c>
    </row>
    <row r="5531" spans="1:52" ht="55.2">
      <c r="A5531" s="3" t="s">
        <v>5575</v>
      </c>
      <c r="C5531">
        <v>6</v>
      </c>
      <c r="V5531">
        <v>2</v>
      </c>
      <c r="AY5531">
        <f t="shared" si="172"/>
        <v>43</v>
      </c>
      <c r="AZ5531">
        <f t="shared" si="173"/>
        <v>3</v>
      </c>
    </row>
    <row r="5532" spans="1:52" ht="55.2">
      <c r="A5532" s="3" t="s">
        <v>5576</v>
      </c>
      <c r="C5532">
        <v>6</v>
      </c>
      <c r="V5532">
        <v>2</v>
      </c>
      <c r="AY5532">
        <f t="shared" si="172"/>
        <v>43</v>
      </c>
      <c r="AZ5532">
        <f t="shared" si="173"/>
        <v>3</v>
      </c>
    </row>
    <row r="5533" spans="1:52" ht="55.2">
      <c r="A5533" s="3" t="s">
        <v>5577</v>
      </c>
      <c r="C5533">
        <v>6</v>
      </c>
      <c r="V5533">
        <v>2</v>
      </c>
      <c r="AY5533">
        <f t="shared" si="172"/>
        <v>43</v>
      </c>
      <c r="AZ5533">
        <f t="shared" si="173"/>
        <v>3</v>
      </c>
    </row>
    <row r="5534" spans="1:52" ht="55.2">
      <c r="A5534" s="3" t="s">
        <v>5578</v>
      </c>
      <c r="C5534">
        <v>6</v>
      </c>
      <c r="V5534">
        <v>2</v>
      </c>
      <c r="AY5534">
        <f t="shared" si="172"/>
        <v>43</v>
      </c>
      <c r="AZ5534">
        <f t="shared" si="173"/>
        <v>3</v>
      </c>
    </row>
    <row r="5535" spans="1:52" ht="55.2">
      <c r="A5535" s="3" t="s">
        <v>5579</v>
      </c>
      <c r="C5535">
        <v>6</v>
      </c>
      <c r="V5535">
        <v>2</v>
      </c>
      <c r="AY5535">
        <f t="shared" si="172"/>
        <v>43</v>
      </c>
      <c r="AZ5535">
        <f t="shared" si="173"/>
        <v>3</v>
      </c>
    </row>
    <row r="5536" spans="1:52" ht="55.2">
      <c r="A5536" s="3" t="s">
        <v>5580</v>
      </c>
      <c r="C5536">
        <v>6</v>
      </c>
      <c r="V5536">
        <v>2</v>
      </c>
      <c r="AY5536">
        <f t="shared" si="172"/>
        <v>43</v>
      </c>
      <c r="AZ5536">
        <f t="shared" si="173"/>
        <v>3</v>
      </c>
    </row>
    <row r="5537" spans="1:52" ht="55.2">
      <c r="A5537" s="3" t="s">
        <v>5581</v>
      </c>
      <c r="C5537">
        <v>6</v>
      </c>
      <c r="V5537">
        <v>2</v>
      </c>
      <c r="AY5537">
        <f t="shared" ref="AY5537:AY5600" si="174">COUNTBLANK(F5537:AW5537)</f>
        <v>43</v>
      </c>
      <c r="AZ5537">
        <f t="shared" ref="AZ5537:AZ5600" si="175">COUNTBLANK(B5537:E5537)</f>
        <v>3</v>
      </c>
    </row>
    <row r="5538" spans="1:52" ht="55.2">
      <c r="A5538" s="3" t="s">
        <v>5582</v>
      </c>
      <c r="C5538">
        <v>6</v>
      </c>
      <c r="V5538">
        <v>2</v>
      </c>
      <c r="AY5538">
        <f t="shared" si="174"/>
        <v>43</v>
      </c>
      <c r="AZ5538">
        <f t="shared" si="175"/>
        <v>3</v>
      </c>
    </row>
    <row r="5539" spans="1:52" ht="55.2">
      <c r="A5539" s="3" t="s">
        <v>5583</v>
      </c>
      <c r="C5539">
        <v>6</v>
      </c>
      <c r="V5539">
        <v>2</v>
      </c>
      <c r="AY5539">
        <f t="shared" si="174"/>
        <v>43</v>
      </c>
      <c r="AZ5539">
        <f t="shared" si="175"/>
        <v>3</v>
      </c>
    </row>
    <row r="5540" spans="1:52" ht="55.2">
      <c r="A5540" s="3" t="s">
        <v>5584</v>
      </c>
      <c r="C5540">
        <v>6</v>
      </c>
      <c r="V5540">
        <v>2</v>
      </c>
      <c r="AY5540">
        <f t="shared" si="174"/>
        <v>43</v>
      </c>
      <c r="AZ5540">
        <f t="shared" si="175"/>
        <v>3</v>
      </c>
    </row>
    <row r="5541" spans="1:52" ht="55.2">
      <c r="A5541" s="3" t="s">
        <v>5585</v>
      </c>
      <c r="C5541">
        <v>6</v>
      </c>
      <c r="V5541">
        <v>2</v>
      </c>
      <c r="AY5541">
        <f t="shared" si="174"/>
        <v>43</v>
      </c>
      <c r="AZ5541">
        <f t="shared" si="175"/>
        <v>3</v>
      </c>
    </row>
    <row r="5542" spans="1:52" ht="55.2">
      <c r="A5542" s="3" t="s">
        <v>5586</v>
      </c>
      <c r="C5542">
        <v>6</v>
      </c>
      <c r="V5542">
        <v>2</v>
      </c>
      <c r="AY5542">
        <f t="shared" si="174"/>
        <v>43</v>
      </c>
      <c r="AZ5542">
        <f t="shared" si="175"/>
        <v>3</v>
      </c>
    </row>
    <row r="5543" spans="1:52" ht="55.2">
      <c r="A5543" s="3" t="s">
        <v>5587</v>
      </c>
      <c r="C5543">
        <v>6</v>
      </c>
      <c r="V5543">
        <v>2</v>
      </c>
      <c r="AY5543">
        <f t="shared" si="174"/>
        <v>43</v>
      </c>
      <c r="AZ5543">
        <f t="shared" si="175"/>
        <v>3</v>
      </c>
    </row>
    <row r="5544" spans="1:52" ht="55.2">
      <c r="A5544" s="3" t="s">
        <v>5588</v>
      </c>
      <c r="C5544">
        <v>6</v>
      </c>
      <c r="V5544">
        <v>2</v>
      </c>
      <c r="AY5544">
        <f t="shared" si="174"/>
        <v>43</v>
      </c>
      <c r="AZ5544">
        <f t="shared" si="175"/>
        <v>3</v>
      </c>
    </row>
    <row r="5545" spans="1:52" ht="55.2">
      <c r="A5545" s="3" t="s">
        <v>5589</v>
      </c>
      <c r="C5545">
        <v>6</v>
      </c>
      <c r="V5545">
        <v>2</v>
      </c>
      <c r="AY5545">
        <f t="shared" si="174"/>
        <v>43</v>
      </c>
      <c r="AZ5545">
        <f t="shared" si="175"/>
        <v>3</v>
      </c>
    </row>
    <row r="5546" spans="1:52" ht="55.2">
      <c r="A5546" s="3" t="s">
        <v>5590</v>
      </c>
      <c r="C5546">
        <v>6</v>
      </c>
      <c r="V5546">
        <v>2</v>
      </c>
      <c r="AY5546">
        <f t="shared" si="174"/>
        <v>43</v>
      </c>
      <c r="AZ5546">
        <f t="shared" si="175"/>
        <v>3</v>
      </c>
    </row>
    <row r="5547" spans="1:52" ht="55.2">
      <c r="A5547" s="3" t="s">
        <v>5591</v>
      </c>
      <c r="C5547">
        <v>6</v>
      </c>
      <c r="V5547">
        <v>2</v>
      </c>
      <c r="AY5547">
        <f t="shared" si="174"/>
        <v>43</v>
      </c>
      <c r="AZ5547">
        <f t="shared" si="175"/>
        <v>3</v>
      </c>
    </row>
    <row r="5548" spans="1:52" ht="55.2">
      <c r="A5548" s="3" t="s">
        <v>5592</v>
      </c>
      <c r="C5548">
        <v>6</v>
      </c>
      <c r="V5548">
        <v>2</v>
      </c>
      <c r="AY5548">
        <f t="shared" si="174"/>
        <v>43</v>
      </c>
      <c r="AZ5548">
        <f t="shared" si="175"/>
        <v>3</v>
      </c>
    </row>
    <row r="5549" spans="1:52" ht="55.2">
      <c r="A5549" s="3" t="s">
        <v>5593</v>
      </c>
      <c r="C5549">
        <v>6</v>
      </c>
      <c r="V5549">
        <v>2</v>
      </c>
      <c r="AY5549">
        <f t="shared" si="174"/>
        <v>43</v>
      </c>
      <c r="AZ5549">
        <f t="shared" si="175"/>
        <v>3</v>
      </c>
    </row>
    <row r="5550" spans="1:52" ht="55.2">
      <c r="A5550" s="3" t="s">
        <v>5594</v>
      </c>
      <c r="C5550">
        <v>6</v>
      </c>
      <c r="V5550">
        <v>2</v>
      </c>
      <c r="AY5550">
        <f t="shared" si="174"/>
        <v>43</v>
      </c>
      <c r="AZ5550">
        <f t="shared" si="175"/>
        <v>3</v>
      </c>
    </row>
    <row r="5551" spans="1:52" ht="55.2">
      <c r="A5551" s="3" t="s">
        <v>5595</v>
      </c>
      <c r="C5551">
        <v>6</v>
      </c>
      <c r="V5551">
        <v>2</v>
      </c>
      <c r="AY5551">
        <f t="shared" si="174"/>
        <v>43</v>
      </c>
      <c r="AZ5551">
        <f t="shared" si="175"/>
        <v>3</v>
      </c>
    </row>
    <row r="5552" spans="1:52" ht="55.2">
      <c r="A5552" s="3" t="s">
        <v>5596</v>
      </c>
      <c r="C5552">
        <v>6</v>
      </c>
      <c r="V5552">
        <v>2</v>
      </c>
      <c r="AY5552">
        <f t="shared" si="174"/>
        <v>43</v>
      </c>
      <c r="AZ5552">
        <f t="shared" si="175"/>
        <v>3</v>
      </c>
    </row>
    <row r="5553" spans="1:52" ht="55.2">
      <c r="A5553" s="3" t="s">
        <v>5597</v>
      </c>
      <c r="C5553">
        <v>6</v>
      </c>
      <c r="V5553">
        <v>2</v>
      </c>
      <c r="AY5553">
        <f t="shared" si="174"/>
        <v>43</v>
      </c>
      <c r="AZ5553">
        <f t="shared" si="175"/>
        <v>3</v>
      </c>
    </row>
    <row r="5554" spans="1:52" ht="55.2">
      <c r="A5554" s="3" t="s">
        <v>5598</v>
      </c>
      <c r="C5554">
        <v>6</v>
      </c>
      <c r="V5554">
        <v>2</v>
      </c>
      <c r="AY5554">
        <f t="shared" si="174"/>
        <v>43</v>
      </c>
      <c r="AZ5554">
        <f t="shared" si="175"/>
        <v>3</v>
      </c>
    </row>
    <row r="5555" spans="1:52" ht="55.2">
      <c r="A5555" s="3" t="s">
        <v>5599</v>
      </c>
      <c r="C5555">
        <v>6</v>
      </c>
      <c r="V5555">
        <v>2</v>
      </c>
      <c r="AY5555">
        <f t="shared" si="174"/>
        <v>43</v>
      </c>
      <c r="AZ5555">
        <f t="shared" si="175"/>
        <v>3</v>
      </c>
    </row>
    <row r="5556" spans="1:52" ht="55.2">
      <c r="A5556" s="3" t="s">
        <v>5600</v>
      </c>
      <c r="C5556">
        <v>6</v>
      </c>
      <c r="V5556">
        <v>2</v>
      </c>
      <c r="AY5556">
        <f t="shared" si="174"/>
        <v>43</v>
      </c>
      <c r="AZ5556">
        <f t="shared" si="175"/>
        <v>3</v>
      </c>
    </row>
    <row r="5557" spans="1:52" ht="55.2">
      <c r="A5557" s="3" t="s">
        <v>5601</v>
      </c>
      <c r="C5557">
        <v>6</v>
      </c>
      <c r="V5557">
        <v>2</v>
      </c>
      <c r="AY5557">
        <f t="shared" si="174"/>
        <v>43</v>
      </c>
      <c r="AZ5557">
        <f t="shared" si="175"/>
        <v>3</v>
      </c>
    </row>
    <row r="5558" spans="1:52" ht="55.2">
      <c r="A5558" s="3" t="s">
        <v>5602</v>
      </c>
      <c r="C5558">
        <v>6</v>
      </c>
      <c r="V5558">
        <v>2</v>
      </c>
      <c r="AY5558">
        <f t="shared" si="174"/>
        <v>43</v>
      </c>
      <c r="AZ5558">
        <f t="shared" si="175"/>
        <v>3</v>
      </c>
    </row>
    <row r="5559" spans="1:52" ht="55.2">
      <c r="A5559" s="3" t="s">
        <v>5603</v>
      </c>
      <c r="C5559">
        <v>6</v>
      </c>
      <c r="V5559">
        <v>2</v>
      </c>
      <c r="AY5559">
        <f t="shared" si="174"/>
        <v>43</v>
      </c>
      <c r="AZ5559">
        <f t="shared" si="175"/>
        <v>3</v>
      </c>
    </row>
    <row r="5560" spans="1:52" ht="55.2">
      <c r="A5560" s="3" t="s">
        <v>5604</v>
      </c>
      <c r="C5560">
        <v>6</v>
      </c>
      <c r="V5560">
        <v>2</v>
      </c>
      <c r="AY5560">
        <f t="shared" si="174"/>
        <v>43</v>
      </c>
      <c r="AZ5560">
        <f t="shared" si="175"/>
        <v>3</v>
      </c>
    </row>
    <row r="5561" spans="1:52" ht="55.2">
      <c r="A5561" s="3" t="s">
        <v>5605</v>
      </c>
      <c r="C5561">
        <v>6</v>
      </c>
      <c r="V5561">
        <v>2</v>
      </c>
      <c r="AY5561">
        <f t="shared" si="174"/>
        <v>43</v>
      </c>
      <c r="AZ5561">
        <f t="shared" si="175"/>
        <v>3</v>
      </c>
    </row>
    <row r="5562" spans="1:52" ht="55.2">
      <c r="A5562" s="3" t="s">
        <v>5606</v>
      </c>
      <c r="C5562">
        <v>6</v>
      </c>
      <c r="V5562">
        <v>2</v>
      </c>
      <c r="AY5562">
        <f t="shared" si="174"/>
        <v>43</v>
      </c>
      <c r="AZ5562">
        <f t="shared" si="175"/>
        <v>3</v>
      </c>
    </row>
    <row r="5563" spans="1:52" ht="55.2">
      <c r="A5563" s="3" t="s">
        <v>5607</v>
      </c>
      <c r="C5563">
        <v>6</v>
      </c>
      <c r="V5563">
        <v>2</v>
      </c>
      <c r="AY5563">
        <f t="shared" si="174"/>
        <v>43</v>
      </c>
      <c r="AZ5563">
        <f t="shared" si="175"/>
        <v>3</v>
      </c>
    </row>
    <row r="5564" spans="1:52" ht="55.2">
      <c r="A5564" s="3" t="s">
        <v>5608</v>
      </c>
      <c r="C5564">
        <v>6</v>
      </c>
      <c r="AW5564">
        <v>17</v>
      </c>
      <c r="AY5564">
        <f t="shared" si="174"/>
        <v>43</v>
      </c>
      <c r="AZ5564">
        <f t="shared" si="175"/>
        <v>3</v>
      </c>
    </row>
    <row r="5565" spans="1:52" ht="55.2">
      <c r="A5565" s="3" t="s">
        <v>5609</v>
      </c>
      <c r="C5565">
        <v>6</v>
      </c>
      <c r="J5565">
        <v>57</v>
      </c>
      <c r="AY5565">
        <f t="shared" si="174"/>
        <v>43</v>
      </c>
      <c r="AZ5565">
        <f t="shared" si="175"/>
        <v>3</v>
      </c>
    </row>
    <row r="5566" spans="1:52" ht="55.2">
      <c r="A5566" s="3" t="s">
        <v>5610</v>
      </c>
      <c r="C5566">
        <v>6</v>
      </c>
      <c r="J5566">
        <v>57</v>
      </c>
      <c r="AY5566">
        <f t="shared" si="174"/>
        <v>43</v>
      </c>
      <c r="AZ5566">
        <f t="shared" si="175"/>
        <v>3</v>
      </c>
    </row>
    <row r="5567" spans="1:52" ht="55.2">
      <c r="A5567" s="3" t="s">
        <v>5611</v>
      </c>
      <c r="C5567">
        <v>6</v>
      </c>
      <c r="J5567">
        <v>57</v>
      </c>
      <c r="AY5567">
        <f t="shared" si="174"/>
        <v>43</v>
      </c>
      <c r="AZ5567">
        <f t="shared" si="175"/>
        <v>3</v>
      </c>
    </row>
    <row r="5568" spans="1:52" ht="55.2">
      <c r="A5568" s="3" t="s">
        <v>5612</v>
      </c>
      <c r="C5568">
        <v>6</v>
      </c>
      <c r="J5568">
        <v>57</v>
      </c>
      <c r="AY5568">
        <f t="shared" si="174"/>
        <v>43</v>
      </c>
      <c r="AZ5568">
        <f t="shared" si="175"/>
        <v>3</v>
      </c>
    </row>
    <row r="5569" spans="1:52" ht="55.2">
      <c r="A5569" s="3" t="s">
        <v>5613</v>
      </c>
      <c r="C5569">
        <v>6</v>
      </c>
      <c r="J5569">
        <v>57</v>
      </c>
      <c r="AY5569">
        <f t="shared" si="174"/>
        <v>43</v>
      </c>
      <c r="AZ5569">
        <f t="shared" si="175"/>
        <v>3</v>
      </c>
    </row>
    <row r="5570" spans="1:52" ht="55.2">
      <c r="A5570" s="3" t="s">
        <v>5614</v>
      </c>
      <c r="C5570">
        <v>6</v>
      </c>
      <c r="J5570">
        <v>57</v>
      </c>
      <c r="AY5570">
        <f t="shared" si="174"/>
        <v>43</v>
      </c>
      <c r="AZ5570">
        <f t="shared" si="175"/>
        <v>3</v>
      </c>
    </row>
    <row r="5571" spans="1:52" ht="55.2">
      <c r="A5571" s="3" t="s">
        <v>5615</v>
      </c>
      <c r="C5571">
        <v>6</v>
      </c>
      <c r="J5571">
        <v>57</v>
      </c>
      <c r="AY5571">
        <f t="shared" si="174"/>
        <v>43</v>
      </c>
      <c r="AZ5571">
        <f t="shared" si="175"/>
        <v>3</v>
      </c>
    </row>
    <row r="5572" spans="1:52" ht="55.2">
      <c r="A5572" s="3" t="s">
        <v>5616</v>
      </c>
      <c r="C5572">
        <v>6</v>
      </c>
      <c r="J5572">
        <v>57</v>
      </c>
      <c r="AY5572">
        <f t="shared" si="174"/>
        <v>43</v>
      </c>
      <c r="AZ5572">
        <f t="shared" si="175"/>
        <v>3</v>
      </c>
    </row>
    <row r="5573" spans="1:52" ht="55.2">
      <c r="A5573" s="3" t="s">
        <v>5617</v>
      </c>
      <c r="C5573">
        <v>6</v>
      </c>
      <c r="J5573">
        <v>57</v>
      </c>
      <c r="AY5573">
        <f t="shared" si="174"/>
        <v>43</v>
      </c>
      <c r="AZ5573">
        <f t="shared" si="175"/>
        <v>3</v>
      </c>
    </row>
    <row r="5574" spans="1:52" ht="55.2">
      <c r="A5574" s="3" t="s">
        <v>5618</v>
      </c>
      <c r="C5574">
        <v>6</v>
      </c>
      <c r="J5574">
        <v>57</v>
      </c>
      <c r="AY5574">
        <f t="shared" si="174"/>
        <v>43</v>
      </c>
      <c r="AZ5574">
        <f t="shared" si="175"/>
        <v>3</v>
      </c>
    </row>
    <row r="5575" spans="1:52" ht="55.2">
      <c r="A5575" s="3" t="s">
        <v>5619</v>
      </c>
      <c r="C5575">
        <v>6</v>
      </c>
      <c r="J5575">
        <v>57</v>
      </c>
      <c r="AY5575">
        <f t="shared" si="174"/>
        <v>43</v>
      </c>
      <c r="AZ5575">
        <f t="shared" si="175"/>
        <v>3</v>
      </c>
    </row>
    <row r="5576" spans="1:52" ht="55.2">
      <c r="A5576" s="3" t="s">
        <v>5620</v>
      </c>
      <c r="C5576">
        <v>6</v>
      </c>
      <c r="J5576">
        <v>57</v>
      </c>
      <c r="AY5576">
        <f t="shared" si="174"/>
        <v>43</v>
      </c>
      <c r="AZ5576">
        <f t="shared" si="175"/>
        <v>3</v>
      </c>
    </row>
    <row r="5577" spans="1:52" ht="55.2">
      <c r="A5577" s="3" t="s">
        <v>5621</v>
      </c>
      <c r="C5577">
        <v>6</v>
      </c>
      <c r="J5577">
        <v>57</v>
      </c>
      <c r="AY5577">
        <f t="shared" si="174"/>
        <v>43</v>
      </c>
      <c r="AZ5577">
        <f t="shared" si="175"/>
        <v>3</v>
      </c>
    </row>
    <row r="5578" spans="1:52" ht="55.2">
      <c r="A5578" s="3" t="s">
        <v>5622</v>
      </c>
      <c r="C5578">
        <v>6</v>
      </c>
      <c r="J5578">
        <v>57</v>
      </c>
      <c r="AY5578">
        <f t="shared" si="174"/>
        <v>43</v>
      </c>
      <c r="AZ5578">
        <f t="shared" si="175"/>
        <v>3</v>
      </c>
    </row>
    <row r="5579" spans="1:52" ht="55.2">
      <c r="A5579" s="3" t="s">
        <v>5623</v>
      </c>
      <c r="C5579">
        <v>6</v>
      </c>
      <c r="J5579">
        <v>57</v>
      </c>
      <c r="AY5579">
        <f t="shared" si="174"/>
        <v>43</v>
      </c>
      <c r="AZ5579">
        <f t="shared" si="175"/>
        <v>3</v>
      </c>
    </row>
    <row r="5580" spans="1:52" ht="55.2">
      <c r="A5580" s="3" t="s">
        <v>5624</v>
      </c>
      <c r="C5580">
        <v>6</v>
      </c>
      <c r="D5580">
        <v>6</v>
      </c>
      <c r="J5580">
        <v>57</v>
      </c>
      <c r="AY5580">
        <f t="shared" si="174"/>
        <v>43</v>
      </c>
      <c r="AZ5580">
        <f t="shared" si="175"/>
        <v>2</v>
      </c>
    </row>
    <row r="5581" spans="1:52" ht="55.2">
      <c r="A5581" s="3" t="s">
        <v>5625</v>
      </c>
      <c r="C5581">
        <v>6</v>
      </c>
      <c r="D5581">
        <v>6</v>
      </c>
      <c r="J5581">
        <v>57</v>
      </c>
      <c r="AY5581">
        <f t="shared" si="174"/>
        <v>43</v>
      </c>
      <c r="AZ5581">
        <f t="shared" si="175"/>
        <v>2</v>
      </c>
    </row>
    <row r="5582" spans="1:52" ht="55.2">
      <c r="A5582" s="3" t="s">
        <v>5626</v>
      </c>
      <c r="C5582">
        <v>6</v>
      </c>
      <c r="D5582">
        <v>6</v>
      </c>
      <c r="J5582">
        <v>57</v>
      </c>
      <c r="AY5582">
        <f t="shared" si="174"/>
        <v>43</v>
      </c>
      <c r="AZ5582">
        <f t="shared" si="175"/>
        <v>2</v>
      </c>
    </row>
    <row r="5583" spans="1:52" ht="55.2">
      <c r="A5583" s="3" t="s">
        <v>5627</v>
      </c>
      <c r="C5583">
        <v>6</v>
      </c>
      <c r="D5583">
        <v>6</v>
      </c>
      <c r="J5583">
        <v>57</v>
      </c>
      <c r="AY5583">
        <f t="shared" si="174"/>
        <v>43</v>
      </c>
      <c r="AZ5583">
        <f t="shared" si="175"/>
        <v>2</v>
      </c>
    </row>
    <row r="5584" spans="1:52" ht="55.2">
      <c r="A5584" s="3" t="s">
        <v>5628</v>
      </c>
      <c r="C5584">
        <v>6</v>
      </c>
      <c r="D5584">
        <v>6</v>
      </c>
      <c r="J5584">
        <v>57</v>
      </c>
      <c r="AY5584">
        <f t="shared" si="174"/>
        <v>43</v>
      </c>
      <c r="AZ5584">
        <f t="shared" si="175"/>
        <v>2</v>
      </c>
    </row>
    <row r="5585" spans="1:52" ht="55.2">
      <c r="A5585" s="3" t="s">
        <v>5629</v>
      </c>
      <c r="C5585">
        <v>6</v>
      </c>
      <c r="D5585">
        <v>6</v>
      </c>
      <c r="J5585">
        <v>57</v>
      </c>
      <c r="AY5585">
        <f t="shared" si="174"/>
        <v>43</v>
      </c>
      <c r="AZ5585">
        <f t="shared" si="175"/>
        <v>2</v>
      </c>
    </row>
    <row r="5586" spans="1:52" ht="55.2">
      <c r="A5586" s="3" t="s">
        <v>5630</v>
      </c>
      <c r="C5586">
        <v>6</v>
      </c>
      <c r="D5586">
        <v>6</v>
      </c>
      <c r="J5586">
        <v>57</v>
      </c>
      <c r="AY5586">
        <f t="shared" si="174"/>
        <v>43</v>
      </c>
      <c r="AZ5586">
        <f t="shared" si="175"/>
        <v>2</v>
      </c>
    </row>
    <row r="5587" spans="1:52" ht="55.2">
      <c r="A5587" s="3" t="s">
        <v>5631</v>
      </c>
      <c r="C5587">
        <v>6</v>
      </c>
      <c r="D5587">
        <v>6</v>
      </c>
      <c r="AB5587">
        <v>2</v>
      </c>
      <c r="AY5587">
        <f t="shared" si="174"/>
        <v>43</v>
      </c>
      <c r="AZ5587">
        <f t="shared" si="175"/>
        <v>2</v>
      </c>
    </row>
    <row r="5588" spans="1:52" ht="55.2">
      <c r="A5588" s="3" t="s">
        <v>5632</v>
      </c>
      <c r="D5588">
        <v>6</v>
      </c>
      <c r="AB5588">
        <v>2</v>
      </c>
      <c r="AY5588">
        <f t="shared" si="174"/>
        <v>43</v>
      </c>
      <c r="AZ5588">
        <f t="shared" si="175"/>
        <v>3</v>
      </c>
    </row>
    <row r="5589" spans="1:52" ht="55.2">
      <c r="A5589" s="3" t="s">
        <v>5633</v>
      </c>
      <c r="D5589">
        <v>6</v>
      </c>
      <c r="AB5589">
        <v>2</v>
      </c>
      <c r="AY5589">
        <f t="shared" si="174"/>
        <v>43</v>
      </c>
      <c r="AZ5589">
        <f t="shared" si="175"/>
        <v>3</v>
      </c>
    </row>
    <row r="5590" spans="1:52" ht="55.2">
      <c r="A5590" s="3" t="s">
        <v>5634</v>
      </c>
      <c r="D5590">
        <v>6</v>
      </c>
      <c r="AB5590">
        <v>2</v>
      </c>
      <c r="AY5590">
        <f t="shared" si="174"/>
        <v>43</v>
      </c>
      <c r="AZ5590">
        <f t="shared" si="175"/>
        <v>3</v>
      </c>
    </row>
    <row r="5591" spans="1:52" ht="55.2">
      <c r="A5591" s="3" t="s">
        <v>5635</v>
      </c>
      <c r="D5591">
        <v>6</v>
      </c>
      <c r="AB5591">
        <v>2</v>
      </c>
      <c r="AY5591">
        <f t="shared" si="174"/>
        <v>43</v>
      </c>
      <c r="AZ5591">
        <f t="shared" si="175"/>
        <v>3</v>
      </c>
    </row>
    <row r="5592" spans="1:52" ht="55.2">
      <c r="A5592" s="3" t="s">
        <v>5636</v>
      </c>
      <c r="D5592">
        <v>6</v>
      </c>
      <c r="AB5592">
        <v>2</v>
      </c>
      <c r="AY5592">
        <f t="shared" si="174"/>
        <v>43</v>
      </c>
      <c r="AZ5592">
        <f t="shared" si="175"/>
        <v>3</v>
      </c>
    </row>
    <row r="5593" spans="1:52" ht="55.2">
      <c r="A5593" s="3" t="s">
        <v>5637</v>
      </c>
      <c r="D5593">
        <v>6</v>
      </c>
      <c r="AB5593">
        <v>2</v>
      </c>
      <c r="AY5593">
        <f t="shared" si="174"/>
        <v>43</v>
      </c>
      <c r="AZ5593">
        <f t="shared" si="175"/>
        <v>3</v>
      </c>
    </row>
    <row r="5594" spans="1:52" ht="55.2">
      <c r="A5594" s="3" t="s">
        <v>5638</v>
      </c>
      <c r="D5594">
        <v>6</v>
      </c>
      <c r="AB5594">
        <v>2</v>
      </c>
      <c r="AY5594">
        <f t="shared" si="174"/>
        <v>43</v>
      </c>
      <c r="AZ5594">
        <f t="shared" si="175"/>
        <v>3</v>
      </c>
    </row>
    <row r="5595" spans="1:52" ht="55.2">
      <c r="A5595" s="3" t="s">
        <v>5639</v>
      </c>
      <c r="D5595">
        <v>6</v>
      </c>
      <c r="AB5595">
        <v>2</v>
      </c>
      <c r="AY5595">
        <f t="shared" si="174"/>
        <v>43</v>
      </c>
      <c r="AZ5595">
        <f t="shared" si="175"/>
        <v>3</v>
      </c>
    </row>
    <row r="5596" spans="1:52" ht="55.2">
      <c r="A5596" s="3" t="s">
        <v>5640</v>
      </c>
      <c r="D5596">
        <v>6</v>
      </c>
      <c r="AB5596">
        <v>2</v>
      </c>
      <c r="AY5596">
        <f t="shared" si="174"/>
        <v>43</v>
      </c>
      <c r="AZ5596">
        <f t="shared" si="175"/>
        <v>3</v>
      </c>
    </row>
    <row r="5597" spans="1:52" ht="55.2">
      <c r="A5597" s="3" t="s">
        <v>5641</v>
      </c>
      <c r="D5597">
        <v>6</v>
      </c>
      <c r="AB5597">
        <v>2</v>
      </c>
      <c r="AY5597">
        <f t="shared" si="174"/>
        <v>43</v>
      </c>
      <c r="AZ5597">
        <f t="shared" si="175"/>
        <v>3</v>
      </c>
    </row>
    <row r="5598" spans="1:52" ht="55.2">
      <c r="A5598" s="3" t="s">
        <v>5642</v>
      </c>
      <c r="D5598">
        <v>6</v>
      </c>
      <c r="AB5598">
        <v>2</v>
      </c>
      <c r="AY5598">
        <f t="shared" si="174"/>
        <v>43</v>
      </c>
      <c r="AZ5598">
        <f t="shared" si="175"/>
        <v>3</v>
      </c>
    </row>
    <row r="5599" spans="1:52" ht="55.2">
      <c r="A5599" s="3" t="s">
        <v>5643</v>
      </c>
      <c r="D5599">
        <v>6</v>
      </c>
      <c r="AB5599">
        <v>2</v>
      </c>
      <c r="AY5599">
        <f t="shared" si="174"/>
        <v>43</v>
      </c>
      <c r="AZ5599">
        <f t="shared" si="175"/>
        <v>3</v>
      </c>
    </row>
    <row r="5600" spans="1:52" ht="55.2">
      <c r="A5600" s="3" t="s">
        <v>5644</v>
      </c>
      <c r="D5600">
        <v>6</v>
      </c>
      <c r="AB5600">
        <v>2</v>
      </c>
      <c r="AY5600">
        <f t="shared" si="174"/>
        <v>43</v>
      </c>
      <c r="AZ5600">
        <f t="shared" si="175"/>
        <v>3</v>
      </c>
    </row>
    <row r="5601" spans="1:52" ht="55.2">
      <c r="A5601" s="3" t="s">
        <v>5645</v>
      </c>
      <c r="D5601">
        <v>6</v>
      </c>
      <c r="AB5601">
        <v>2</v>
      </c>
      <c r="AY5601">
        <f t="shared" ref="AY5601:AY5664" si="176">COUNTBLANK(F5601:AW5601)</f>
        <v>43</v>
      </c>
      <c r="AZ5601">
        <f t="shared" ref="AZ5601:AZ5664" si="177">COUNTBLANK(B5601:E5601)</f>
        <v>3</v>
      </c>
    </row>
    <row r="5602" spans="1:52" ht="55.2">
      <c r="A5602" s="3" t="s">
        <v>5646</v>
      </c>
      <c r="D5602">
        <v>6</v>
      </c>
      <c r="AB5602">
        <v>2</v>
      </c>
      <c r="AY5602">
        <f t="shared" si="176"/>
        <v>43</v>
      </c>
      <c r="AZ5602">
        <f t="shared" si="177"/>
        <v>3</v>
      </c>
    </row>
    <row r="5603" spans="1:52" ht="55.2">
      <c r="A5603" s="3" t="s">
        <v>5647</v>
      </c>
      <c r="D5603">
        <v>6</v>
      </c>
      <c r="AB5603">
        <v>2</v>
      </c>
      <c r="AY5603">
        <f t="shared" si="176"/>
        <v>43</v>
      </c>
      <c r="AZ5603">
        <f t="shared" si="177"/>
        <v>3</v>
      </c>
    </row>
    <row r="5604" spans="1:52" ht="55.2">
      <c r="A5604" s="3" t="s">
        <v>5648</v>
      </c>
      <c r="D5604">
        <v>6</v>
      </c>
      <c r="AB5604">
        <v>2</v>
      </c>
      <c r="AY5604">
        <f t="shared" si="176"/>
        <v>43</v>
      </c>
      <c r="AZ5604">
        <f t="shared" si="177"/>
        <v>3</v>
      </c>
    </row>
    <row r="5605" spans="1:52" ht="55.2">
      <c r="A5605" s="3" t="s">
        <v>5649</v>
      </c>
      <c r="D5605">
        <v>6</v>
      </c>
      <c r="AB5605">
        <v>2</v>
      </c>
      <c r="AY5605">
        <f t="shared" si="176"/>
        <v>43</v>
      </c>
      <c r="AZ5605">
        <f t="shared" si="177"/>
        <v>3</v>
      </c>
    </row>
    <row r="5606" spans="1:52" ht="55.2">
      <c r="A5606" s="3" t="s">
        <v>5650</v>
      </c>
      <c r="D5606">
        <v>6</v>
      </c>
      <c r="AB5606">
        <v>2</v>
      </c>
      <c r="AY5606">
        <f t="shared" si="176"/>
        <v>43</v>
      </c>
      <c r="AZ5606">
        <f t="shared" si="177"/>
        <v>3</v>
      </c>
    </row>
    <row r="5607" spans="1:52" ht="55.2">
      <c r="A5607" s="3" t="s">
        <v>5651</v>
      </c>
      <c r="D5607">
        <v>6</v>
      </c>
      <c r="AC5607">
        <v>1</v>
      </c>
      <c r="AY5607">
        <f t="shared" si="176"/>
        <v>43</v>
      </c>
      <c r="AZ5607">
        <f t="shared" si="177"/>
        <v>3</v>
      </c>
    </row>
    <row r="5608" spans="1:52" ht="55.2">
      <c r="A5608" s="3" t="s">
        <v>5652</v>
      </c>
      <c r="D5608">
        <v>6</v>
      </c>
      <c r="AC5608">
        <v>1</v>
      </c>
      <c r="AY5608">
        <f t="shared" si="176"/>
        <v>43</v>
      </c>
      <c r="AZ5608">
        <f t="shared" si="177"/>
        <v>3</v>
      </c>
    </row>
    <row r="5609" spans="1:52" ht="55.2">
      <c r="A5609" s="3" t="s">
        <v>5653</v>
      </c>
      <c r="D5609">
        <v>6</v>
      </c>
      <c r="AC5609">
        <v>1</v>
      </c>
      <c r="AY5609">
        <f t="shared" si="176"/>
        <v>43</v>
      </c>
      <c r="AZ5609">
        <f t="shared" si="177"/>
        <v>3</v>
      </c>
    </row>
    <row r="5610" spans="1:52" ht="55.2">
      <c r="A5610" s="3" t="s">
        <v>5654</v>
      </c>
      <c r="D5610">
        <v>6</v>
      </c>
      <c r="AC5610">
        <v>1</v>
      </c>
      <c r="AY5610">
        <f t="shared" si="176"/>
        <v>43</v>
      </c>
      <c r="AZ5610">
        <f t="shared" si="177"/>
        <v>3</v>
      </c>
    </row>
    <row r="5611" spans="1:52" ht="55.2">
      <c r="A5611" s="3" t="s">
        <v>5655</v>
      </c>
      <c r="D5611">
        <v>6</v>
      </c>
      <c r="AC5611">
        <v>1</v>
      </c>
      <c r="AY5611">
        <f t="shared" si="176"/>
        <v>43</v>
      </c>
      <c r="AZ5611">
        <f t="shared" si="177"/>
        <v>3</v>
      </c>
    </row>
    <row r="5612" spans="1:52" ht="55.2">
      <c r="A5612" s="3" t="s">
        <v>5656</v>
      </c>
      <c r="D5612">
        <v>6</v>
      </c>
      <c r="AC5612">
        <v>1</v>
      </c>
      <c r="AY5612">
        <f t="shared" si="176"/>
        <v>43</v>
      </c>
      <c r="AZ5612">
        <f t="shared" si="177"/>
        <v>3</v>
      </c>
    </row>
    <row r="5613" spans="1:52" ht="55.2">
      <c r="A5613" s="3" t="s">
        <v>5657</v>
      </c>
      <c r="D5613">
        <v>6</v>
      </c>
      <c r="AC5613">
        <v>1</v>
      </c>
      <c r="AY5613">
        <f t="shared" si="176"/>
        <v>43</v>
      </c>
      <c r="AZ5613">
        <f t="shared" si="177"/>
        <v>3</v>
      </c>
    </row>
    <row r="5614" spans="1:52" ht="55.2">
      <c r="A5614" s="3" t="s">
        <v>5658</v>
      </c>
      <c r="D5614">
        <v>6</v>
      </c>
      <c r="AC5614">
        <v>1</v>
      </c>
      <c r="AY5614">
        <f t="shared" si="176"/>
        <v>43</v>
      </c>
      <c r="AZ5614">
        <f t="shared" si="177"/>
        <v>3</v>
      </c>
    </row>
    <row r="5615" spans="1:52" ht="55.2">
      <c r="A5615" s="3" t="s">
        <v>5659</v>
      </c>
      <c r="D5615">
        <v>6</v>
      </c>
      <c r="AC5615">
        <v>1</v>
      </c>
      <c r="AY5615">
        <f t="shared" si="176"/>
        <v>43</v>
      </c>
      <c r="AZ5615">
        <f t="shared" si="177"/>
        <v>3</v>
      </c>
    </row>
    <row r="5616" spans="1:52" ht="55.2">
      <c r="A5616" s="3" t="s">
        <v>5660</v>
      </c>
      <c r="D5616">
        <v>6</v>
      </c>
      <c r="AC5616">
        <v>1</v>
      </c>
      <c r="AY5616">
        <f t="shared" si="176"/>
        <v>43</v>
      </c>
      <c r="AZ5616">
        <f t="shared" si="177"/>
        <v>3</v>
      </c>
    </row>
    <row r="5617" spans="1:52" ht="55.2">
      <c r="A5617" s="3" t="s">
        <v>5661</v>
      </c>
      <c r="D5617">
        <v>6</v>
      </c>
      <c r="AC5617">
        <v>1</v>
      </c>
      <c r="AY5617">
        <f t="shared" si="176"/>
        <v>43</v>
      </c>
      <c r="AZ5617">
        <f t="shared" si="177"/>
        <v>3</v>
      </c>
    </row>
    <row r="5618" spans="1:52" ht="55.2">
      <c r="A5618" s="3" t="s">
        <v>5662</v>
      </c>
      <c r="D5618">
        <v>6</v>
      </c>
      <c r="AC5618">
        <v>1</v>
      </c>
      <c r="AY5618">
        <f t="shared" si="176"/>
        <v>43</v>
      </c>
      <c r="AZ5618">
        <f t="shared" si="177"/>
        <v>3</v>
      </c>
    </row>
    <row r="5619" spans="1:52" ht="55.2">
      <c r="A5619" s="3" t="s">
        <v>5663</v>
      </c>
      <c r="D5619">
        <v>6</v>
      </c>
      <c r="AC5619">
        <v>1</v>
      </c>
      <c r="AY5619">
        <f t="shared" si="176"/>
        <v>43</v>
      </c>
      <c r="AZ5619">
        <f t="shared" si="177"/>
        <v>3</v>
      </c>
    </row>
    <row r="5620" spans="1:52" ht="55.2">
      <c r="A5620" s="3" t="s">
        <v>5664</v>
      </c>
      <c r="D5620">
        <v>6</v>
      </c>
      <c r="AC5620">
        <v>1</v>
      </c>
      <c r="AY5620">
        <f t="shared" si="176"/>
        <v>43</v>
      </c>
      <c r="AZ5620">
        <f t="shared" si="177"/>
        <v>3</v>
      </c>
    </row>
    <row r="5621" spans="1:52" ht="55.2">
      <c r="A5621" s="3" t="s">
        <v>5665</v>
      </c>
      <c r="D5621">
        <v>6</v>
      </c>
      <c r="AC5621">
        <v>1</v>
      </c>
      <c r="AY5621">
        <f t="shared" si="176"/>
        <v>43</v>
      </c>
      <c r="AZ5621">
        <f t="shared" si="177"/>
        <v>3</v>
      </c>
    </row>
    <row r="5622" spans="1:52" ht="55.2">
      <c r="A5622" s="3" t="s">
        <v>5666</v>
      </c>
      <c r="D5622">
        <v>6</v>
      </c>
      <c r="AC5622">
        <v>1</v>
      </c>
      <c r="AY5622">
        <f t="shared" si="176"/>
        <v>43</v>
      </c>
      <c r="AZ5622">
        <f t="shared" si="177"/>
        <v>3</v>
      </c>
    </row>
    <row r="5623" spans="1:52" ht="55.2">
      <c r="A5623" s="3" t="s">
        <v>5667</v>
      </c>
      <c r="D5623">
        <v>6</v>
      </c>
      <c r="AC5623">
        <v>1</v>
      </c>
      <c r="AY5623">
        <f t="shared" si="176"/>
        <v>43</v>
      </c>
      <c r="AZ5623">
        <f t="shared" si="177"/>
        <v>3</v>
      </c>
    </row>
    <row r="5624" spans="1:52" ht="55.2">
      <c r="A5624" s="3" t="s">
        <v>5668</v>
      </c>
      <c r="D5624">
        <v>6</v>
      </c>
      <c r="AC5624">
        <v>1</v>
      </c>
      <c r="AY5624">
        <f t="shared" si="176"/>
        <v>43</v>
      </c>
      <c r="AZ5624">
        <f t="shared" si="177"/>
        <v>3</v>
      </c>
    </row>
    <row r="5625" spans="1:52" ht="55.2">
      <c r="A5625" s="3" t="s">
        <v>5669</v>
      </c>
      <c r="D5625">
        <v>6</v>
      </c>
      <c r="AC5625">
        <v>1</v>
      </c>
      <c r="AY5625">
        <f t="shared" si="176"/>
        <v>43</v>
      </c>
      <c r="AZ5625">
        <f t="shared" si="177"/>
        <v>3</v>
      </c>
    </row>
    <row r="5626" spans="1:52" ht="55.2">
      <c r="A5626" s="3" t="s">
        <v>5670</v>
      </c>
      <c r="D5626">
        <v>6</v>
      </c>
      <c r="AC5626">
        <v>1</v>
      </c>
      <c r="AY5626">
        <f t="shared" si="176"/>
        <v>43</v>
      </c>
      <c r="AZ5626">
        <f t="shared" si="177"/>
        <v>3</v>
      </c>
    </row>
    <row r="5627" spans="1:52" ht="55.2">
      <c r="A5627" s="3" t="s">
        <v>5671</v>
      </c>
      <c r="D5627">
        <v>6</v>
      </c>
      <c r="AC5627">
        <v>1</v>
      </c>
      <c r="AY5627">
        <f t="shared" si="176"/>
        <v>43</v>
      </c>
      <c r="AZ5627">
        <f t="shared" si="177"/>
        <v>3</v>
      </c>
    </row>
    <row r="5628" spans="1:52" ht="55.2">
      <c r="A5628" s="3" t="s">
        <v>5672</v>
      </c>
      <c r="D5628">
        <v>6</v>
      </c>
      <c r="AC5628">
        <v>1</v>
      </c>
      <c r="AY5628">
        <f t="shared" si="176"/>
        <v>43</v>
      </c>
      <c r="AZ5628">
        <f t="shared" si="177"/>
        <v>3</v>
      </c>
    </row>
    <row r="5629" spans="1:52" ht="55.2">
      <c r="A5629" s="3" t="s">
        <v>5673</v>
      </c>
      <c r="D5629">
        <v>6</v>
      </c>
      <c r="AC5629">
        <v>1</v>
      </c>
      <c r="AY5629">
        <f t="shared" si="176"/>
        <v>43</v>
      </c>
      <c r="AZ5629">
        <f t="shared" si="177"/>
        <v>3</v>
      </c>
    </row>
    <row r="5630" spans="1:52" ht="55.2">
      <c r="A5630" s="3" t="s">
        <v>5674</v>
      </c>
      <c r="D5630">
        <v>6</v>
      </c>
      <c r="AC5630">
        <v>1</v>
      </c>
      <c r="AY5630">
        <f t="shared" si="176"/>
        <v>43</v>
      </c>
      <c r="AZ5630">
        <f t="shared" si="177"/>
        <v>3</v>
      </c>
    </row>
    <row r="5631" spans="1:52" ht="55.2">
      <c r="A5631" s="3" t="s">
        <v>5675</v>
      </c>
      <c r="D5631">
        <v>6</v>
      </c>
      <c r="AC5631">
        <v>1</v>
      </c>
      <c r="AY5631">
        <f t="shared" si="176"/>
        <v>43</v>
      </c>
      <c r="AZ5631">
        <f t="shared" si="177"/>
        <v>3</v>
      </c>
    </row>
    <row r="5632" spans="1:52" ht="55.2">
      <c r="A5632" s="3" t="s">
        <v>5676</v>
      </c>
      <c r="D5632">
        <v>6</v>
      </c>
      <c r="AC5632">
        <v>1</v>
      </c>
      <c r="AY5632">
        <f t="shared" si="176"/>
        <v>43</v>
      </c>
      <c r="AZ5632">
        <f t="shared" si="177"/>
        <v>3</v>
      </c>
    </row>
    <row r="5633" spans="1:52" ht="55.2">
      <c r="A5633" s="3" t="s">
        <v>5677</v>
      </c>
      <c r="D5633">
        <v>6</v>
      </c>
      <c r="AC5633">
        <v>1</v>
      </c>
      <c r="AY5633">
        <f t="shared" si="176"/>
        <v>43</v>
      </c>
      <c r="AZ5633">
        <f t="shared" si="177"/>
        <v>3</v>
      </c>
    </row>
    <row r="5634" spans="1:52" ht="55.2">
      <c r="A5634" s="3" t="s">
        <v>5678</v>
      </c>
      <c r="D5634">
        <v>6</v>
      </c>
      <c r="AC5634">
        <v>1</v>
      </c>
      <c r="AY5634">
        <f t="shared" si="176"/>
        <v>43</v>
      </c>
      <c r="AZ5634">
        <f t="shared" si="177"/>
        <v>3</v>
      </c>
    </row>
    <row r="5635" spans="1:52" ht="55.2">
      <c r="A5635" s="3" t="s">
        <v>5679</v>
      </c>
      <c r="D5635">
        <v>6</v>
      </c>
      <c r="AC5635">
        <v>1</v>
      </c>
      <c r="AY5635">
        <f t="shared" si="176"/>
        <v>43</v>
      </c>
      <c r="AZ5635">
        <f t="shared" si="177"/>
        <v>3</v>
      </c>
    </row>
    <row r="5636" spans="1:52" ht="55.2">
      <c r="A5636" s="3" t="s">
        <v>5680</v>
      </c>
      <c r="D5636">
        <v>6</v>
      </c>
      <c r="AC5636">
        <v>1</v>
      </c>
      <c r="AY5636">
        <f t="shared" si="176"/>
        <v>43</v>
      </c>
      <c r="AZ5636">
        <f t="shared" si="177"/>
        <v>3</v>
      </c>
    </row>
    <row r="5637" spans="1:52" ht="55.2">
      <c r="A5637" s="3" t="s">
        <v>5681</v>
      </c>
      <c r="D5637">
        <v>6</v>
      </c>
      <c r="AC5637">
        <v>1</v>
      </c>
      <c r="AY5637">
        <f t="shared" si="176"/>
        <v>43</v>
      </c>
      <c r="AZ5637">
        <f t="shared" si="177"/>
        <v>3</v>
      </c>
    </row>
    <row r="5638" spans="1:52" ht="55.2">
      <c r="A5638" s="3" t="s">
        <v>5682</v>
      </c>
      <c r="D5638">
        <v>6</v>
      </c>
      <c r="AC5638">
        <v>1</v>
      </c>
      <c r="AY5638">
        <f t="shared" si="176"/>
        <v>43</v>
      </c>
      <c r="AZ5638">
        <f t="shared" si="177"/>
        <v>3</v>
      </c>
    </row>
    <row r="5639" spans="1:52" ht="55.2">
      <c r="A5639" s="3" t="s">
        <v>5683</v>
      </c>
      <c r="D5639">
        <v>6</v>
      </c>
      <c r="AC5639">
        <v>1</v>
      </c>
      <c r="AY5639">
        <f t="shared" si="176"/>
        <v>43</v>
      </c>
      <c r="AZ5639">
        <f t="shared" si="177"/>
        <v>3</v>
      </c>
    </row>
    <row r="5640" spans="1:52" ht="55.2">
      <c r="A5640" s="3" t="s">
        <v>5684</v>
      </c>
      <c r="D5640">
        <v>6</v>
      </c>
      <c r="AC5640">
        <v>1</v>
      </c>
      <c r="AY5640">
        <f t="shared" si="176"/>
        <v>43</v>
      </c>
      <c r="AZ5640">
        <f t="shared" si="177"/>
        <v>3</v>
      </c>
    </row>
    <row r="5641" spans="1:52" ht="55.2">
      <c r="A5641" s="3" t="s">
        <v>5685</v>
      </c>
      <c r="D5641">
        <v>6</v>
      </c>
      <c r="AC5641">
        <v>1</v>
      </c>
      <c r="AY5641">
        <f t="shared" si="176"/>
        <v>43</v>
      </c>
      <c r="AZ5641">
        <f t="shared" si="177"/>
        <v>3</v>
      </c>
    </row>
    <row r="5642" spans="1:52" ht="55.2">
      <c r="A5642" s="3" t="s">
        <v>5686</v>
      </c>
      <c r="D5642">
        <v>6</v>
      </c>
      <c r="AC5642">
        <v>1</v>
      </c>
      <c r="AY5642">
        <f t="shared" si="176"/>
        <v>43</v>
      </c>
      <c r="AZ5642">
        <f t="shared" si="177"/>
        <v>3</v>
      </c>
    </row>
    <row r="5643" spans="1:52" ht="55.2">
      <c r="A5643" s="3" t="s">
        <v>5687</v>
      </c>
      <c r="D5643">
        <v>6</v>
      </c>
      <c r="AC5643">
        <v>1</v>
      </c>
      <c r="AY5643">
        <f t="shared" si="176"/>
        <v>43</v>
      </c>
      <c r="AZ5643">
        <f t="shared" si="177"/>
        <v>3</v>
      </c>
    </row>
    <row r="5644" spans="1:52" ht="55.2">
      <c r="A5644" s="3" t="s">
        <v>5688</v>
      </c>
      <c r="D5644">
        <v>6</v>
      </c>
      <c r="AC5644">
        <v>1</v>
      </c>
      <c r="AY5644">
        <f t="shared" si="176"/>
        <v>43</v>
      </c>
      <c r="AZ5644">
        <f t="shared" si="177"/>
        <v>3</v>
      </c>
    </row>
    <row r="5645" spans="1:52" ht="55.2">
      <c r="A5645" s="3" t="s">
        <v>5689</v>
      </c>
      <c r="D5645">
        <v>6</v>
      </c>
      <c r="AC5645">
        <v>1</v>
      </c>
      <c r="AY5645">
        <f t="shared" si="176"/>
        <v>43</v>
      </c>
      <c r="AZ5645">
        <f t="shared" si="177"/>
        <v>3</v>
      </c>
    </row>
    <row r="5646" spans="1:52" ht="55.2">
      <c r="A5646" s="3" t="s">
        <v>5690</v>
      </c>
      <c r="D5646">
        <v>6</v>
      </c>
      <c r="AB5646">
        <v>3</v>
      </c>
      <c r="AY5646">
        <f t="shared" si="176"/>
        <v>43</v>
      </c>
      <c r="AZ5646">
        <f t="shared" si="177"/>
        <v>3</v>
      </c>
    </row>
    <row r="5647" spans="1:52" ht="55.2">
      <c r="A5647" s="3" t="s">
        <v>5691</v>
      </c>
      <c r="D5647">
        <v>6</v>
      </c>
      <c r="AB5647">
        <v>3</v>
      </c>
      <c r="AY5647">
        <f t="shared" si="176"/>
        <v>43</v>
      </c>
      <c r="AZ5647">
        <f t="shared" si="177"/>
        <v>3</v>
      </c>
    </row>
    <row r="5648" spans="1:52" ht="55.2">
      <c r="A5648" s="3" t="s">
        <v>5692</v>
      </c>
      <c r="D5648">
        <v>6</v>
      </c>
      <c r="AB5648">
        <v>3</v>
      </c>
      <c r="AY5648">
        <f t="shared" si="176"/>
        <v>43</v>
      </c>
      <c r="AZ5648">
        <f t="shared" si="177"/>
        <v>3</v>
      </c>
    </row>
    <row r="5649" spans="1:52" ht="55.2">
      <c r="A5649" s="3" t="s">
        <v>5693</v>
      </c>
      <c r="D5649">
        <v>6</v>
      </c>
      <c r="AB5649">
        <v>3</v>
      </c>
      <c r="AY5649">
        <f t="shared" si="176"/>
        <v>43</v>
      </c>
      <c r="AZ5649">
        <f t="shared" si="177"/>
        <v>3</v>
      </c>
    </row>
    <row r="5650" spans="1:52" ht="55.2">
      <c r="A5650" s="3" t="s">
        <v>5694</v>
      </c>
      <c r="D5650">
        <v>6</v>
      </c>
      <c r="AB5650">
        <v>3</v>
      </c>
      <c r="AY5650">
        <f t="shared" si="176"/>
        <v>43</v>
      </c>
      <c r="AZ5650">
        <f t="shared" si="177"/>
        <v>3</v>
      </c>
    </row>
    <row r="5651" spans="1:52" ht="55.2">
      <c r="A5651" s="3" t="s">
        <v>5695</v>
      </c>
      <c r="D5651">
        <v>6</v>
      </c>
      <c r="AB5651">
        <v>3</v>
      </c>
      <c r="AY5651">
        <f t="shared" si="176"/>
        <v>43</v>
      </c>
      <c r="AZ5651">
        <f t="shared" si="177"/>
        <v>3</v>
      </c>
    </row>
    <row r="5652" spans="1:52" ht="55.2">
      <c r="A5652" s="3" t="s">
        <v>5696</v>
      </c>
      <c r="D5652">
        <v>6</v>
      </c>
      <c r="AB5652">
        <v>3</v>
      </c>
      <c r="AY5652">
        <f t="shared" si="176"/>
        <v>43</v>
      </c>
      <c r="AZ5652">
        <f t="shared" si="177"/>
        <v>3</v>
      </c>
    </row>
    <row r="5653" spans="1:52" ht="55.2">
      <c r="A5653" s="3" t="s">
        <v>5697</v>
      </c>
      <c r="D5653">
        <v>6</v>
      </c>
      <c r="AB5653">
        <v>3</v>
      </c>
      <c r="AY5653">
        <f t="shared" si="176"/>
        <v>43</v>
      </c>
      <c r="AZ5653">
        <f t="shared" si="177"/>
        <v>3</v>
      </c>
    </row>
    <row r="5654" spans="1:52" ht="55.2">
      <c r="A5654" s="3" t="s">
        <v>5698</v>
      </c>
      <c r="D5654">
        <v>6</v>
      </c>
      <c r="AB5654">
        <v>3</v>
      </c>
      <c r="AY5654">
        <f t="shared" si="176"/>
        <v>43</v>
      </c>
      <c r="AZ5654">
        <f t="shared" si="177"/>
        <v>3</v>
      </c>
    </row>
    <row r="5655" spans="1:52" ht="55.2">
      <c r="A5655" s="3" t="s">
        <v>5699</v>
      </c>
      <c r="D5655">
        <v>6</v>
      </c>
      <c r="AB5655">
        <v>3</v>
      </c>
      <c r="AY5655">
        <f t="shared" si="176"/>
        <v>43</v>
      </c>
      <c r="AZ5655">
        <f t="shared" si="177"/>
        <v>3</v>
      </c>
    </row>
    <row r="5656" spans="1:52" ht="55.2">
      <c r="A5656" s="3" t="s">
        <v>5700</v>
      </c>
      <c r="D5656">
        <v>6</v>
      </c>
      <c r="AB5656">
        <v>3</v>
      </c>
      <c r="AY5656">
        <f t="shared" si="176"/>
        <v>43</v>
      </c>
      <c r="AZ5656">
        <f t="shared" si="177"/>
        <v>3</v>
      </c>
    </row>
    <row r="5657" spans="1:52" ht="55.2">
      <c r="A5657" s="3" t="s">
        <v>5701</v>
      </c>
      <c r="D5657">
        <v>6</v>
      </c>
      <c r="AB5657">
        <v>3</v>
      </c>
      <c r="AY5657">
        <f t="shared" si="176"/>
        <v>43</v>
      </c>
      <c r="AZ5657">
        <f t="shared" si="177"/>
        <v>3</v>
      </c>
    </row>
    <row r="5658" spans="1:52" ht="55.2">
      <c r="A5658" s="3" t="s">
        <v>5702</v>
      </c>
      <c r="D5658">
        <v>6</v>
      </c>
      <c r="AB5658">
        <v>3</v>
      </c>
      <c r="AY5658">
        <f t="shared" si="176"/>
        <v>43</v>
      </c>
      <c r="AZ5658">
        <f t="shared" si="177"/>
        <v>3</v>
      </c>
    </row>
    <row r="5659" spans="1:52" ht="55.2">
      <c r="A5659" s="3" t="s">
        <v>5703</v>
      </c>
      <c r="D5659">
        <v>6</v>
      </c>
      <c r="AB5659">
        <v>3</v>
      </c>
      <c r="AY5659">
        <f t="shared" si="176"/>
        <v>43</v>
      </c>
      <c r="AZ5659">
        <f t="shared" si="177"/>
        <v>3</v>
      </c>
    </row>
    <row r="5660" spans="1:52" ht="55.2">
      <c r="A5660" s="3" t="s">
        <v>5704</v>
      </c>
      <c r="D5660">
        <v>6</v>
      </c>
      <c r="AB5660">
        <v>3</v>
      </c>
      <c r="AY5660">
        <f t="shared" si="176"/>
        <v>43</v>
      </c>
      <c r="AZ5660">
        <f t="shared" si="177"/>
        <v>3</v>
      </c>
    </row>
    <row r="5661" spans="1:52" ht="55.2">
      <c r="A5661" s="3" t="s">
        <v>5705</v>
      </c>
      <c r="D5661">
        <v>6</v>
      </c>
      <c r="AB5661">
        <v>3</v>
      </c>
      <c r="AY5661">
        <f t="shared" si="176"/>
        <v>43</v>
      </c>
      <c r="AZ5661">
        <f t="shared" si="177"/>
        <v>3</v>
      </c>
    </row>
    <row r="5662" spans="1:52" ht="55.2">
      <c r="A5662" s="3" t="s">
        <v>5706</v>
      </c>
      <c r="D5662">
        <v>6</v>
      </c>
      <c r="AB5662">
        <v>3</v>
      </c>
      <c r="AY5662">
        <f t="shared" si="176"/>
        <v>43</v>
      </c>
      <c r="AZ5662">
        <f t="shared" si="177"/>
        <v>3</v>
      </c>
    </row>
    <row r="5663" spans="1:52" ht="55.2">
      <c r="A5663" s="3" t="s">
        <v>5707</v>
      </c>
      <c r="D5663">
        <v>6</v>
      </c>
      <c r="AB5663">
        <v>3</v>
      </c>
      <c r="AY5663">
        <f t="shared" si="176"/>
        <v>43</v>
      </c>
      <c r="AZ5663">
        <f t="shared" si="177"/>
        <v>3</v>
      </c>
    </row>
    <row r="5664" spans="1:52" ht="55.2">
      <c r="A5664" s="3" t="s">
        <v>5708</v>
      </c>
      <c r="D5664">
        <v>6</v>
      </c>
      <c r="AB5664">
        <v>3</v>
      </c>
      <c r="AY5664">
        <f t="shared" si="176"/>
        <v>43</v>
      </c>
      <c r="AZ5664">
        <f t="shared" si="177"/>
        <v>3</v>
      </c>
    </row>
    <row r="5665" spans="1:52" ht="55.2">
      <c r="A5665" s="3" t="s">
        <v>5709</v>
      </c>
      <c r="D5665">
        <v>6</v>
      </c>
      <c r="AB5665">
        <v>3</v>
      </c>
      <c r="AY5665">
        <f t="shared" ref="AY5665:AY5728" si="178">COUNTBLANK(F5665:AW5665)</f>
        <v>43</v>
      </c>
      <c r="AZ5665">
        <f t="shared" ref="AZ5665:AZ5728" si="179">COUNTBLANK(B5665:E5665)</f>
        <v>3</v>
      </c>
    </row>
    <row r="5666" spans="1:52" ht="55.2">
      <c r="A5666" s="3" t="s">
        <v>5710</v>
      </c>
      <c r="D5666">
        <v>6</v>
      </c>
      <c r="AB5666">
        <v>3</v>
      </c>
      <c r="AY5666">
        <f t="shared" si="178"/>
        <v>43</v>
      </c>
      <c r="AZ5666">
        <f t="shared" si="179"/>
        <v>3</v>
      </c>
    </row>
    <row r="5667" spans="1:52" ht="55.2">
      <c r="A5667" s="3" t="s">
        <v>5711</v>
      </c>
      <c r="D5667">
        <v>6</v>
      </c>
      <c r="AB5667">
        <v>3</v>
      </c>
      <c r="AY5667">
        <f t="shared" si="178"/>
        <v>43</v>
      </c>
      <c r="AZ5667">
        <f t="shared" si="179"/>
        <v>3</v>
      </c>
    </row>
    <row r="5668" spans="1:52" ht="55.2">
      <c r="A5668" s="3" t="s">
        <v>5712</v>
      </c>
      <c r="D5668">
        <v>6</v>
      </c>
      <c r="AB5668">
        <v>3</v>
      </c>
      <c r="AY5668">
        <f t="shared" si="178"/>
        <v>43</v>
      </c>
      <c r="AZ5668">
        <f t="shared" si="179"/>
        <v>3</v>
      </c>
    </row>
    <row r="5669" spans="1:52" ht="55.2">
      <c r="A5669" s="3" t="s">
        <v>5713</v>
      </c>
      <c r="D5669">
        <v>6</v>
      </c>
      <c r="AB5669">
        <v>3</v>
      </c>
      <c r="AY5669">
        <f t="shared" si="178"/>
        <v>43</v>
      </c>
      <c r="AZ5669">
        <f t="shared" si="179"/>
        <v>3</v>
      </c>
    </row>
    <row r="5670" spans="1:52" ht="55.2">
      <c r="A5670" s="3" t="s">
        <v>5714</v>
      </c>
      <c r="D5670">
        <v>6</v>
      </c>
      <c r="AB5670">
        <v>3</v>
      </c>
      <c r="AY5670">
        <f t="shared" si="178"/>
        <v>43</v>
      </c>
      <c r="AZ5670">
        <f t="shared" si="179"/>
        <v>3</v>
      </c>
    </row>
    <row r="5671" spans="1:52" ht="55.2">
      <c r="A5671" s="3" t="s">
        <v>5715</v>
      </c>
      <c r="D5671">
        <v>6</v>
      </c>
      <c r="AB5671">
        <v>3</v>
      </c>
      <c r="AY5671">
        <f t="shared" si="178"/>
        <v>43</v>
      </c>
      <c r="AZ5671">
        <f t="shared" si="179"/>
        <v>3</v>
      </c>
    </row>
    <row r="5672" spans="1:52" ht="55.2">
      <c r="A5672" s="3" t="s">
        <v>5716</v>
      </c>
      <c r="D5672">
        <v>6</v>
      </c>
      <c r="AB5672">
        <v>3</v>
      </c>
      <c r="AY5672">
        <f t="shared" si="178"/>
        <v>43</v>
      </c>
      <c r="AZ5672">
        <f t="shared" si="179"/>
        <v>3</v>
      </c>
    </row>
    <row r="5673" spans="1:52" ht="55.2">
      <c r="A5673" s="3" t="s">
        <v>5717</v>
      </c>
      <c r="D5673">
        <v>6</v>
      </c>
      <c r="AB5673">
        <v>3</v>
      </c>
      <c r="AY5673">
        <f t="shared" si="178"/>
        <v>43</v>
      </c>
      <c r="AZ5673">
        <f t="shared" si="179"/>
        <v>3</v>
      </c>
    </row>
    <row r="5674" spans="1:52" ht="55.2">
      <c r="A5674" s="3" t="s">
        <v>5718</v>
      </c>
      <c r="D5674">
        <v>6</v>
      </c>
      <c r="AB5674">
        <v>3</v>
      </c>
      <c r="AY5674">
        <f t="shared" si="178"/>
        <v>43</v>
      </c>
      <c r="AZ5674">
        <f t="shared" si="179"/>
        <v>3</v>
      </c>
    </row>
    <row r="5675" spans="1:52" ht="55.2">
      <c r="A5675" s="3" t="s">
        <v>5719</v>
      </c>
      <c r="D5675">
        <v>6</v>
      </c>
      <c r="AB5675">
        <v>3</v>
      </c>
      <c r="AY5675">
        <f t="shared" si="178"/>
        <v>43</v>
      </c>
      <c r="AZ5675">
        <f t="shared" si="179"/>
        <v>3</v>
      </c>
    </row>
    <row r="5676" spans="1:52" ht="55.2">
      <c r="A5676" s="3" t="s">
        <v>5720</v>
      </c>
      <c r="D5676">
        <v>6</v>
      </c>
      <c r="AB5676">
        <v>3</v>
      </c>
      <c r="AY5676">
        <f t="shared" si="178"/>
        <v>43</v>
      </c>
      <c r="AZ5676">
        <f t="shared" si="179"/>
        <v>3</v>
      </c>
    </row>
    <row r="5677" spans="1:52" ht="55.2">
      <c r="A5677" s="3" t="s">
        <v>5721</v>
      </c>
      <c r="D5677">
        <v>6</v>
      </c>
      <c r="AB5677">
        <v>3</v>
      </c>
      <c r="AY5677">
        <f t="shared" si="178"/>
        <v>43</v>
      </c>
      <c r="AZ5677">
        <f t="shared" si="179"/>
        <v>3</v>
      </c>
    </row>
    <row r="5678" spans="1:52" ht="55.2">
      <c r="A5678" s="3" t="s">
        <v>5722</v>
      </c>
      <c r="D5678">
        <v>6</v>
      </c>
      <c r="AB5678">
        <v>3</v>
      </c>
      <c r="AY5678">
        <f t="shared" si="178"/>
        <v>43</v>
      </c>
      <c r="AZ5678">
        <f t="shared" si="179"/>
        <v>3</v>
      </c>
    </row>
    <row r="5679" spans="1:52" ht="55.2">
      <c r="A5679" s="3" t="s">
        <v>5723</v>
      </c>
      <c r="D5679">
        <v>6</v>
      </c>
      <c r="AB5679">
        <v>3</v>
      </c>
      <c r="AY5679">
        <f t="shared" si="178"/>
        <v>43</v>
      </c>
      <c r="AZ5679">
        <f t="shared" si="179"/>
        <v>3</v>
      </c>
    </row>
    <row r="5680" spans="1:52" ht="55.2">
      <c r="A5680" s="3" t="s">
        <v>5724</v>
      </c>
      <c r="D5680">
        <v>6</v>
      </c>
      <c r="AB5680">
        <v>3</v>
      </c>
      <c r="AY5680">
        <f t="shared" si="178"/>
        <v>43</v>
      </c>
      <c r="AZ5680">
        <f t="shared" si="179"/>
        <v>3</v>
      </c>
    </row>
    <row r="5681" spans="1:52" ht="55.2">
      <c r="A5681" s="3" t="s">
        <v>5725</v>
      </c>
      <c r="D5681">
        <v>6</v>
      </c>
      <c r="AB5681">
        <v>3</v>
      </c>
      <c r="AY5681">
        <f t="shared" si="178"/>
        <v>43</v>
      </c>
      <c r="AZ5681">
        <f t="shared" si="179"/>
        <v>3</v>
      </c>
    </row>
    <row r="5682" spans="1:52" ht="55.2">
      <c r="A5682" s="3" t="s">
        <v>5726</v>
      </c>
      <c r="D5682">
        <v>6</v>
      </c>
      <c r="AB5682">
        <v>3</v>
      </c>
      <c r="AY5682">
        <f t="shared" si="178"/>
        <v>43</v>
      </c>
      <c r="AZ5682">
        <f t="shared" si="179"/>
        <v>3</v>
      </c>
    </row>
    <row r="5683" spans="1:52" ht="55.2">
      <c r="A5683" s="3" t="s">
        <v>5727</v>
      </c>
      <c r="D5683">
        <v>6</v>
      </c>
      <c r="AB5683">
        <v>3</v>
      </c>
      <c r="AY5683">
        <f t="shared" si="178"/>
        <v>43</v>
      </c>
      <c r="AZ5683">
        <f t="shared" si="179"/>
        <v>3</v>
      </c>
    </row>
    <row r="5684" spans="1:52" ht="55.2">
      <c r="A5684" s="3" t="s">
        <v>5728</v>
      </c>
      <c r="D5684">
        <v>6</v>
      </c>
      <c r="AB5684">
        <v>3</v>
      </c>
      <c r="AY5684">
        <f t="shared" si="178"/>
        <v>43</v>
      </c>
      <c r="AZ5684">
        <f t="shared" si="179"/>
        <v>3</v>
      </c>
    </row>
    <row r="5685" spans="1:52" ht="55.2">
      <c r="A5685" s="3" t="s">
        <v>5729</v>
      </c>
      <c r="D5685">
        <v>6</v>
      </c>
      <c r="AB5685">
        <v>3</v>
      </c>
      <c r="AY5685">
        <f t="shared" si="178"/>
        <v>43</v>
      </c>
      <c r="AZ5685">
        <f t="shared" si="179"/>
        <v>3</v>
      </c>
    </row>
    <row r="5686" spans="1:52" ht="55.2">
      <c r="A5686" s="3" t="s">
        <v>5730</v>
      </c>
      <c r="D5686">
        <v>6</v>
      </c>
      <c r="AB5686">
        <v>3</v>
      </c>
      <c r="AY5686">
        <f t="shared" si="178"/>
        <v>43</v>
      </c>
      <c r="AZ5686">
        <f t="shared" si="179"/>
        <v>3</v>
      </c>
    </row>
    <row r="5687" spans="1:52" ht="55.2">
      <c r="A5687" s="3" t="s">
        <v>5731</v>
      </c>
      <c r="D5687">
        <v>6</v>
      </c>
      <c r="AB5687">
        <v>3</v>
      </c>
      <c r="AY5687">
        <f t="shared" si="178"/>
        <v>43</v>
      </c>
      <c r="AZ5687">
        <f t="shared" si="179"/>
        <v>3</v>
      </c>
    </row>
    <row r="5688" spans="1:52" ht="55.2">
      <c r="A5688" s="3" t="s">
        <v>5732</v>
      </c>
      <c r="D5688">
        <v>6</v>
      </c>
      <c r="AB5688">
        <v>3</v>
      </c>
      <c r="AY5688">
        <f t="shared" si="178"/>
        <v>43</v>
      </c>
      <c r="AZ5688">
        <f t="shared" si="179"/>
        <v>3</v>
      </c>
    </row>
    <row r="5689" spans="1:52" ht="55.2">
      <c r="A5689" s="3" t="s">
        <v>5733</v>
      </c>
      <c r="D5689">
        <v>6</v>
      </c>
      <c r="AB5689">
        <v>3</v>
      </c>
      <c r="AY5689">
        <f t="shared" si="178"/>
        <v>43</v>
      </c>
      <c r="AZ5689">
        <f t="shared" si="179"/>
        <v>3</v>
      </c>
    </row>
    <row r="5690" spans="1:52" ht="55.2">
      <c r="A5690" s="3" t="s">
        <v>5734</v>
      </c>
      <c r="D5690">
        <v>6</v>
      </c>
      <c r="AB5690">
        <v>3</v>
      </c>
      <c r="AY5690">
        <f t="shared" si="178"/>
        <v>43</v>
      </c>
      <c r="AZ5690">
        <f t="shared" si="179"/>
        <v>3</v>
      </c>
    </row>
    <row r="5691" spans="1:52" ht="55.2">
      <c r="A5691" s="3" t="s">
        <v>5735</v>
      </c>
      <c r="D5691">
        <v>6</v>
      </c>
      <c r="AB5691">
        <v>3</v>
      </c>
      <c r="AY5691">
        <f t="shared" si="178"/>
        <v>43</v>
      </c>
      <c r="AZ5691">
        <f t="shared" si="179"/>
        <v>3</v>
      </c>
    </row>
    <row r="5692" spans="1:52" ht="55.2">
      <c r="A5692" s="3" t="s">
        <v>5736</v>
      </c>
      <c r="D5692">
        <v>6</v>
      </c>
      <c r="AB5692">
        <v>3</v>
      </c>
      <c r="AY5692">
        <f t="shared" si="178"/>
        <v>43</v>
      </c>
      <c r="AZ5692">
        <f t="shared" si="179"/>
        <v>3</v>
      </c>
    </row>
    <row r="5693" spans="1:52" ht="55.2">
      <c r="A5693" s="3" t="s">
        <v>5737</v>
      </c>
      <c r="D5693">
        <v>6</v>
      </c>
      <c r="AB5693">
        <v>3</v>
      </c>
      <c r="AY5693">
        <f t="shared" si="178"/>
        <v>43</v>
      </c>
      <c r="AZ5693">
        <f t="shared" si="179"/>
        <v>3</v>
      </c>
    </row>
    <row r="5694" spans="1:52" ht="55.2">
      <c r="A5694" s="3" t="s">
        <v>5738</v>
      </c>
      <c r="D5694">
        <v>6</v>
      </c>
      <c r="AB5694">
        <v>3</v>
      </c>
      <c r="AY5694">
        <f t="shared" si="178"/>
        <v>43</v>
      </c>
      <c r="AZ5694">
        <f t="shared" si="179"/>
        <v>3</v>
      </c>
    </row>
    <row r="5695" spans="1:52" ht="55.2">
      <c r="A5695" s="3" t="s">
        <v>5739</v>
      </c>
      <c r="D5695">
        <v>6</v>
      </c>
      <c r="AB5695">
        <v>3</v>
      </c>
      <c r="AY5695">
        <f t="shared" si="178"/>
        <v>43</v>
      </c>
      <c r="AZ5695">
        <f t="shared" si="179"/>
        <v>3</v>
      </c>
    </row>
    <row r="5696" spans="1:52" ht="55.2">
      <c r="A5696" s="3" t="s">
        <v>5740</v>
      </c>
      <c r="D5696">
        <v>6</v>
      </c>
      <c r="AB5696">
        <v>3</v>
      </c>
      <c r="AY5696">
        <f t="shared" si="178"/>
        <v>43</v>
      </c>
      <c r="AZ5696">
        <f t="shared" si="179"/>
        <v>3</v>
      </c>
    </row>
    <row r="5697" spans="1:52" ht="55.2">
      <c r="A5697" s="3" t="s">
        <v>5741</v>
      </c>
      <c r="D5697">
        <v>6</v>
      </c>
      <c r="AB5697">
        <v>3</v>
      </c>
      <c r="AY5697">
        <f t="shared" si="178"/>
        <v>43</v>
      </c>
      <c r="AZ5697">
        <f t="shared" si="179"/>
        <v>3</v>
      </c>
    </row>
    <row r="5698" spans="1:52" ht="55.2">
      <c r="A5698" s="3" t="s">
        <v>5742</v>
      </c>
      <c r="D5698">
        <v>6</v>
      </c>
      <c r="AB5698">
        <v>3</v>
      </c>
      <c r="AY5698">
        <f t="shared" si="178"/>
        <v>43</v>
      </c>
      <c r="AZ5698">
        <f t="shared" si="179"/>
        <v>3</v>
      </c>
    </row>
    <row r="5699" spans="1:52" ht="55.2">
      <c r="A5699" s="3" t="s">
        <v>5743</v>
      </c>
      <c r="D5699">
        <v>6</v>
      </c>
      <c r="AB5699">
        <v>3</v>
      </c>
      <c r="AY5699">
        <f t="shared" si="178"/>
        <v>43</v>
      </c>
      <c r="AZ5699">
        <f t="shared" si="179"/>
        <v>3</v>
      </c>
    </row>
    <row r="5700" spans="1:52" ht="55.2">
      <c r="A5700" s="3" t="s">
        <v>5744</v>
      </c>
      <c r="D5700">
        <v>6</v>
      </c>
      <c r="AB5700">
        <v>3</v>
      </c>
      <c r="AY5700">
        <f t="shared" si="178"/>
        <v>43</v>
      </c>
      <c r="AZ5700">
        <f t="shared" si="179"/>
        <v>3</v>
      </c>
    </row>
    <row r="5701" spans="1:52" ht="55.2">
      <c r="A5701" s="3" t="s">
        <v>5745</v>
      </c>
      <c r="D5701">
        <v>6</v>
      </c>
      <c r="AB5701">
        <v>3</v>
      </c>
      <c r="AY5701">
        <f t="shared" si="178"/>
        <v>43</v>
      </c>
      <c r="AZ5701">
        <f t="shared" si="179"/>
        <v>3</v>
      </c>
    </row>
    <row r="5702" spans="1:52" ht="55.2">
      <c r="A5702" s="3" t="s">
        <v>5746</v>
      </c>
      <c r="D5702">
        <v>6</v>
      </c>
      <c r="AB5702">
        <v>3</v>
      </c>
      <c r="AY5702">
        <f t="shared" si="178"/>
        <v>43</v>
      </c>
      <c r="AZ5702">
        <f t="shared" si="179"/>
        <v>3</v>
      </c>
    </row>
    <row r="5703" spans="1:52" ht="55.2">
      <c r="A5703" s="3" t="s">
        <v>5747</v>
      </c>
      <c r="D5703">
        <v>6</v>
      </c>
      <c r="AB5703">
        <v>3</v>
      </c>
      <c r="AY5703">
        <f t="shared" si="178"/>
        <v>43</v>
      </c>
      <c r="AZ5703">
        <f t="shared" si="179"/>
        <v>3</v>
      </c>
    </row>
    <row r="5704" spans="1:52" ht="55.2">
      <c r="A5704" s="3" t="s">
        <v>5748</v>
      </c>
      <c r="D5704">
        <v>6</v>
      </c>
      <c r="AB5704">
        <v>3</v>
      </c>
      <c r="AY5704">
        <f t="shared" si="178"/>
        <v>43</v>
      </c>
      <c r="AZ5704">
        <f t="shared" si="179"/>
        <v>3</v>
      </c>
    </row>
    <row r="5705" spans="1:52" ht="55.2">
      <c r="A5705" s="3" t="s">
        <v>5749</v>
      </c>
      <c r="D5705">
        <v>6</v>
      </c>
      <c r="AB5705">
        <v>3</v>
      </c>
      <c r="AY5705">
        <f t="shared" si="178"/>
        <v>43</v>
      </c>
      <c r="AZ5705">
        <f t="shared" si="179"/>
        <v>3</v>
      </c>
    </row>
    <row r="5706" spans="1:52" ht="55.2">
      <c r="A5706" s="3" t="s">
        <v>5750</v>
      </c>
      <c r="D5706">
        <v>6</v>
      </c>
      <c r="AB5706">
        <v>3</v>
      </c>
      <c r="AY5706">
        <f t="shared" si="178"/>
        <v>43</v>
      </c>
      <c r="AZ5706">
        <f t="shared" si="179"/>
        <v>3</v>
      </c>
    </row>
    <row r="5707" spans="1:52" ht="55.2">
      <c r="A5707" s="3" t="s">
        <v>5751</v>
      </c>
      <c r="D5707">
        <v>6</v>
      </c>
      <c r="AB5707">
        <v>3</v>
      </c>
      <c r="AY5707">
        <f t="shared" si="178"/>
        <v>43</v>
      </c>
      <c r="AZ5707">
        <f t="shared" si="179"/>
        <v>3</v>
      </c>
    </row>
    <row r="5708" spans="1:52" ht="55.2">
      <c r="A5708" s="3" t="s">
        <v>5752</v>
      </c>
      <c r="D5708">
        <v>6</v>
      </c>
      <c r="AB5708">
        <v>3</v>
      </c>
      <c r="AY5708">
        <f t="shared" si="178"/>
        <v>43</v>
      </c>
      <c r="AZ5708">
        <f t="shared" si="179"/>
        <v>3</v>
      </c>
    </row>
    <row r="5709" spans="1:52" ht="55.2">
      <c r="A5709" s="3" t="s">
        <v>5753</v>
      </c>
      <c r="D5709">
        <v>6</v>
      </c>
      <c r="AB5709">
        <v>3</v>
      </c>
      <c r="AY5709">
        <f t="shared" si="178"/>
        <v>43</v>
      </c>
      <c r="AZ5709">
        <f t="shared" si="179"/>
        <v>3</v>
      </c>
    </row>
    <row r="5710" spans="1:52" ht="55.2">
      <c r="A5710" s="3" t="s">
        <v>5754</v>
      </c>
      <c r="D5710">
        <v>6</v>
      </c>
      <c r="AB5710">
        <v>3</v>
      </c>
      <c r="AY5710">
        <f t="shared" si="178"/>
        <v>43</v>
      </c>
      <c r="AZ5710">
        <f t="shared" si="179"/>
        <v>3</v>
      </c>
    </row>
    <row r="5711" spans="1:52" ht="55.2">
      <c r="A5711" s="3" t="s">
        <v>5755</v>
      </c>
      <c r="D5711">
        <v>6</v>
      </c>
      <c r="AB5711">
        <v>3</v>
      </c>
      <c r="AY5711">
        <f t="shared" si="178"/>
        <v>43</v>
      </c>
      <c r="AZ5711">
        <f t="shared" si="179"/>
        <v>3</v>
      </c>
    </row>
    <row r="5712" spans="1:52" ht="55.2">
      <c r="A5712" s="3" t="s">
        <v>5756</v>
      </c>
      <c r="D5712">
        <v>6</v>
      </c>
      <c r="AB5712">
        <v>3</v>
      </c>
      <c r="AY5712">
        <f t="shared" si="178"/>
        <v>43</v>
      </c>
      <c r="AZ5712">
        <f t="shared" si="179"/>
        <v>3</v>
      </c>
    </row>
    <row r="5713" spans="1:52" ht="55.2">
      <c r="A5713" s="3" t="s">
        <v>5757</v>
      </c>
      <c r="D5713">
        <v>6</v>
      </c>
      <c r="AB5713">
        <v>3</v>
      </c>
      <c r="AY5713">
        <f t="shared" si="178"/>
        <v>43</v>
      </c>
      <c r="AZ5713">
        <f t="shared" si="179"/>
        <v>3</v>
      </c>
    </row>
    <row r="5714" spans="1:52" ht="55.2">
      <c r="A5714" s="3" t="s">
        <v>5758</v>
      </c>
      <c r="D5714">
        <v>6</v>
      </c>
      <c r="AB5714">
        <v>3</v>
      </c>
      <c r="AY5714">
        <f t="shared" si="178"/>
        <v>43</v>
      </c>
      <c r="AZ5714">
        <f t="shared" si="179"/>
        <v>3</v>
      </c>
    </row>
    <row r="5715" spans="1:52" ht="55.2">
      <c r="A5715" s="3" t="s">
        <v>5759</v>
      </c>
      <c r="D5715">
        <v>6</v>
      </c>
      <c r="AB5715">
        <v>3</v>
      </c>
      <c r="AY5715">
        <f t="shared" si="178"/>
        <v>43</v>
      </c>
      <c r="AZ5715">
        <f t="shared" si="179"/>
        <v>3</v>
      </c>
    </row>
    <row r="5716" spans="1:52" ht="55.2">
      <c r="A5716" s="3" t="s">
        <v>5760</v>
      </c>
      <c r="D5716">
        <v>6</v>
      </c>
      <c r="AB5716">
        <v>3</v>
      </c>
      <c r="AY5716">
        <f t="shared" si="178"/>
        <v>43</v>
      </c>
      <c r="AZ5716">
        <f t="shared" si="179"/>
        <v>3</v>
      </c>
    </row>
    <row r="5717" spans="1:52" ht="55.2">
      <c r="A5717" s="3" t="s">
        <v>5761</v>
      </c>
      <c r="D5717">
        <v>6</v>
      </c>
      <c r="AB5717">
        <v>3</v>
      </c>
      <c r="AY5717">
        <f t="shared" si="178"/>
        <v>43</v>
      </c>
      <c r="AZ5717">
        <f t="shared" si="179"/>
        <v>3</v>
      </c>
    </row>
    <row r="5718" spans="1:52" ht="55.2">
      <c r="A5718" s="3" t="s">
        <v>5762</v>
      </c>
      <c r="D5718">
        <v>6</v>
      </c>
      <c r="AB5718">
        <v>3</v>
      </c>
      <c r="AY5718">
        <f t="shared" si="178"/>
        <v>43</v>
      </c>
      <c r="AZ5718">
        <f t="shared" si="179"/>
        <v>3</v>
      </c>
    </row>
    <row r="5719" spans="1:52" ht="55.2">
      <c r="A5719" s="3" t="s">
        <v>5763</v>
      </c>
      <c r="D5719">
        <v>6</v>
      </c>
      <c r="AB5719">
        <v>3</v>
      </c>
      <c r="AY5719">
        <f t="shared" si="178"/>
        <v>43</v>
      </c>
      <c r="AZ5719">
        <f t="shared" si="179"/>
        <v>3</v>
      </c>
    </row>
    <row r="5720" spans="1:52" ht="55.2">
      <c r="A5720" s="3" t="s">
        <v>5764</v>
      </c>
      <c r="D5720">
        <v>6</v>
      </c>
      <c r="AB5720">
        <v>3</v>
      </c>
      <c r="AY5720">
        <f t="shared" si="178"/>
        <v>43</v>
      </c>
      <c r="AZ5720">
        <f t="shared" si="179"/>
        <v>3</v>
      </c>
    </row>
    <row r="5721" spans="1:52" ht="55.2">
      <c r="A5721" s="3" t="s">
        <v>5765</v>
      </c>
      <c r="D5721">
        <v>6</v>
      </c>
      <c r="AB5721">
        <v>3</v>
      </c>
      <c r="AY5721">
        <f t="shared" si="178"/>
        <v>43</v>
      </c>
      <c r="AZ5721">
        <f t="shared" si="179"/>
        <v>3</v>
      </c>
    </row>
    <row r="5722" spans="1:52" ht="55.2">
      <c r="A5722" s="3" t="s">
        <v>5766</v>
      </c>
      <c r="D5722">
        <v>6</v>
      </c>
      <c r="AB5722">
        <v>3</v>
      </c>
      <c r="AY5722">
        <f t="shared" si="178"/>
        <v>43</v>
      </c>
      <c r="AZ5722">
        <f t="shared" si="179"/>
        <v>3</v>
      </c>
    </row>
    <row r="5723" spans="1:52" ht="55.2">
      <c r="A5723" s="3" t="s">
        <v>5767</v>
      </c>
      <c r="D5723">
        <v>6</v>
      </c>
      <c r="AB5723">
        <v>3</v>
      </c>
      <c r="AY5723">
        <f t="shared" si="178"/>
        <v>43</v>
      </c>
      <c r="AZ5723">
        <f t="shared" si="179"/>
        <v>3</v>
      </c>
    </row>
    <row r="5724" spans="1:52" ht="55.2">
      <c r="A5724" s="3" t="s">
        <v>5768</v>
      </c>
      <c r="D5724">
        <v>6</v>
      </c>
      <c r="AB5724">
        <v>3</v>
      </c>
      <c r="AY5724">
        <f t="shared" si="178"/>
        <v>43</v>
      </c>
      <c r="AZ5724">
        <f t="shared" si="179"/>
        <v>3</v>
      </c>
    </row>
    <row r="5725" spans="1:52" ht="55.2">
      <c r="A5725" s="3" t="s">
        <v>5769</v>
      </c>
      <c r="D5725">
        <v>6</v>
      </c>
      <c r="AB5725">
        <v>3</v>
      </c>
      <c r="AY5725">
        <f t="shared" si="178"/>
        <v>43</v>
      </c>
      <c r="AZ5725">
        <f t="shared" si="179"/>
        <v>3</v>
      </c>
    </row>
    <row r="5726" spans="1:52" ht="55.2">
      <c r="A5726" s="3" t="s">
        <v>5770</v>
      </c>
      <c r="D5726">
        <v>6</v>
      </c>
      <c r="AB5726">
        <v>3</v>
      </c>
      <c r="AY5726">
        <f t="shared" si="178"/>
        <v>43</v>
      </c>
      <c r="AZ5726">
        <f t="shared" si="179"/>
        <v>3</v>
      </c>
    </row>
    <row r="5727" spans="1:52" ht="55.2">
      <c r="A5727" s="3" t="s">
        <v>5771</v>
      </c>
      <c r="D5727">
        <v>6</v>
      </c>
      <c r="AB5727">
        <v>3</v>
      </c>
      <c r="AY5727">
        <f t="shared" si="178"/>
        <v>43</v>
      </c>
      <c r="AZ5727">
        <f t="shared" si="179"/>
        <v>3</v>
      </c>
    </row>
    <row r="5728" spans="1:52" ht="55.2">
      <c r="A5728" s="3" t="s">
        <v>5772</v>
      </c>
      <c r="D5728">
        <v>6</v>
      </c>
      <c r="AB5728">
        <v>3</v>
      </c>
      <c r="AY5728">
        <f t="shared" si="178"/>
        <v>43</v>
      </c>
      <c r="AZ5728">
        <f t="shared" si="179"/>
        <v>3</v>
      </c>
    </row>
    <row r="5729" spans="1:52" ht="55.2">
      <c r="A5729" s="3" t="s">
        <v>5773</v>
      </c>
      <c r="D5729">
        <v>6</v>
      </c>
      <c r="AB5729">
        <v>3</v>
      </c>
      <c r="AY5729">
        <f t="shared" ref="AY5729:AY5792" si="180">COUNTBLANK(F5729:AW5729)</f>
        <v>43</v>
      </c>
      <c r="AZ5729">
        <f t="shared" ref="AZ5729:AZ5792" si="181">COUNTBLANK(B5729:E5729)</f>
        <v>3</v>
      </c>
    </row>
    <row r="5730" spans="1:52" ht="55.2">
      <c r="A5730" s="3" t="s">
        <v>5774</v>
      </c>
      <c r="D5730">
        <v>6</v>
      </c>
      <c r="AB5730">
        <v>3</v>
      </c>
      <c r="AY5730">
        <f t="shared" si="180"/>
        <v>43</v>
      </c>
      <c r="AZ5730">
        <f t="shared" si="181"/>
        <v>3</v>
      </c>
    </row>
    <row r="5731" spans="1:52" ht="55.2">
      <c r="A5731" s="3" t="s">
        <v>5775</v>
      </c>
      <c r="D5731">
        <v>6</v>
      </c>
      <c r="AB5731">
        <v>3</v>
      </c>
      <c r="AY5731">
        <f t="shared" si="180"/>
        <v>43</v>
      </c>
      <c r="AZ5731">
        <f t="shared" si="181"/>
        <v>3</v>
      </c>
    </row>
    <row r="5732" spans="1:52" ht="55.2">
      <c r="A5732" s="3" t="s">
        <v>5776</v>
      </c>
      <c r="D5732">
        <v>6</v>
      </c>
      <c r="AB5732">
        <v>3</v>
      </c>
      <c r="AY5732">
        <f t="shared" si="180"/>
        <v>43</v>
      </c>
      <c r="AZ5732">
        <f t="shared" si="181"/>
        <v>3</v>
      </c>
    </row>
    <row r="5733" spans="1:52" ht="55.2">
      <c r="A5733" s="3" t="s">
        <v>5777</v>
      </c>
      <c r="D5733">
        <v>6</v>
      </c>
      <c r="AB5733">
        <v>3</v>
      </c>
      <c r="AY5733">
        <f t="shared" si="180"/>
        <v>43</v>
      </c>
      <c r="AZ5733">
        <f t="shared" si="181"/>
        <v>3</v>
      </c>
    </row>
    <row r="5734" spans="1:52" ht="55.2">
      <c r="A5734" s="3" t="s">
        <v>5778</v>
      </c>
      <c r="D5734">
        <v>6</v>
      </c>
      <c r="AB5734">
        <v>3</v>
      </c>
      <c r="AY5734">
        <f t="shared" si="180"/>
        <v>43</v>
      </c>
      <c r="AZ5734">
        <f t="shared" si="181"/>
        <v>3</v>
      </c>
    </row>
    <row r="5735" spans="1:52" ht="55.2">
      <c r="A5735" s="3" t="s">
        <v>5779</v>
      </c>
      <c r="D5735">
        <v>6</v>
      </c>
      <c r="AB5735">
        <v>3</v>
      </c>
      <c r="AY5735">
        <f t="shared" si="180"/>
        <v>43</v>
      </c>
      <c r="AZ5735">
        <f t="shared" si="181"/>
        <v>3</v>
      </c>
    </row>
    <row r="5736" spans="1:52" ht="55.2">
      <c r="A5736" s="3" t="s">
        <v>5780</v>
      </c>
      <c r="D5736">
        <v>6</v>
      </c>
      <c r="AB5736">
        <v>3</v>
      </c>
      <c r="AY5736">
        <f t="shared" si="180"/>
        <v>43</v>
      </c>
      <c r="AZ5736">
        <f t="shared" si="181"/>
        <v>3</v>
      </c>
    </row>
    <row r="5737" spans="1:52" ht="55.2">
      <c r="A5737" s="3" t="s">
        <v>5781</v>
      </c>
      <c r="D5737">
        <v>6</v>
      </c>
      <c r="AB5737">
        <v>3</v>
      </c>
      <c r="AY5737">
        <f t="shared" si="180"/>
        <v>43</v>
      </c>
      <c r="AZ5737">
        <f t="shared" si="181"/>
        <v>3</v>
      </c>
    </row>
    <row r="5738" spans="1:52" ht="55.2">
      <c r="A5738" s="3" t="s">
        <v>5782</v>
      </c>
      <c r="D5738">
        <v>6</v>
      </c>
      <c r="AB5738">
        <v>3</v>
      </c>
      <c r="AY5738">
        <f t="shared" si="180"/>
        <v>43</v>
      </c>
      <c r="AZ5738">
        <f t="shared" si="181"/>
        <v>3</v>
      </c>
    </row>
    <row r="5739" spans="1:52" ht="55.2">
      <c r="A5739" s="3" t="s">
        <v>5783</v>
      </c>
      <c r="D5739">
        <v>6</v>
      </c>
      <c r="AB5739">
        <v>3</v>
      </c>
      <c r="AY5739">
        <f t="shared" si="180"/>
        <v>43</v>
      </c>
      <c r="AZ5739">
        <f t="shared" si="181"/>
        <v>3</v>
      </c>
    </row>
    <row r="5740" spans="1:52" ht="55.2">
      <c r="A5740" s="3" t="s">
        <v>5784</v>
      </c>
      <c r="D5740">
        <v>6</v>
      </c>
      <c r="AB5740">
        <v>3</v>
      </c>
      <c r="AY5740">
        <f t="shared" si="180"/>
        <v>43</v>
      </c>
      <c r="AZ5740">
        <f t="shared" si="181"/>
        <v>3</v>
      </c>
    </row>
    <row r="5741" spans="1:52" ht="55.2">
      <c r="A5741" s="3" t="s">
        <v>5785</v>
      </c>
      <c r="D5741">
        <v>6</v>
      </c>
      <c r="AB5741">
        <v>3</v>
      </c>
      <c r="AY5741">
        <f t="shared" si="180"/>
        <v>43</v>
      </c>
      <c r="AZ5741">
        <f t="shared" si="181"/>
        <v>3</v>
      </c>
    </row>
    <row r="5742" spans="1:52" ht="55.2">
      <c r="A5742" s="3" t="s">
        <v>5786</v>
      </c>
      <c r="D5742">
        <v>6</v>
      </c>
      <c r="AB5742">
        <v>3</v>
      </c>
      <c r="AY5742">
        <f t="shared" si="180"/>
        <v>43</v>
      </c>
      <c r="AZ5742">
        <f t="shared" si="181"/>
        <v>3</v>
      </c>
    </row>
    <row r="5743" spans="1:52" ht="55.2">
      <c r="A5743" s="3" t="s">
        <v>5787</v>
      </c>
      <c r="D5743">
        <v>6</v>
      </c>
      <c r="AB5743">
        <v>3</v>
      </c>
      <c r="AY5743">
        <f t="shared" si="180"/>
        <v>43</v>
      </c>
      <c r="AZ5743">
        <f t="shared" si="181"/>
        <v>3</v>
      </c>
    </row>
    <row r="5744" spans="1:52" ht="55.2">
      <c r="A5744" s="3" t="s">
        <v>5788</v>
      </c>
      <c r="D5744">
        <v>6</v>
      </c>
      <c r="AB5744">
        <v>3</v>
      </c>
      <c r="AY5744">
        <f t="shared" si="180"/>
        <v>43</v>
      </c>
      <c r="AZ5744">
        <f t="shared" si="181"/>
        <v>3</v>
      </c>
    </row>
    <row r="5745" spans="1:52" ht="55.2">
      <c r="A5745" s="3" t="s">
        <v>5789</v>
      </c>
      <c r="D5745">
        <v>6</v>
      </c>
      <c r="AB5745">
        <v>3</v>
      </c>
      <c r="AY5745">
        <f t="shared" si="180"/>
        <v>43</v>
      </c>
      <c r="AZ5745">
        <f t="shared" si="181"/>
        <v>3</v>
      </c>
    </row>
    <row r="5746" spans="1:52" ht="55.2">
      <c r="A5746" s="3" t="s">
        <v>5790</v>
      </c>
      <c r="D5746">
        <v>6</v>
      </c>
      <c r="AB5746">
        <v>3</v>
      </c>
      <c r="AY5746">
        <f t="shared" si="180"/>
        <v>43</v>
      </c>
      <c r="AZ5746">
        <f t="shared" si="181"/>
        <v>3</v>
      </c>
    </row>
    <row r="5747" spans="1:52" ht="55.2">
      <c r="A5747" s="3" t="s">
        <v>5791</v>
      </c>
      <c r="D5747">
        <v>6</v>
      </c>
      <c r="AB5747">
        <v>3</v>
      </c>
      <c r="AY5747">
        <f t="shared" si="180"/>
        <v>43</v>
      </c>
      <c r="AZ5747">
        <f t="shared" si="181"/>
        <v>3</v>
      </c>
    </row>
    <row r="5748" spans="1:52" ht="55.2">
      <c r="A5748" s="3" t="s">
        <v>5792</v>
      </c>
      <c r="D5748">
        <v>6</v>
      </c>
      <c r="AB5748">
        <v>3</v>
      </c>
      <c r="AY5748">
        <f t="shared" si="180"/>
        <v>43</v>
      </c>
      <c r="AZ5748">
        <f t="shared" si="181"/>
        <v>3</v>
      </c>
    </row>
    <row r="5749" spans="1:52" ht="55.2">
      <c r="A5749" s="3" t="s">
        <v>5793</v>
      </c>
      <c r="D5749">
        <v>6</v>
      </c>
      <c r="AB5749">
        <v>3</v>
      </c>
      <c r="AY5749">
        <f t="shared" si="180"/>
        <v>43</v>
      </c>
      <c r="AZ5749">
        <f t="shared" si="181"/>
        <v>3</v>
      </c>
    </row>
    <row r="5750" spans="1:52" ht="55.2">
      <c r="A5750" s="3" t="s">
        <v>5794</v>
      </c>
      <c r="D5750">
        <v>6</v>
      </c>
      <c r="AB5750">
        <v>3</v>
      </c>
      <c r="AY5750">
        <f t="shared" si="180"/>
        <v>43</v>
      </c>
      <c r="AZ5750">
        <f t="shared" si="181"/>
        <v>3</v>
      </c>
    </row>
    <row r="5751" spans="1:52" ht="55.2">
      <c r="A5751" s="3" t="s">
        <v>5795</v>
      </c>
      <c r="D5751">
        <v>6</v>
      </c>
      <c r="AB5751">
        <v>3</v>
      </c>
      <c r="AY5751">
        <f t="shared" si="180"/>
        <v>43</v>
      </c>
      <c r="AZ5751">
        <f t="shared" si="181"/>
        <v>3</v>
      </c>
    </row>
    <row r="5752" spans="1:52" ht="55.2">
      <c r="A5752" s="3" t="s">
        <v>5796</v>
      </c>
      <c r="D5752">
        <v>6</v>
      </c>
      <c r="AB5752">
        <v>3</v>
      </c>
      <c r="AY5752">
        <f t="shared" si="180"/>
        <v>43</v>
      </c>
      <c r="AZ5752">
        <f t="shared" si="181"/>
        <v>3</v>
      </c>
    </row>
    <row r="5753" spans="1:52" ht="55.2">
      <c r="A5753" s="3" t="s">
        <v>5797</v>
      </c>
      <c r="D5753">
        <v>6</v>
      </c>
      <c r="AB5753">
        <v>3</v>
      </c>
      <c r="AY5753">
        <f t="shared" si="180"/>
        <v>43</v>
      </c>
      <c r="AZ5753">
        <f t="shared" si="181"/>
        <v>3</v>
      </c>
    </row>
    <row r="5754" spans="1:52" ht="55.2">
      <c r="A5754" s="3" t="s">
        <v>5798</v>
      </c>
      <c r="D5754">
        <v>6</v>
      </c>
      <c r="AB5754">
        <v>3</v>
      </c>
      <c r="AY5754">
        <f t="shared" si="180"/>
        <v>43</v>
      </c>
      <c r="AZ5754">
        <f t="shared" si="181"/>
        <v>3</v>
      </c>
    </row>
    <row r="5755" spans="1:52" ht="55.2">
      <c r="A5755" s="3" t="s">
        <v>5799</v>
      </c>
      <c r="D5755">
        <v>6</v>
      </c>
      <c r="AB5755">
        <v>3</v>
      </c>
      <c r="AY5755">
        <f t="shared" si="180"/>
        <v>43</v>
      </c>
      <c r="AZ5755">
        <f t="shared" si="181"/>
        <v>3</v>
      </c>
    </row>
    <row r="5756" spans="1:52" ht="55.2">
      <c r="A5756" s="3" t="s">
        <v>5800</v>
      </c>
      <c r="D5756">
        <v>6</v>
      </c>
      <c r="AW5756">
        <v>18</v>
      </c>
      <c r="AY5756">
        <f t="shared" si="180"/>
        <v>43</v>
      </c>
      <c r="AZ5756">
        <f t="shared" si="181"/>
        <v>3</v>
      </c>
    </row>
    <row r="5757" spans="1:52" ht="55.2">
      <c r="A5757" s="3" t="s">
        <v>5801</v>
      </c>
      <c r="D5757">
        <v>6</v>
      </c>
      <c r="AW5757">
        <v>18</v>
      </c>
      <c r="AY5757">
        <f t="shared" si="180"/>
        <v>43</v>
      </c>
      <c r="AZ5757">
        <f t="shared" si="181"/>
        <v>3</v>
      </c>
    </row>
    <row r="5758" spans="1:52" ht="55.2">
      <c r="A5758" s="3" t="s">
        <v>5802</v>
      </c>
      <c r="D5758">
        <v>6</v>
      </c>
      <c r="AW5758">
        <v>18</v>
      </c>
      <c r="AY5758">
        <f t="shared" si="180"/>
        <v>43</v>
      </c>
      <c r="AZ5758">
        <f t="shared" si="181"/>
        <v>3</v>
      </c>
    </row>
    <row r="5759" spans="1:52" ht="55.2">
      <c r="A5759" s="3" t="s">
        <v>5803</v>
      </c>
      <c r="D5759">
        <v>6</v>
      </c>
      <c r="AW5759">
        <v>18</v>
      </c>
      <c r="AY5759">
        <f t="shared" si="180"/>
        <v>43</v>
      </c>
      <c r="AZ5759">
        <f t="shared" si="181"/>
        <v>3</v>
      </c>
    </row>
    <row r="5760" spans="1:52" ht="55.2">
      <c r="A5760" s="3" t="s">
        <v>5804</v>
      </c>
      <c r="D5760">
        <v>6</v>
      </c>
      <c r="AW5760">
        <v>18</v>
      </c>
      <c r="AY5760">
        <f t="shared" si="180"/>
        <v>43</v>
      </c>
      <c r="AZ5760">
        <f t="shared" si="181"/>
        <v>3</v>
      </c>
    </row>
    <row r="5761" spans="1:52" ht="55.2">
      <c r="A5761" s="3" t="s">
        <v>5805</v>
      </c>
      <c r="D5761">
        <v>6</v>
      </c>
      <c r="J5761">
        <v>58</v>
      </c>
      <c r="AY5761">
        <f t="shared" si="180"/>
        <v>43</v>
      </c>
      <c r="AZ5761">
        <f t="shared" si="181"/>
        <v>3</v>
      </c>
    </row>
    <row r="5762" spans="1:52" ht="55.2">
      <c r="A5762" s="3" t="s">
        <v>5806</v>
      </c>
      <c r="D5762">
        <v>6</v>
      </c>
      <c r="J5762">
        <v>58</v>
      </c>
      <c r="AY5762">
        <f t="shared" si="180"/>
        <v>43</v>
      </c>
      <c r="AZ5762">
        <f t="shared" si="181"/>
        <v>3</v>
      </c>
    </row>
    <row r="5763" spans="1:52" ht="55.2">
      <c r="A5763" s="3" t="s">
        <v>5807</v>
      </c>
      <c r="D5763">
        <v>6</v>
      </c>
      <c r="J5763">
        <v>58</v>
      </c>
      <c r="AY5763">
        <f t="shared" si="180"/>
        <v>43</v>
      </c>
      <c r="AZ5763">
        <f t="shared" si="181"/>
        <v>3</v>
      </c>
    </row>
    <row r="5764" spans="1:52" ht="55.2">
      <c r="A5764" s="3" t="s">
        <v>5808</v>
      </c>
      <c r="D5764">
        <v>6</v>
      </c>
      <c r="J5764">
        <v>58</v>
      </c>
      <c r="AY5764">
        <f t="shared" si="180"/>
        <v>43</v>
      </c>
      <c r="AZ5764">
        <f t="shared" si="181"/>
        <v>3</v>
      </c>
    </row>
    <row r="5765" spans="1:52" ht="55.2">
      <c r="A5765" s="3" t="s">
        <v>5809</v>
      </c>
      <c r="D5765">
        <v>6</v>
      </c>
      <c r="J5765">
        <v>58</v>
      </c>
      <c r="AY5765">
        <f t="shared" si="180"/>
        <v>43</v>
      </c>
      <c r="AZ5765">
        <f t="shared" si="181"/>
        <v>3</v>
      </c>
    </row>
    <row r="5766" spans="1:52" ht="55.2">
      <c r="A5766" s="3" t="s">
        <v>5810</v>
      </c>
      <c r="D5766">
        <v>6</v>
      </c>
      <c r="J5766">
        <v>58</v>
      </c>
      <c r="AY5766">
        <f t="shared" si="180"/>
        <v>43</v>
      </c>
      <c r="AZ5766">
        <f t="shared" si="181"/>
        <v>3</v>
      </c>
    </row>
    <row r="5767" spans="1:52" ht="55.2">
      <c r="A5767" s="3" t="s">
        <v>5811</v>
      </c>
      <c r="D5767">
        <v>6</v>
      </c>
      <c r="J5767">
        <v>58</v>
      </c>
      <c r="AY5767">
        <f t="shared" si="180"/>
        <v>43</v>
      </c>
      <c r="AZ5767">
        <f t="shared" si="181"/>
        <v>3</v>
      </c>
    </row>
    <row r="5768" spans="1:52" ht="55.2">
      <c r="A5768" s="3" t="s">
        <v>5812</v>
      </c>
      <c r="D5768">
        <v>6</v>
      </c>
      <c r="J5768">
        <v>58</v>
      </c>
      <c r="AY5768">
        <f t="shared" si="180"/>
        <v>43</v>
      </c>
      <c r="AZ5768">
        <f t="shared" si="181"/>
        <v>3</v>
      </c>
    </row>
    <row r="5769" spans="1:52" ht="55.2">
      <c r="A5769" s="3" t="s">
        <v>5813</v>
      </c>
      <c r="D5769">
        <v>6</v>
      </c>
      <c r="J5769">
        <v>58</v>
      </c>
      <c r="AY5769">
        <f t="shared" si="180"/>
        <v>43</v>
      </c>
      <c r="AZ5769">
        <f t="shared" si="181"/>
        <v>3</v>
      </c>
    </row>
    <row r="5770" spans="1:52" ht="55.2">
      <c r="A5770" s="3" t="s">
        <v>5814</v>
      </c>
      <c r="D5770">
        <v>6</v>
      </c>
      <c r="J5770">
        <v>58</v>
      </c>
      <c r="AY5770">
        <f t="shared" si="180"/>
        <v>43</v>
      </c>
      <c r="AZ5770">
        <f t="shared" si="181"/>
        <v>3</v>
      </c>
    </row>
    <row r="5771" spans="1:52" ht="55.2">
      <c r="A5771" s="3" t="s">
        <v>5815</v>
      </c>
      <c r="D5771">
        <v>6</v>
      </c>
      <c r="J5771">
        <v>58</v>
      </c>
      <c r="AY5771">
        <f t="shared" si="180"/>
        <v>43</v>
      </c>
      <c r="AZ5771">
        <f t="shared" si="181"/>
        <v>3</v>
      </c>
    </row>
    <row r="5772" spans="1:52" ht="55.2">
      <c r="A5772" s="3" t="s">
        <v>5816</v>
      </c>
      <c r="D5772">
        <v>6</v>
      </c>
      <c r="J5772">
        <v>58</v>
      </c>
      <c r="AY5772">
        <f t="shared" si="180"/>
        <v>43</v>
      </c>
      <c r="AZ5772">
        <f t="shared" si="181"/>
        <v>3</v>
      </c>
    </row>
    <row r="5773" spans="1:52" ht="55.2">
      <c r="A5773" s="3" t="s">
        <v>5817</v>
      </c>
      <c r="D5773">
        <v>6</v>
      </c>
      <c r="J5773">
        <v>58</v>
      </c>
      <c r="AY5773">
        <f t="shared" si="180"/>
        <v>43</v>
      </c>
      <c r="AZ5773">
        <f t="shared" si="181"/>
        <v>3</v>
      </c>
    </row>
    <row r="5774" spans="1:52" ht="55.2">
      <c r="A5774" s="3" t="s">
        <v>5818</v>
      </c>
      <c r="D5774">
        <v>6</v>
      </c>
      <c r="J5774">
        <v>58</v>
      </c>
      <c r="AY5774">
        <f t="shared" si="180"/>
        <v>43</v>
      </c>
      <c r="AZ5774">
        <f t="shared" si="181"/>
        <v>3</v>
      </c>
    </row>
    <row r="5775" spans="1:52" ht="55.2">
      <c r="A5775" s="3" t="s">
        <v>5819</v>
      </c>
      <c r="D5775">
        <v>6</v>
      </c>
      <c r="J5775">
        <v>58</v>
      </c>
      <c r="AY5775">
        <f t="shared" si="180"/>
        <v>43</v>
      </c>
      <c r="AZ5775">
        <f t="shared" si="181"/>
        <v>3</v>
      </c>
    </row>
    <row r="5776" spans="1:52" ht="55.2">
      <c r="A5776" s="3" t="s">
        <v>5820</v>
      </c>
      <c r="D5776">
        <v>6</v>
      </c>
      <c r="J5776">
        <v>58</v>
      </c>
      <c r="AY5776">
        <f t="shared" si="180"/>
        <v>43</v>
      </c>
      <c r="AZ5776">
        <f t="shared" si="181"/>
        <v>3</v>
      </c>
    </row>
    <row r="5777" spans="1:52" ht="55.2">
      <c r="A5777" s="3" t="s">
        <v>5821</v>
      </c>
      <c r="D5777">
        <v>6</v>
      </c>
      <c r="J5777">
        <v>58</v>
      </c>
      <c r="AY5777">
        <f t="shared" si="180"/>
        <v>43</v>
      </c>
      <c r="AZ5777">
        <f t="shared" si="181"/>
        <v>3</v>
      </c>
    </row>
    <row r="5778" spans="1:52" ht="55.2">
      <c r="A5778" s="3" t="s">
        <v>5822</v>
      </c>
      <c r="D5778">
        <v>6</v>
      </c>
      <c r="J5778">
        <v>58</v>
      </c>
      <c r="AY5778">
        <f t="shared" si="180"/>
        <v>43</v>
      </c>
      <c r="AZ5778">
        <f t="shared" si="181"/>
        <v>3</v>
      </c>
    </row>
    <row r="5779" spans="1:52" ht="55.2">
      <c r="A5779" s="3" t="s">
        <v>5823</v>
      </c>
      <c r="D5779">
        <v>6</v>
      </c>
      <c r="J5779">
        <v>58</v>
      </c>
      <c r="AY5779">
        <f t="shared" si="180"/>
        <v>43</v>
      </c>
      <c r="AZ5779">
        <f t="shared" si="181"/>
        <v>3</v>
      </c>
    </row>
    <row r="5780" spans="1:52" ht="55.2">
      <c r="A5780" s="3" t="s">
        <v>5824</v>
      </c>
      <c r="D5780">
        <v>6</v>
      </c>
      <c r="J5780">
        <v>58</v>
      </c>
      <c r="AY5780">
        <f t="shared" si="180"/>
        <v>43</v>
      </c>
      <c r="AZ5780">
        <f t="shared" si="181"/>
        <v>3</v>
      </c>
    </row>
    <row r="5781" spans="1:52" ht="55.2">
      <c r="A5781" s="3" t="s">
        <v>5825</v>
      </c>
      <c r="D5781">
        <v>6</v>
      </c>
      <c r="J5781">
        <v>58</v>
      </c>
      <c r="AY5781">
        <f t="shared" si="180"/>
        <v>43</v>
      </c>
      <c r="AZ5781">
        <f t="shared" si="181"/>
        <v>3</v>
      </c>
    </row>
    <row r="5782" spans="1:52" ht="55.2">
      <c r="A5782" s="3" t="s">
        <v>5826</v>
      </c>
      <c r="D5782">
        <v>6</v>
      </c>
      <c r="J5782">
        <v>58</v>
      </c>
      <c r="AY5782">
        <f t="shared" si="180"/>
        <v>43</v>
      </c>
      <c r="AZ5782">
        <f t="shared" si="181"/>
        <v>3</v>
      </c>
    </row>
    <row r="5783" spans="1:52" ht="55.2">
      <c r="A5783" s="3" t="s">
        <v>5827</v>
      </c>
      <c r="D5783">
        <v>6</v>
      </c>
      <c r="J5783">
        <v>58</v>
      </c>
      <c r="AY5783">
        <f t="shared" si="180"/>
        <v>43</v>
      </c>
      <c r="AZ5783">
        <f t="shared" si="181"/>
        <v>3</v>
      </c>
    </row>
    <row r="5784" spans="1:52" ht="55.2">
      <c r="A5784" s="3" t="s">
        <v>5828</v>
      </c>
      <c r="D5784">
        <v>6</v>
      </c>
      <c r="J5784">
        <v>58</v>
      </c>
      <c r="AY5784">
        <f t="shared" si="180"/>
        <v>43</v>
      </c>
      <c r="AZ5784">
        <f t="shared" si="181"/>
        <v>3</v>
      </c>
    </row>
    <row r="5785" spans="1:52" ht="55.2">
      <c r="A5785" s="3" t="s">
        <v>5829</v>
      </c>
      <c r="D5785">
        <v>6</v>
      </c>
      <c r="J5785">
        <v>58</v>
      </c>
      <c r="AY5785">
        <f t="shared" si="180"/>
        <v>43</v>
      </c>
      <c r="AZ5785">
        <f t="shared" si="181"/>
        <v>3</v>
      </c>
    </row>
    <row r="5786" spans="1:52" ht="55.2">
      <c r="A5786" s="3" t="s">
        <v>5830</v>
      </c>
      <c r="D5786">
        <v>6</v>
      </c>
      <c r="J5786">
        <v>58</v>
      </c>
      <c r="AY5786">
        <f t="shared" si="180"/>
        <v>43</v>
      </c>
      <c r="AZ5786">
        <f t="shared" si="181"/>
        <v>3</v>
      </c>
    </row>
    <row r="5787" spans="1:52" ht="55.2">
      <c r="A5787" s="3" t="s">
        <v>5831</v>
      </c>
      <c r="D5787">
        <v>6</v>
      </c>
      <c r="J5787">
        <v>58</v>
      </c>
      <c r="AY5787">
        <f t="shared" si="180"/>
        <v>43</v>
      </c>
      <c r="AZ5787">
        <f t="shared" si="181"/>
        <v>3</v>
      </c>
    </row>
    <row r="5788" spans="1:52" ht="55.2">
      <c r="A5788" s="3" t="s">
        <v>5832</v>
      </c>
      <c r="D5788">
        <v>6</v>
      </c>
      <c r="J5788">
        <v>58</v>
      </c>
      <c r="AY5788">
        <f t="shared" si="180"/>
        <v>43</v>
      </c>
      <c r="AZ5788">
        <f t="shared" si="181"/>
        <v>3</v>
      </c>
    </row>
    <row r="5789" spans="1:52" ht="55.2">
      <c r="A5789" s="3" t="s">
        <v>5833</v>
      </c>
      <c r="D5789">
        <v>6</v>
      </c>
      <c r="AF5789">
        <v>2</v>
      </c>
      <c r="AY5789">
        <f t="shared" si="180"/>
        <v>43</v>
      </c>
      <c r="AZ5789">
        <f t="shared" si="181"/>
        <v>3</v>
      </c>
    </row>
    <row r="5790" spans="1:52" ht="55.2">
      <c r="A5790" s="3" t="s">
        <v>5834</v>
      </c>
      <c r="D5790">
        <v>6</v>
      </c>
      <c r="AF5790">
        <v>2</v>
      </c>
      <c r="AY5790">
        <f t="shared" si="180"/>
        <v>43</v>
      </c>
      <c r="AZ5790">
        <f t="shared" si="181"/>
        <v>3</v>
      </c>
    </row>
    <row r="5791" spans="1:52" ht="55.2">
      <c r="A5791" s="3" t="s">
        <v>5835</v>
      </c>
      <c r="D5791">
        <v>6</v>
      </c>
      <c r="AF5791">
        <v>2</v>
      </c>
      <c r="AY5791">
        <f t="shared" si="180"/>
        <v>43</v>
      </c>
      <c r="AZ5791">
        <f t="shared" si="181"/>
        <v>3</v>
      </c>
    </row>
    <row r="5792" spans="1:52" ht="55.2">
      <c r="A5792" s="3" t="s">
        <v>5836</v>
      </c>
      <c r="D5792">
        <v>6</v>
      </c>
      <c r="AF5792">
        <v>2</v>
      </c>
      <c r="AY5792">
        <f t="shared" si="180"/>
        <v>43</v>
      </c>
      <c r="AZ5792">
        <f t="shared" si="181"/>
        <v>3</v>
      </c>
    </row>
    <row r="5793" spans="1:52" ht="55.2">
      <c r="A5793" s="3" t="s">
        <v>5837</v>
      </c>
      <c r="D5793">
        <v>6</v>
      </c>
      <c r="AF5793">
        <v>2</v>
      </c>
      <c r="AY5793">
        <f t="shared" ref="AY5793:AY5856" si="182">COUNTBLANK(F5793:AW5793)</f>
        <v>43</v>
      </c>
      <c r="AZ5793">
        <f t="shared" ref="AZ5793:AZ5856" si="183">COUNTBLANK(B5793:E5793)</f>
        <v>3</v>
      </c>
    </row>
    <row r="5794" spans="1:52" ht="55.2">
      <c r="A5794" s="3" t="s">
        <v>5838</v>
      </c>
      <c r="D5794">
        <v>6</v>
      </c>
      <c r="AF5794">
        <v>2</v>
      </c>
      <c r="AY5794">
        <f t="shared" si="182"/>
        <v>43</v>
      </c>
      <c r="AZ5794">
        <f t="shared" si="183"/>
        <v>3</v>
      </c>
    </row>
    <row r="5795" spans="1:52" ht="55.2">
      <c r="A5795" s="3" t="s">
        <v>5839</v>
      </c>
      <c r="D5795">
        <v>6</v>
      </c>
      <c r="AF5795">
        <v>2</v>
      </c>
      <c r="AY5795">
        <f t="shared" si="182"/>
        <v>43</v>
      </c>
      <c r="AZ5795">
        <f t="shared" si="183"/>
        <v>3</v>
      </c>
    </row>
    <row r="5796" spans="1:52" ht="55.2">
      <c r="A5796" s="3" t="s">
        <v>5840</v>
      </c>
      <c r="D5796">
        <v>6</v>
      </c>
      <c r="AF5796">
        <v>2</v>
      </c>
      <c r="AY5796">
        <f t="shared" si="182"/>
        <v>43</v>
      </c>
      <c r="AZ5796">
        <f t="shared" si="183"/>
        <v>3</v>
      </c>
    </row>
    <row r="5797" spans="1:52" ht="55.2">
      <c r="A5797" s="3" t="s">
        <v>5841</v>
      </c>
      <c r="D5797">
        <v>6</v>
      </c>
      <c r="AF5797">
        <v>2</v>
      </c>
      <c r="AY5797">
        <f t="shared" si="182"/>
        <v>43</v>
      </c>
      <c r="AZ5797">
        <f t="shared" si="183"/>
        <v>3</v>
      </c>
    </row>
    <row r="5798" spans="1:52" ht="55.2">
      <c r="A5798" s="3" t="s">
        <v>5842</v>
      </c>
      <c r="D5798">
        <v>6</v>
      </c>
      <c r="AF5798">
        <v>2</v>
      </c>
      <c r="AY5798">
        <f t="shared" si="182"/>
        <v>43</v>
      </c>
      <c r="AZ5798">
        <f t="shared" si="183"/>
        <v>3</v>
      </c>
    </row>
    <row r="5799" spans="1:52" ht="55.2">
      <c r="A5799" s="3" t="s">
        <v>5843</v>
      </c>
      <c r="D5799">
        <v>6</v>
      </c>
      <c r="AF5799">
        <v>2</v>
      </c>
      <c r="AY5799">
        <f t="shared" si="182"/>
        <v>43</v>
      </c>
      <c r="AZ5799">
        <f t="shared" si="183"/>
        <v>3</v>
      </c>
    </row>
    <row r="5800" spans="1:52" ht="55.2">
      <c r="A5800" s="3" t="s">
        <v>5844</v>
      </c>
      <c r="D5800">
        <v>6</v>
      </c>
      <c r="AF5800">
        <v>2</v>
      </c>
      <c r="AY5800">
        <f t="shared" si="182"/>
        <v>43</v>
      </c>
      <c r="AZ5800">
        <f t="shared" si="183"/>
        <v>3</v>
      </c>
    </row>
    <row r="5801" spans="1:52" ht="55.2">
      <c r="A5801" s="3" t="s">
        <v>5845</v>
      </c>
      <c r="D5801">
        <v>6</v>
      </c>
      <c r="AF5801">
        <v>2</v>
      </c>
      <c r="AY5801">
        <f t="shared" si="182"/>
        <v>43</v>
      </c>
      <c r="AZ5801">
        <f t="shared" si="183"/>
        <v>3</v>
      </c>
    </row>
    <row r="5802" spans="1:52" ht="55.2">
      <c r="A5802" s="3" t="s">
        <v>5846</v>
      </c>
      <c r="D5802">
        <v>6</v>
      </c>
      <c r="AF5802">
        <v>2</v>
      </c>
      <c r="AY5802">
        <f t="shared" si="182"/>
        <v>43</v>
      </c>
      <c r="AZ5802">
        <f t="shared" si="183"/>
        <v>3</v>
      </c>
    </row>
    <row r="5803" spans="1:52" ht="55.2">
      <c r="A5803" s="3" t="s">
        <v>5847</v>
      </c>
      <c r="D5803">
        <v>6</v>
      </c>
      <c r="AF5803">
        <v>2</v>
      </c>
      <c r="AY5803">
        <f t="shared" si="182"/>
        <v>43</v>
      </c>
      <c r="AZ5803">
        <f t="shared" si="183"/>
        <v>3</v>
      </c>
    </row>
    <row r="5804" spans="1:52" ht="55.2">
      <c r="A5804" s="3" t="s">
        <v>5848</v>
      </c>
      <c r="D5804">
        <v>6</v>
      </c>
      <c r="AF5804">
        <v>2</v>
      </c>
      <c r="AY5804">
        <f t="shared" si="182"/>
        <v>43</v>
      </c>
      <c r="AZ5804">
        <f t="shared" si="183"/>
        <v>3</v>
      </c>
    </row>
    <row r="5805" spans="1:52" ht="55.2">
      <c r="A5805" s="3" t="s">
        <v>5849</v>
      </c>
      <c r="D5805">
        <v>6</v>
      </c>
      <c r="AF5805">
        <v>2</v>
      </c>
      <c r="AY5805">
        <f t="shared" si="182"/>
        <v>43</v>
      </c>
      <c r="AZ5805">
        <f t="shared" si="183"/>
        <v>3</v>
      </c>
    </row>
    <row r="5806" spans="1:52" ht="55.2">
      <c r="A5806" s="3" t="s">
        <v>5850</v>
      </c>
      <c r="D5806">
        <v>6</v>
      </c>
      <c r="AG5806">
        <v>1</v>
      </c>
      <c r="AY5806">
        <f t="shared" si="182"/>
        <v>43</v>
      </c>
      <c r="AZ5806">
        <f t="shared" si="183"/>
        <v>3</v>
      </c>
    </row>
    <row r="5807" spans="1:52" ht="55.2">
      <c r="A5807" s="3" t="s">
        <v>5851</v>
      </c>
      <c r="D5807">
        <v>6</v>
      </c>
      <c r="AG5807">
        <v>1</v>
      </c>
      <c r="AY5807">
        <f t="shared" si="182"/>
        <v>43</v>
      </c>
      <c r="AZ5807">
        <f t="shared" si="183"/>
        <v>3</v>
      </c>
    </row>
    <row r="5808" spans="1:52" ht="55.2">
      <c r="A5808" s="3" t="s">
        <v>5852</v>
      </c>
      <c r="D5808">
        <v>6</v>
      </c>
      <c r="AG5808">
        <v>1</v>
      </c>
      <c r="AY5808">
        <f t="shared" si="182"/>
        <v>43</v>
      </c>
      <c r="AZ5808">
        <f t="shared" si="183"/>
        <v>3</v>
      </c>
    </row>
    <row r="5809" spans="1:52" ht="55.2">
      <c r="A5809" s="3" t="s">
        <v>5853</v>
      </c>
      <c r="D5809">
        <v>6</v>
      </c>
      <c r="AG5809">
        <v>1</v>
      </c>
      <c r="AY5809">
        <f t="shared" si="182"/>
        <v>43</v>
      </c>
      <c r="AZ5809">
        <f t="shared" si="183"/>
        <v>3</v>
      </c>
    </row>
    <row r="5810" spans="1:52" ht="55.2">
      <c r="A5810" s="3" t="s">
        <v>5854</v>
      </c>
      <c r="D5810">
        <v>6</v>
      </c>
      <c r="AG5810">
        <v>1</v>
      </c>
      <c r="AY5810">
        <f t="shared" si="182"/>
        <v>43</v>
      </c>
      <c r="AZ5810">
        <f t="shared" si="183"/>
        <v>3</v>
      </c>
    </row>
    <row r="5811" spans="1:52" ht="55.2">
      <c r="A5811" s="3" t="s">
        <v>5855</v>
      </c>
      <c r="D5811">
        <v>6</v>
      </c>
      <c r="AG5811">
        <v>1</v>
      </c>
      <c r="AY5811">
        <f t="shared" si="182"/>
        <v>43</v>
      </c>
      <c r="AZ5811">
        <f t="shared" si="183"/>
        <v>3</v>
      </c>
    </row>
    <row r="5812" spans="1:52" ht="55.2">
      <c r="A5812" s="3" t="s">
        <v>5856</v>
      </c>
      <c r="D5812">
        <v>6</v>
      </c>
      <c r="AG5812">
        <v>1</v>
      </c>
      <c r="AY5812">
        <f t="shared" si="182"/>
        <v>43</v>
      </c>
      <c r="AZ5812">
        <f t="shared" si="183"/>
        <v>3</v>
      </c>
    </row>
    <row r="5813" spans="1:52" ht="55.2">
      <c r="A5813" s="3" t="s">
        <v>5857</v>
      </c>
      <c r="D5813">
        <v>6</v>
      </c>
      <c r="AG5813">
        <v>1</v>
      </c>
      <c r="AY5813">
        <f t="shared" si="182"/>
        <v>43</v>
      </c>
      <c r="AZ5813">
        <f t="shared" si="183"/>
        <v>3</v>
      </c>
    </row>
    <row r="5814" spans="1:52" ht="55.2">
      <c r="A5814" s="3" t="s">
        <v>5858</v>
      </c>
      <c r="D5814">
        <v>6</v>
      </c>
      <c r="AG5814">
        <v>1</v>
      </c>
      <c r="AY5814">
        <f t="shared" si="182"/>
        <v>43</v>
      </c>
      <c r="AZ5814">
        <f t="shared" si="183"/>
        <v>3</v>
      </c>
    </row>
    <row r="5815" spans="1:52" ht="55.2">
      <c r="A5815" s="3" t="s">
        <v>5859</v>
      </c>
      <c r="D5815">
        <v>6</v>
      </c>
      <c r="AG5815">
        <v>1</v>
      </c>
      <c r="AY5815">
        <f t="shared" si="182"/>
        <v>43</v>
      </c>
      <c r="AZ5815">
        <f t="shared" si="183"/>
        <v>3</v>
      </c>
    </row>
    <row r="5816" spans="1:52" ht="55.2">
      <c r="A5816" s="3" t="s">
        <v>5860</v>
      </c>
      <c r="D5816">
        <v>6</v>
      </c>
      <c r="AG5816">
        <v>1</v>
      </c>
      <c r="AY5816">
        <f t="shared" si="182"/>
        <v>43</v>
      </c>
      <c r="AZ5816">
        <f t="shared" si="183"/>
        <v>3</v>
      </c>
    </row>
    <row r="5817" spans="1:52" ht="55.2">
      <c r="A5817" s="3" t="s">
        <v>5861</v>
      </c>
      <c r="D5817">
        <v>6</v>
      </c>
      <c r="AG5817">
        <v>1</v>
      </c>
      <c r="AY5817">
        <f t="shared" si="182"/>
        <v>43</v>
      </c>
      <c r="AZ5817">
        <f t="shared" si="183"/>
        <v>3</v>
      </c>
    </row>
    <row r="5818" spans="1:52" ht="55.2">
      <c r="A5818" s="3" t="s">
        <v>5862</v>
      </c>
      <c r="D5818">
        <v>6</v>
      </c>
      <c r="AG5818">
        <v>1</v>
      </c>
      <c r="AY5818">
        <f t="shared" si="182"/>
        <v>43</v>
      </c>
      <c r="AZ5818">
        <f t="shared" si="183"/>
        <v>3</v>
      </c>
    </row>
    <row r="5819" spans="1:52" ht="55.2">
      <c r="A5819" s="3" t="s">
        <v>5863</v>
      </c>
      <c r="D5819">
        <v>6</v>
      </c>
      <c r="AG5819">
        <v>1</v>
      </c>
      <c r="AY5819">
        <f t="shared" si="182"/>
        <v>43</v>
      </c>
      <c r="AZ5819">
        <f t="shared" si="183"/>
        <v>3</v>
      </c>
    </row>
    <row r="5820" spans="1:52" ht="55.2">
      <c r="A5820" s="3" t="s">
        <v>5864</v>
      </c>
      <c r="D5820">
        <v>6</v>
      </c>
      <c r="AG5820">
        <v>1</v>
      </c>
      <c r="AY5820">
        <f t="shared" si="182"/>
        <v>43</v>
      </c>
      <c r="AZ5820">
        <f t="shared" si="183"/>
        <v>3</v>
      </c>
    </row>
    <row r="5821" spans="1:52" ht="55.2">
      <c r="A5821" s="3" t="s">
        <v>5865</v>
      </c>
      <c r="D5821">
        <v>6</v>
      </c>
      <c r="AG5821">
        <v>1</v>
      </c>
      <c r="AY5821">
        <f t="shared" si="182"/>
        <v>43</v>
      </c>
      <c r="AZ5821">
        <f t="shared" si="183"/>
        <v>3</v>
      </c>
    </row>
    <row r="5822" spans="1:52" ht="55.2">
      <c r="A5822" s="3" t="s">
        <v>5866</v>
      </c>
      <c r="D5822">
        <v>6</v>
      </c>
      <c r="AG5822">
        <v>1</v>
      </c>
      <c r="AY5822">
        <f t="shared" si="182"/>
        <v>43</v>
      </c>
      <c r="AZ5822">
        <f t="shared" si="183"/>
        <v>3</v>
      </c>
    </row>
    <row r="5823" spans="1:52" ht="55.2">
      <c r="A5823" s="3" t="s">
        <v>5867</v>
      </c>
      <c r="D5823">
        <v>6</v>
      </c>
      <c r="AG5823">
        <v>1</v>
      </c>
      <c r="AY5823">
        <f t="shared" si="182"/>
        <v>43</v>
      </c>
      <c r="AZ5823">
        <f t="shared" si="183"/>
        <v>3</v>
      </c>
    </row>
    <row r="5824" spans="1:52" ht="55.2">
      <c r="A5824" s="3" t="s">
        <v>5868</v>
      </c>
      <c r="D5824">
        <v>6</v>
      </c>
      <c r="AG5824">
        <v>1</v>
      </c>
      <c r="AY5824">
        <f t="shared" si="182"/>
        <v>43</v>
      </c>
      <c r="AZ5824">
        <f t="shared" si="183"/>
        <v>3</v>
      </c>
    </row>
    <row r="5825" spans="1:52" ht="55.2">
      <c r="A5825" s="3" t="s">
        <v>5869</v>
      </c>
      <c r="D5825">
        <v>6</v>
      </c>
      <c r="AG5825">
        <v>1</v>
      </c>
      <c r="AY5825">
        <f t="shared" si="182"/>
        <v>43</v>
      </c>
      <c r="AZ5825">
        <f t="shared" si="183"/>
        <v>3</v>
      </c>
    </row>
    <row r="5826" spans="1:52" ht="55.2">
      <c r="A5826" s="3" t="s">
        <v>5870</v>
      </c>
      <c r="D5826">
        <v>6</v>
      </c>
      <c r="AG5826">
        <v>1</v>
      </c>
      <c r="AY5826">
        <f t="shared" si="182"/>
        <v>43</v>
      </c>
      <c r="AZ5826">
        <f t="shared" si="183"/>
        <v>3</v>
      </c>
    </row>
    <row r="5827" spans="1:52" ht="55.2">
      <c r="A5827" s="3" t="s">
        <v>5871</v>
      </c>
      <c r="D5827">
        <v>6</v>
      </c>
      <c r="AG5827">
        <v>1</v>
      </c>
      <c r="AY5827">
        <f t="shared" si="182"/>
        <v>43</v>
      </c>
      <c r="AZ5827">
        <f t="shared" si="183"/>
        <v>3</v>
      </c>
    </row>
    <row r="5828" spans="1:52" ht="55.2">
      <c r="A5828" s="3" t="s">
        <v>5872</v>
      </c>
      <c r="D5828">
        <v>6</v>
      </c>
      <c r="AG5828">
        <v>1</v>
      </c>
      <c r="AY5828">
        <f t="shared" si="182"/>
        <v>43</v>
      </c>
      <c r="AZ5828">
        <f t="shared" si="183"/>
        <v>3</v>
      </c>
    </row>
    <row r="5829" spans="1:52" ht="55.2">
      <c r="A5829" s="3" t="s">
        <v>5873</v>
      </c>
      <c r="D5829">
        <v>6</v>
      </c>
      <c r="AG5829">
        <v>1</v>
      </c>
      <c r="AY5829">
        <f t="shared" si="182"/>
        <v>43</v>
      </c>
      <c r="AZ5829">
        <f t="shared" si="183"/>
        <v>3</v>
      </c>
    </row>
    <row r="5830" spans="1:52" ht="55.2">
      <c r="A5830" s="3" t="s">
        <v>5874</v>
      </c>
      <c r="D5830">
        <v>6</v>
      </c>
      <c r="AG5830">
        <v>1</v>
      </c>
      <c r="AY5830">
        <f t="shared" si="182"/>
        <v>43</v>
      </c>
      <c r="AZ5830">
        <f t="shared" si="183"/>
        <v>3</v>
      </c>
    </row>
    <row r="5831" spans="1:52" ht="55.2">
      <c r="A5831" s="3" t="s">
        <v>5875</v>
      </c>
      <c r="D5831">
        <v>6</v>
      </c>
      <c r="AG5831">
        <v>1</v>
      </c>
      <c r="AY5831">
        <f t="shared" si="182"/>
        <v>43</v>
      </c>
      <c r="AZ5831">
        <f t="shared" si="183"/>
        <v>3</v>
      </c>
    </row>
    <row r="5832" spans="1:52" ht="55.2">
      <c r="A5832" s="3" t="s">
        <v>5876</v>
      </c>
      <c r="D5832">
        <v>6</v>
      </c>
      <c r="AG5832">
        <v>1</v>
      </c>
      <c r="AY5832">
        <f t="shared" si="182"/>
        <v>43</v>
      </c>
      <c r="AZ5832">
        <f t="shared" si="183"/>
        <v>3</v>
      </c>
    </row>
    <row r="5833" spans="1:52" ht="55.2">
      <c r="A5833" s="3" t="s">
        <v>5877</v>
      </c>
      <c r="D5833">
        <v>6</v>
      </c>
      <c r="AG5833">
        <v>1</v>
      </c>
      <c r="AY5833">
        <f t="shared" si="182"/>
        <v>43</v>
      </c>
      <c r="AZ5833">
        <f t="shared" si="183"/>
        <v>3</v>
      </c>
    </row>
    <row r="5834" spans="1:52" ht="55.2">
      <c r="A5834" s="3" t="s">
        <v>5878</v>
      </c>
      <c r="D5834">
        <v>6</v>
      </c>
      <c r="AG5834">
        <v>1</v>
      </c>
      <c r="AY5834">
        <f t="shared" si="182"/>
        <v>43</v>
      </c>
      <c r="AZ5834">
        <f t="shared" si="183"/>
        <v>3</v>
      </c>
    </row>
    <row r="5835" spans="1:52" ht="55.2">
      <c r="A5835" s="3" t="s">
        <v>5879</v>
      </c>
      <c r="D5835">
        <v>6</v>
      </c>
      <c r="AG5835">
        <v>1</v>
      </c>
      <c r="AY5835">
        <f t="shared" si="182"/>
        <v>43</v>
      </c>
      <c r="AZ5835">
        <f t="shared" si="183"/>
        <v>3</v>
      </c>
    </row>
    <row r="5836" spans="1:52" ht="55.2">
      <c r="A5836" s="3" t="s">
        <v>5880</v>
      </c>
      <c r="D5836">
        <v>6</v>
      </c>
      <c r="AG5836">
        <v>1</v>
      </c>
      <c r="AY5836">
        <f t="shared" si="182"/>
        <v>43</v>
      </c>
      <c r="AZ5836">
        <f t="shared" si="183"/>
        <v>3</v>
      </c>
    </row>
    <row r="5837" spans="1:52" ht="55.2">
      <c r="A5837" s="3" t="s">
        <v>5881</v>
      </c>
      <c r="D5837">
        <v>6</v>
      </c>
      <c r="AG5837">
        <v>1</v>
      </c>
      <c r="AY5837">
        <f t="shared" si="182"/>
        <v>43</v>
      </c>
      <c r="AZ5837">
        <f t="shared" si="183"/>
        <v>3</v>
      </c>
    </row>
    <row r="5838" spans="1:52" ht="55.2">
      <c r="A5838" s="3" t="s">
        <v>5882</v>
      </c>
      <c r="D5838">
        <v>6</v>
      </c>
      <c r="AG5838">
        <v>1</v>
      </c>
      <c r="AY5838">
        <f t="shared" si="182"/>
        <v>43</v>
      </c>
      <c r="AZ5838">
        <f t="shared" si="183"/>
        <v>3</v>
      </c>
    </row>
    <row r="5839" spans="1:52" ht="55.2">
      <c r="A5839" s="3" t="s">
        <v>5883</v>
      </c>
      <c r="D5839">
        <v>6</v>
      </c>
      <c r="AG5839">
        <v>1</v>
      </c>
      <c r="AY5839">
        <f t="shared" si="182"/>
        <v>43</v>
      </c>
      <c r="AZ5839">
        <f t="shared" si="183"/>
        <v>3</v>
      </c>
    </row>
    <row r="5840" spans="1:52" ht="55.2">
      <c r="A5840" s="3" t="s">
        <v>5884</v>
      </c>
      <c r="D5840">
        <v>6</v>
      </c>
      <c r="AG5840">
        <v>1</v>
      </c>
      <c r="AY5840">
        <f t="shared" si="182"/>
        <v>43</v>
      </c>
      <c r="AZ5840">
        <f t="shared" si="183"/>
        <v>3</v>
      </c>
    </row>
    <row r="5841" spans="1:52" ht="55.2">
      <c r="A5841" s="3" t="s">
        <v>5885</v>
      </c>
      <c r="D5841">
        <v>6</v>
      </c>
      <c r="AG5841">
        <v>1</v>
      </c>
      <c r="AY5841">
        <f t="shared" si="182"/>
        <v>43</v>
      </c>
      <c r="AZ5841">
        <f t="shared" si="183"/>
        <v>3</v>
      </c>
    </row>
    <row r="5842" spans="1:52" ht="55.2">
      <c r="A5842" s="3" t="s">
        <v>5886</v>
      </c>
      <c r="D5842">
        <v>6</v>
      </c>
      <c r="AG5842">
        <v>1</v>
      </c>
      <c r="AY5842">
        <f t="shared" si="182"/>
        <v>43</v>
      </c>
      <c r="AZ5842">
        <f t="shared" si="183"/>
        <v>3</v>
      </c>
    </row>
    <row r="5843" spans="1:52" ht="55.2">
      <c r="A5843" s="3" t="s">
        <v>5887</v>
      </c>
      <c r="D5843">
        <v>6</v>
      </c>
      <c r="AG5843">
        <v>1</v>
      </c>
      <c r="AY5843">
        <f t="shared" si="182"/>
        <v>43</v>
      </c>
      <c r="AZ5843">
        <f t="shared" si="183"/>
        <v>3</v>
      </c>
    </row>
    <row r="5844" spans="1:52" ht="55.2">
      <c r="A5844" s="3" t="s">
        <v>5888</v>
      </c>
      <c r="D5844">
        <v>6</v>
      </c>
      <c r="AG5844">
        <v>1</v>
      </c>
      <c r="AY5844">
        <f t="shared" si="182"/>
        <v>43</v>
      </c>
      <c r="AZ5844">
        <f t="shared" si="183"/>
        <v>3</v>
      </c>
    </row>
    <row r="5845" spans="1:52" ht="55.2">
      <c r="A5845" s="3" t="s">
        <v>5889</v>
      </c>
      <c r="D5845">
        <v>6</v>
      </c>
      <c r="AG5845">
        <v>1</v>
      </c>
      <c r="AY5845">
        <f t="shared" si="182"/>
        <v>43</v>
      </c>
      <c r="AZ5845">
        <f t="shared" si="183"/>
        <v>3</v>
      </c>
    </row>
    <row r="5846" spans="1:52" ht="55.2">
      <c r="A5846" s="3" t="s">
        <v>5890</v>
      </c>
      <c r="D5846">
        <v>6</v>
      </c>
      <c r="AG5846">
        <v>1</v>
      </c>
      <c r="AY5846">
        <f t="shared" si="182"/>
        <v>43</v>
      </c>
      <c r="AZ5846">
        <f t="shared" si="183"/>
        <v>3</v>
      </c>
    </row>
    <row r="5847" spans="1:52" ht="55.2">
      <c r="A5847" s="3" t="s">
        <v>5891</v>
      </c>
      <c r="D5847">
        <v>6</v>
      </c>
      <c r="AG5847">
        <v>1</v>
      </c>
      <c r="AY5847">
        <f t="shared" si="182"/>
        <v>43</v>
      </c>
      <c r="AZ5847">
        <f t="shared" si="183"/>
        <v>3</v>
      </c>
    </row>
    <row r="5848" spans="1:52" ht="55.2">
      <c r="A5848" s="3" t="s">
        <v>5892</v>
      </c>
      <c r="D5848">
        <v>6</v>
      </c>
      <c r="AG5848">
        <v>1</v>
      </c>
      <c r="AY5848">
        <f t="shared" si="182"/>
        <v>43</v>
      </c>
      <c r="AZ5848">
        <f t="shared" si="183"/>
        <v>3</v>
      </c>
    </row>
    <row r="5849" spans="1:52" ht="55.2">
      <c r="A5849" s="3" t="s">
        <v>5893</v>
      </c>
      <c r="D5849">
        <v>6</v>
      </c>
      <c r="AG5849">
        <v>1</v>
      </c>
      <c r="AY5849">
        <f t="shared" si="182"/>
        <v>43</v>
      </c>
      <c r="AZ5849">
        <f t="shared" si="183"/>
        <v>3</v>
      </c>
    </row>
    <row r="5850" spans="1:52" ht="55.2">
      <c r="A5850" s="3" t="s">
        <v>5894</v>
      </c>
      <c r="D5850">
        <v>6</v>
      </c>
      <c r="AG5850">
        <v>1</v>
      </c>
      <c r="AY5850">
        <f t="shared" si="182"/>
        <v>43</v>
      </c>
      <c r="AZ5850">
        <f t="shared" si="183"/>
        <v>3</v>
      </c>
    </row>
    <row r="5851" spans="1:52" ht="55.2">
      <c r="A5851" s="3" t="s">
        <v>5895</v>
      </c>
      <c r="D5851">
        <v>6</v>
      </c>
      <c r="AG5851">
        <v>1</v>
      </c>
      <c r="AY5851">
        <f t="shared" si="182"/>
        <v>43</v>
      </c>
      <c r="AZ5851">
        <f t="shared" si="183"/>
        <v>3</v>
      </c>
    </row>
    <row r="5852" spans="1:52" ht="55.2">
      <c r="A5852" s="3" t="s">
        <v>5896</v>
      </c>
      <c r="D5852">
        <v>6</v>
      </c>
      <c r="AG5852">
        <v>1</v>
      </c>
      <c r="AY5852">
        <f t="shared" si="182"/>
        <v>43</v>
      </c>
      <c r="AZ5852">
        <f t="shared" si="183"/>
        <v>3</v>
      </c>
    </row>
    <row r="5853" spans="1:52" ht="55.2">
      <c r="A5853" s="3" t="s">
        <v>5897</v>
      </c>
      <c r="D5853">
        <v>6</v>
      </c>
      <c r="AG5853">
        <v>1</v>
      </c>
      <c r="AY5853">
        <f t="shared" si="182"/>
        <v>43</v>
      </c>
      <c r="AZ5853">
        <f t="shared" si="183"/>
        <v>3</v>
      </c>
    </row>
    <row r="5854" spans="1:52" ht="55.2">
      <c r="A5854" s="3" t="s">
        <v>5898</v>
      </c>
      <c r="D5854">
        <v>6</v>
      </c>
      <c r="AG5854">
        <v>1</v>
      </c>
      <c r="AY5854">
        <f t="shared" si="182"/>
        <v>43</v>
      </c>
      <c r="AZ5854">
        <f t="shared" si="183"/>
        <v>3</v>
      </c>
    </row>
    <row r="5855" spans="1:52" ht="55.2">
      <c r="A5855" s="3" t="s">
        <v>5899</v>
      </c>
      <c r="D5855">
        <v>6</v>
      </c>
      <c r="AG5855">
        <v>1</v>
      </c>
      <c r="AY5855">
        <f t="shared" si="182"/>
        <v>43</v>
      </c>
      <c r="AZ5855">
        <f t="shared" si="183"/>
        <v>3</v>
      </c>
    </row>
    <row r="5856" spans="1:52" ht="55.2">
      <c r="A5856" s="3" t="s">
        <v>5900</v>
      </c>
      <c r="D5856">
        <v>6</v>
      </c>
      <c r="AG5856">
        <v>1</v>
      </c>
      <c r="AY5856">
        <f t="shared" si="182"/>
        <v>43</v>
      </c>
      <c r="AZ5856">
        <f t="shared" si="183"/>
        <v>3</v>
      </c>
    </row>
    <row r="5857" spans="1:52" ht="55.2">
      <c r="A5857" s="3" t="s">
        <v>5901</v>
      </c>
      <c r="D5857">
        <v>6</v>
      </c>
      <c r="AG5857">
        <v>1</v>
      </c>
      <c r="AY5857">
        <f t="shared" ref="AY5857:AY5920" si="184">COUNTBLANK(F5857:AW5857)</f>
        <v>43</v>
      </c>
      <c r="AZ5857">
        <f t="shared" ref="AZ5857:AZ5920" si="185">COUNTBLANK(B5857:E5857)</f>
        <v>3</v>
      </c>
    </row>
    <row r="5858" spans="1:52" ht="55.2">
      <c r="A5858" s="3" t="s">
        <v>5902</v>
      </c>
      <c r="D5858">
        <v>6</v>
      </c>
      <c r="AG5858">
        <v>1</v>
      </c>
      <c r="AY5858">
        <f t="shared" si="184"/>
        <v>43</v>
      </c>
      <c r="AZ5858">
        <f t="shared" si="185"/>
        <v>3</v>
      </c>
    </row>
    <row r="5859" spans="1:52" ht="55.2">
      <c r="A5859" s="3" t="s">
        <v>5903</v>
      </c>
      <c r="D5859">
        <v>6</v>
      </c>
      <c r="AG5859">
        <v>1</v>
      </c>
      <c r="AY5859">
        <f t="shared" si="184"/>
        <v>43</v>
      </c>
      <c r="AZ5859">
        <f t="shared" si="185"/>
        <v>3</v>
      </c>
    </row>
    <row r="5860" spans="1:52" ht="55.2">
      <c r="A5860" s="3" t="s">
        <v>5904</v>
      </c>
      <c r="D5860">
        <v>6</v>
      </c>
      <c r="AG5860">
        <v>1</v>
      </c>
      <c r="AY5860">
        <f t="shared" si="184"/>
        <v>43</v>
      </c>
      <c r="AZ5860">
        <f t="shared" si="185"/>
        <v>3</v>
      </c>
    </row>
    <row r="5861" spans="1:52" ht="55.2">
      <c r="A5861" s="3" t="s">
        <v>5905</v>
      </c>
      <c r="D5861">
        <v>6</v>
      </c>
      <c r="AG5861">
        <v>1</v>
      </c>
      <c r="AY5861">
        <f t="shared" si="184"/>
        <v>43</v>
      </c>
      <c r="AZ5861">
        <f t="shared" si="185"/>
        <v>3</v>
      </c>
    </row>
    <row r="5862" spans="1:52" ht="55.2">
      <c r="A5862" s="3" t="s">
        <v>5906</v>
      </c>
      <c r="D5862">
        <v>6</v>
      </c>
      <c r="AG5862">
        <v>1</v>
      </c>
      <c r="AY5862">
        <f t="shared" si="184"/>
        <v>43</v>
      </c>
      <c r="AZ5862">
        <f t="shared" si="185"/>
        <v>3</v>
      </c>
    </row>
    <row r="5863" spans="1:52" ht="55.2">
      <c r="A5863" s="3" t="s">
        <v>5907</v>
      </c>
      <c r="D5863">
        <v>6</v>
      </c>
      <c r="AG5863">
        <v>1</v>
      </c>
      <c r="AY5863">
        <f t="shared" si="184"/>
        <v>43</v>
      </c>
      <c r="AZ5863">
        <f t="shared" si="185"/>
        <v>3</v>
      </c>
    </row>
    <row r="5864" spans="1:52" ht="55.2">
      <c r="A5864" s="3" t="s">
        <v>5908</v>
      </c>
      <c r="D5864">
        <v>6</v>
      </c>
      <c r="AG5864">
        <v>1</v>
      </c>
      <c r="AY5864">
        <f t="shared" si="184"/>
        <v>43</v>
      </c>
      <c r="AZ5864">
        <f t="shared" si="185"/>
        <v>3</v>
      </c>
    </row>
    <row r="5865" spans="1:52" ht="55.2">
      <c r="A5865" s="3" t="s">
        <v>5909</v>
      </c>
      <c r="D5865">
        <v>6</v>
      </c>
      <c r="AG5865">
        <v>1</v>
      </c>
      <c r="AY5865">
        <f t="shared" si="184"/>
        <v>43</v>
      </c>
      <c r="AZ5865">
        <f t="shared" si="185"/>
        <v>3</v>
      </c>
    </row>
    <row r="5866" spans="1:52" ht="55.2">
      <c r="A5866" s="3" t="s">
        <v>5910</v>
      </c>
      <c r="D5866">
        <v>6</v>
      </c>
      <c r="AG5866">
        <v>1</v>
      </c>
      <c r="AY5866">
        <f t="shared" si="184"/>
        <v>43</v>
      </c>
      <c r="AZ5866">
        <f t="shared" si="185"/>
        <v>3</v>
      </c>
    </row>
    <row r="5867" spans="1:52" ht="55.2">
      <c r="A5867" s="3" t="s">
        <v>5911</v>
      </c>
      <c r="D5867">
        <v>6</v>
      </c>
      <c r="AG5867">
        <v>1</v>
      </c>
      <c r="AY5867">
        <f t="shared" si="184"/>
        <v>43</v>
      </c>
      <c r="AZ5867">
        <f t="shared" si="185"/>
        <v>3</v>
      </c>
    </row>
    <row r="5868" spans="1:52" ht="55.2">
      <c r="A5868" s="3" t="s">
        <v>5912</v>
      </c>
      <c r="D5868">
        <v>6</v>
      </c>
      <c r="AG5868">
        <v>1</v>
      </c>
      <c r="AY5868">
        <f t="shared" si="184"/>
        <v>43</v>
      </c>
      <c r="AZ5868">
        <f t="shared" si="185"/>
        <v>3</v>
      </c>
    </row>
    <row r="5869" spans="1:52" ht="55.2">
      <c r="A5869" s="3" t="s">
        <v>5913</v>
      </c>
      <c r="D5869">
        <v>6</v>
      </c>
      <c r="AF5869">
        <v>3</v>
      </c>
      <c r="AY5869">
        <f t="shared" si="184"/>
        <v>43</v>
      </c>
      <c r="AZ5869">
        <f t="shared" si="185"/>
        <v>3</v>
      </c>
    </row>
    <row r="5870" spans="1:52" ht="55.2">
      <c r="A5870" s="3" t="s">
        <v>5914</v>
      </c>
      <c r="D5870">
        <v>6</v>
      </c>
      <c r="AF5870">
        <v>3</v>
      </c>
      <c r="AY5870">
        <f t="shared" si="184"/>
        <v>43</v>
      </c>
      <c r="AZ5870">
        <f t="shared" si="185"/>
        <v>3</v>
      </c>
    </row>
    <row r="5871" spans="1:52" ht="55.2">
      <c r="A5871" s="3" t="s">
        <v>5915</v>
      </c>
      <c r="D5871">
        <v>6</v>
      </c>
      <c r="AF5871">
        <v>3</v>
      </c>
      <c r="AY5871">
        <f t="shared" si="184"/>
        <v>43</v>
      </c>
      <c r="AZ5871">
        <f t="shared" si="185"/>
        <v>3</v>
      </c>
    </row>
    <row r="5872" spans="1:52" ht="55.2">
      <c r="A5872" s="3" t="s">
        <v>5916</v>
      </c>
      <c r="D5872">
        <v>6</v>
      </c>
      <c r="AF5872">
        <v>3</v>
      </c>
      <c r="AY5872">
        <f t="shared" si="184"/>
        <v>43</v>
      </c>
      <c r="AZ5872">
        <f t="shared" si="185"/>
        <v>3</v>
      </c>
    </row>
    <row r="5873" spans="1:52" ht="55.2">
      <c r="A5873" s="3" t="s">
        <v>5917</v>
      </c>
      <c r="D5873">
        <v>6</v>
      </c>
      <c r="AF5873">
        <v>3</v>
      </c>
      <c r="AY5873">
        <f t="shared" si="184"/>
        <v>43</v>
      </c>
      <c r="AZ5873">
        <f t="shared" si="185"/>
        <v>3</v>
      </c>
    </row>
    <row r="5874" spans="1:52" ht="55.2">
      <c r="A5874" s="3" t="s">
        <v>5918</v>
      </c>
      <c r="D5874">
        <v>6</v>
      </c>
      <c r="AF5874">
        <v>3</v>
      </c>
      <c r="AY5874">
        <f t="shared" si="184"/>
        <v>43</v>
      </c>
      <c r="AZ5874">
        <f t="shared" si="185"/>
        <v>3</v>
      </c>
    </row>
    <row r="5875" spans="1:52" ht="55.2">
      <c r="A5875" s="3" t="s">
        <v>5919</v>
      </c>
      <c r="D5875">
        <v>6</v>
      </c>
      <c r="AF5875">
        <v>3</v>
      </c>
      <c r="AY5875">
        <f t="shared" si="184"/>
        <v>43</v>
      </c>
      <c r="AZ5875">
        <f t="shared" si="185"/>
        <v>3</v>
      </c>
    </row>
    <row r="5876" spans="1:52" ht="55.2">
      <c r="A5876" s="3" t="s">
        <v>5920</v>
      </c>
      <c r="D5876">
        <v>6</v>
      </c>
      <c r="AF5876">
        <v>3</v>
      </c>
      <c r="AY5876">
        <f t="shared" si="184"/>
        <v>43</v>
      </c>
      <c r="AZ5876">
        <f t="shared" si="185"/>
        <v>3</v>
      </c>
    </row>
    <row r="5877" spans="1:52" ht="55.2">
      <c r="A5877" s="3" t="s">
        <v>5921</v>
      </c>
      <c r="D5877">
        <v>6</v>
      </c>
      <c r="J5877">
        <v>59</v>
      </c>
      <c r="AY5877">
        <f t="shared" si="184"/>
        <v>43</v>
      </c>
      <c r="AZ5877">
        <f t="shared" si="185"/>
        <v>3</v>
      </c>
    </row>
    <row r="5878" spans="1:52" ht="55.2">
      <c r="A5878" s="3" t="s">
        <v>5922</v>
      </c>
      <c r="D5878">
        <v>6</v>
      </c>
      <c r="J5878">
        <v>59</v>
      </c>
      <c r="AY5878">
        <f t="shared" si="184"/>
        <v>43</v>
      </c>
      <c r="AZ5878">
        <f t="shared" si="185"/>
        <v>3</v>
      </c>
    </row>
    <row r="5879" spans="1:52" ht="55.2">
      <c r="A5879" s="3" t="s">
        <v>5923</v>
      </c>
      <c r="D5879">
        <v>6</v>
      </c>
      <c r="J5879">
        <v>59</v>
      </c>
      <c r="AY5879">
        <f t="shared" si="184"/>
        <v>43</v>
      </c>
      <c r="AZ5879">
        <f t="shared" si="185"/>
        <v>3</v>
      </c>
    </row>
    <row r="5880" spans="1:52" ht="55.2">
      <c r="A5880" s="3" t="s">
        <v>5924</v>
      </c>
      <c r="D5880">
        <v>6</v>
      </c>
      <c r="J5880">
        <v>59</v>
      </c>
      <c r="AY5880">
        <f t="shared" si="184"/>
        <v>43</v>
      </c>
      <c r="AZ5880">
        <f t="shared" si="185"/>
        <v>3</v>
      </c>
    </row>
    <row r="5881" spans="1:52" ht="55.2">
      <c r="A5881" s="3" t="s">
        <v>5925</v>
      </c>
      <c r="D5881">
        <v>6</v>
      </c>
      <c r="J5881">
        <v>59</v>
      </c>
      <c r="AY5881">
        <f t="shared" si="184"/>
        <v>43</v>
      </c>
      <c r="AZ5881">
        <f t="shared" si="185"/>
        <v>3</v>
      </c>
    </row>
    <row r="5882" spans="1:52" ht="55.2">
      <c r="A5882" s="3" t="s">
        <v>5926</v>
      </c>
      <c r="D5882">
        <v>6</v>
      </c>
      <c r="J5882">
        <v>59</v>
      </c>
      <c r="AY5882">
        <f t="shared" si="184"/>
        <v>43</v>
      </c>
      <c r="AZ5882">
        <f t="shared" si="185"/>
        <v>3</v>
      </c>
    </row>
    <row r="5883" spans="1:52" ht="55.2">
      <c r="A5883" s="3" t="s">
        <v>5927</v>
      </c>
      <c r="D5883">
        <v>6</v>
      </c>
      <c r="J5883">
        <v>59</v>
      </c>
      <c r="AY5883">
        <f t="shared" si="184"/>
        <v>43</v>
      </c>
      <c r="AZ5883">
        <f t="shared" si="185"/>
        <v>3</v>
      </c>
    </row>
    <row r="5884" spans="1:52" ht="55.2">
      <c r="A5884" s="3" t="s">
        <v>5928</v>
      </c>
      <c r="D5884">
        <v>6</v>
      </c>
      <c r="J5884">
        <v>59</v>
      </c>
      <c r="AY5884">
        <f t="shared" si="184"/>
        <v>43</v>
      </c>
      <c r="AZ5884">
        <f t="shared" si="185"/>
        <v>3</v>
      </c>
    </row>
    <row r="5885" spans="1:52" ht="55.2">
      <c r="A5885" s="3" t="s">
        <v>5929</v>
      </c>
      <c r="D5885">
        <v>6</v>
      </c>
      <c r="J5885">
        <v>59</v>
      </c>
      <c r="AY5885">
        <f t="shared" si="184"/>
        <v>43</v>
      </c>
      <c r="AZ5885">
        <f t="shared" si="185"/>
        <v>3</v>
      </c>
    </row>
    <row r="5886" spans="1:52" ht="55.2">
      <c r="A5886" s="3" t="s">
        <v>5930</v>
      </c>
      <c r="D5886">
        <v>6</v>
      </c>
      <c r="E5886">
        <v>7</v>
      </c>
      <c r="J5886">
        <v>59</v>
      </c>
      <c r="AY5886">
        <f t="shared" si="184"/>
        <v>43</v>
      </c>
      <c r="AZ5886">
        <f t="shared" si="185"/>
        <v>2</v>
      </c>
    </row>
    <row r="5887" spans="1:52" ht="55.2">
      <c r="A5887" s="3" t="s">
        <v>5931</v>
      </c>
      <c r="D5887">
        <v>6</v>
      </c>
      <c r="E5887">
        <v>7</v>
      </c>
      <c r="J5887">
        <v>59</v>
      </c>
      <c r="AY5887">
        <f t="shared" si="184"/>
        <v>43</v>
      </c>
      <c r="AZ5887">
        <f t="shared" si="185"/>
        <v>2</v>
      </c>
    </row>
    <row r="5888" spans="1:52" ht="55.2">
      <c r="A5888" s="3" t="s">
        <v>5932</v>
      </c>
      <c r="D5888">
        <v>6</v>
      </c>
      <c r="E5888">
        <v>7</v>
      </c>
      <c r="J5888">
        <v>59</v>
      </c>
      <c r="AY5888">
        <f t="shared" si="184"/>
        <v>43</v>
      </c>
      <c r="AZ5888">
        <f t="shared" si="185"/>
        <v>2</v>
      </c>
    </row>
    <row r="5889" spans="1:52" ht="55.2">
      <c r="A5889" s="3" t="s">
        <v>5933</v>
      </c>
      <c r="D5889">
        <v>6</v>
      </c>
      <c r="E5889">
        <v>7</v>
      </c>
      <c r="J5889">
        <v>59</v>
      </c>
      <c r="AY5889">
        <f t="shared" si="184"/>
        <v>43</v>
      </c>
      <c r="AZ5889">
        <f t="shared" si="185"/>
        <v>2</v>
      </c>
    </row>
    <row r="5890" spans="1:52" ht="55.2">
      <c r="A5890" s="3" t="s">
        <v>5934</v>
      </c>
      <c r="D5890">
        <v>6</v>
      </c>
      <c r="E5890">
        <v>7</v>
      </c>
      <c r="J5890">
        <v>59</v>
      </c>
      <c r="AY5890">
        <f t="shared" si="184"/>
        <v>43</v>
      </c>
      <c r="AZ5890">
        <f t="shared" si="185"/>
        <v>2</v>
      </c>
    </row>
    <row r="5891" spans="1:52" ht="55.2">
      <c r="A5891" s="3" t="s">
        <v>5935</v>
      </c>
      <c r="D5891">
        <v>6</v>
      </c>
      <c r="E5891">
        <v>7</v>
      </c>
      <c r="J5891">
        <v>59</v>
      </c>
      <c r="AY5891">
        <f t="shared" si="184"/>
        <v>43</v>
      </c>
      <c r="AZ5891">
        <f t="shared" si="185"/>
        <v>2</v>
      </c>
    </row>
    <row r="5892" spans="1:52" ht="55.2">
      <c r="A5892" s="3" t="s">
        <v>5936</v>
      </c>
      <c r="D5892">
        <v>6</v>
      </c>
      <c r="E5892">
        <v>7</v>
      </c>
      <c r="J5892">
        <v>59</v>
      </c>
      <c r="AY5892">
        <f t="shared" si="184"/>
        <v>43</v>
      </c>
      <c r="AZ5892">
        <f t="shared" si="185"/>
        <v>2</v>
      </c>
    </row>
    <row r="5893" spans="1:52" ht="55.2">
      <c r="A5893" s="3" t="s">
        <v>5937</v>
      </c>
      <c r="D5893">
        <v>6</v>
      </c>
      <c r="E5893">
        <v>7</v>
      </c>
      <c r="J5893">
        <v>59</v>
      </c>
      <c r="AY5893">
        <f t="shared" si="184"/>
        <v>43</v>
      </c>
      <c r="AZ5893">
        <f t="shared" si="185"/>
        <v>2</v>
      </c>
    </row>
    <row r="5894" spans="1:52" ht="55.2">
      <c r="A5894" s="3" t="s">
        <v>5938</v>
      </c>
      <c r="D5894">
        <v>6</v>
      </c>
      <c r="E5894">
        <v>7</v>
      </c>
      <c r="J5894">
        <v>59</v>
      </c>
      <c r="AY5894">
        <f t="shared" si="184"/>
        <v>43</v>
      </c>
      <c r="AZ5894">
        <f t="shared" si="185"/>
        <v>2</v>
      </c>
    </row>
    <row r="5895" spans="1:52" ht="55.2">
      <c r="A5895" s="3" t="s">
        <v>5939</v>
      </c>
      <c r="D5895">
        <v>6</v>
      </c>
      <c r="E5895">
        <v>7</v>
      </c>
      <c r="J5895">
        <v>59</v>
      </c>
      <c r="AY5895">
        <f t="shared" si="184"/>
        <v>43</v>
      </c>
      <c r="AZ5895">
        <f t="shared" si="185"/>
        <v>2</v>
      </c>
    </row>
    <row r="5896" spans="1:52" ht="55.2">
      <c r="A5896" s="3" t="s">
        <v>5940</v>
      </c>
      <c r="D5896">
        <v>6</v>
      </c>
      <c r="E5896">
        <v>7</v>
      </c>
      <c r="AW5896">
        <v>19</v>
      </c>
      <c r="AY5896">
        <f t="shared" si="184"/>
        <v>43</v>
      </c>
      <c r="AZ5896">
        <f t="shared" si="185"/>
        <v>2</v>
      </c>
    </row>
    <row r="5897" spans="1:52" ht="55.2">
      <c r="A5897" s="3" t="s">
        <v>5941</v>
      </c>
      <c r="D5897">
        <v>6</v>
      </c>
      <c r="E5897">
        <v>7</v>
      </c>
      <c r="AW5897">
        <v>19</v>
      </c>
      <c r="AY5897">
        <f t="shared" si="184"/>
        <v>43</v>
      </c>
      <c r="AZ5897">
        <f t="shared" si="185"/>
        <v>2</v>
      </c>
    </row>
    <row r="5898" spans="1:52" ht="55.2">
      <c r="A5898" s="3" t="s">
        <v>5942</v>
      </c>
      <c r="D5898">
        <v>6</v>
      </c>
      <c r="E5898">
        <v>7</v>
      </c>
      <c r="AW5898">
        <v>19</v>
      </c>
      <c r="AY5898">
        <f t="shared" si="184"/>
        <v>43</v>
      </c>
      <c r="AZ5898">
        <f t="shared" si="185"/>
        <v>2</v>
      </c>
    </row>
    <row r="5899" spans="1:52" ht="55.2">
      <c r="A5899" s="3" t="s">
        <v>5943</v>
      </c>
      <c r="D5899">
        <v>6</v>
      </c>
      <c r="E5899">
        <v>7</v>
      </c>
      <c r="AW5899">
        <v>19</v>
      </c>
      <c r="AY5899">
        <f t="shared" si="184"/>
        <v>43</v>
      </c>
      <c r="AZ5899">
        <f t="shared" si="185"/>
        <v>2</v>
      </c>
    </row>
    <row r="5900" spans="1:52" ht="55.2">
      <c r="A5900" s="3" t="s">
        <v>5944</v>
      </c>
      <c r="D5900">
        <v>6</v>
      </c>
      <c r="E5900">
        <v>7</v>
      </c>
      <c r="AW5900">
        <v>19</v>
      </c>
      <c r="AY5900">
        <f t="shared" si="184"/>
        <v>43</v>
      </c>
      <c r="AZ5900">
        <f t="shared" si="185"/>
        <v>2</v>
      </c>
    </row>
    <row r="5901" spans="1:52" ht="55.2">
      <c r="A5901" s="3" t="s">
        <v>5945</v>
      </c>
      <c r="D5901">
        <v>6</v>
      </c>
      <c r="E5901">
        <v>7</v>
      </c>
      <c r="AW5901">
        <v>19</v>
      </c>
      <c r="AY5901">
        <f t="shared" si="184"/>
        <v>43</v>
      </c>
      <c r="AZ5901">
        <f t="shared" si="185"/>
        <v>2</v>
      </c>
    </row>
    <row r="5902" spans="1:52" ht="55.2">
      <c r="A5902" s="3" t="s">
        <v>5946</v>
      </c>
      <c r="D5902">
        <v>6</v>
      </c>
      <c r="E5902">
        <v>7</v>
      </c>
      <c r="AW5902">
        <v>19</v>
      </c>
      <c r="AY5902">
        <f t="shared" si="184"/>
        <v>43</v>
      </c>
      <c r="AZ5902">
        <f t="shared" si="185"/>
        <v>2</v>
      </c>
    </row>
    <row r="5903" spans="1:52" ht="55.2">
      <c r="A5903" s="3" t="s">
        <v>5947</v>
      </c>
      <c r="D5903">
        <v>6</v>
      </c>
      <c r="E5903">
        <v>7</v>
      </c>
      <c r="AW5903">
        <v>19</v>
      </c>
      <c r="AY5903">
        <f t="shared" si="184"/>
        <v>43</v>
      </c>
      <c r="AZ5903">
        <f t="shared" si="185"/>
        <v>2</v>
      </c>
    </row>
    <row r="5904" spans="1:52" ht="55.2">
      <c r="A5904" s="3" t="s">
        <v>5948</v>
      </c>
      <c r="D5904">
        <v>6</v>
      </c>
      <c r="E5904">
        <v>7</v>
      </c>
      <c r="K5904">
        <v>18</v>
      </c>
      <c r="AY5904">
        <f t="shared" si="184"/>
        <v>43</v>
      </c>
      <c r="AZ5904">
        <f t="shared" si="185"/>
        <v>2</v>
      </c>
    </row>
    <row r="5905" spans="1:52" ht="55.2">
      <c r="A5905" s="3" t="s">
        <v>5949</v>
      </c>
      <c r="D5905">
        <v>6</v>
      </c>
      <c r="E5905">
        <v>7</v>
      </c>
      <c r="K5905">
        <v>18</v>
      </c>
      <c r="AY5905">
        <f t="shared" si="184"/>
        <v>43</v>
      </c>
      <c r="AZ5905">
        <f t="shared" si="185"/>
        <v>2</v>
      </c>
    </row>
    <row r="5906" spans="1:52" ht="55.2">
      <c r="A5906" s="3" t="s">
        <v>5950</v>
      </c>
      <c r="D5906">
        <v>6</v>
      </c>
      <c r="E5906">
        <v>7</v>
      </c>
      <c r="K5906">
        <v>18</v>
      </c>
      <c r="AY5906">
        <f t="shared" si="184"/>
        <v>43</v>
      </c>
      <c r="AZ5906">
        <f t="shared" si="185"/>
        <v>2</v>
      </c>
    </row>
    <row r="5907" spans="1:52" ht="55.2">
      <c r="A5907" s="3" t="s">
        <v>5951</v>
      </c>
      <c r="D5907">
        <v>6</v>
      </c>
      <c r="E5907">
        <v>7</v>
      </c>
      <c r="K5907">
        <v>18</v>
      </c>
      <c r="AY5907">
        <f t="shared" si="184"/>
        <v>43</v>
      </c>
      <c r="AZ5907">
        <f t="shared" si="185"/>
        <v>2</v>
      </c>
    </row>
    <row r="5908" spans="1:52" ht="55.2">
      <c r="A5908" s="3" t="s">
        <v>5952</v>
      </c>
      <c r="D5908">
        <v>6</v>
      </c>
      <c r="E5908">
        <v>7</v>
      </c>
      <c r="K5908">
        <v>18</v>
      </c>
      <c r="AY5908">
        <f t="shared" si="184"/>
        <v>43</v>
      </c>
      <c r="AZ5908">
        <f t="shared" si="185"/>
        <v>2</v>
      </c>
    </row>
    <row r="5909" spans="1:52" ht="55.2">
      <c r="A5909" s="3" t="s">
        <v>5953</v>
      </c>
      <c r="D5909">
        <v>6</v>
      </c>
      <c r="E5909">
        <v>7</v>
      </c>
      <c r="K5909">
        <v>18</v>
      </c>
      <c r="AY5909">
        <f t="shared" si="184"/>
        <v>43</v>
      </c>
      <c r="AZ5909">
        <f t="shared" si="185"/>
        <v>2</v>
      </c>
    </row>
    <row r="5910" spans="1:52" ht="55.2">
      <c r="A5910" s="3" t="s">
        <v>5954</v>
      </c>
      <c r="D5910">
        <v>6</v>
      </c>
      <c r="E5910">
        <v>7</v>
      </c>
      <c r="K5910">
        <v>18</v>
      </c>
      <c r="AY5910">
        <f t="shared" si="184"/>
        <v>43</v>
      </c>
      <c r="AZ5910">
        <f t="shared" si="185"/>
        <v>2</v>
      </c>
    </row>
    <row r="5911" spans="1:52" ht="55.2">
      <c r="A5911" s="3" t="s">
        <v>5955</v>
      </c>
      <c r="D5911">
        <v>6</v>
      </c>
      <c r="E5911">
        <v>7</v>
      </c>
      <c r="K5911">
        <v>18</v>
      </c>
      <c r="AY5911">
        <f t="shared" si="184"/>
        <v>43</v>
      </c>
      <c r="AZ5911">
        <f t="shared" si="185"/>
        <v>2</v>
      </c>
    </row>
    <row r="5912" spans="1:52" ht="55.2">
      <c r="A5912" s="3" t="s">
        <v>5956</v>
      </c>
      <c r="D5912">
        <v>6</v>
      </c>
      <c r="E5912">
        <v>7</v>
      </c>
      <c r="K5912">
        <v>18</v>
      </c>
      <c r="AY5912">
        <f t="shared" si="184"/>
        <v>43</v>
      </c>
      <c r="AZ5912">
        <f t="shared" si="185"/>
        <v>2</v>
      </c>
    </row>
    <row r="5913" spans="1:52" ht="55.2">
      <c r="A5913" s="3" t="s">
        <v>5957</v>
      </c>
      <c r="D5913">
        <v>6</v>
      </c>
      <c r="E5913">
        <v>7</v>
      </c>
      <c r="K5913">
        <v>18</v>
      </c>
      <c r="AY5913">
        <f t="shared" si="184"/>
        <v>43</v>
      </c>
      <c r="AZ5913">
        <f t="shared" si="185"/>
        <v>2</v>
      </c>
    </row>
    <row r="5914" spans="1:52" ht="55.2">
      <c r="A5914" s="3" t="s">
        <v>5958</v>
      </c>
      <c r="D5914">
        <v>6</v>
      </c>
      <c r="E5914">
        <v>7</v>
      </c>
      <c r="K5914">
        <v>18</v>
      </c>
      <c r="AY5914">
        <f t="shared" si="184"/>
        <v>43</v>
      </c>
      <c r="AZ5914">
        <f t="shared" si="185"/>
        <v>2</v>
      </c>
    </row>
    <row r="5915" spans="1:52" ht="55.2">
      <c r="A5915" s="3" t="s">
        <v>5959</v>
      </c>
      <c r="D5915">
        <v>6</v>
      </c>
      <c r="E5915">
        <v>7</v>
      </c>
      <c r="K5915">
        <v>18</v>
      </c>
      <c r="AY5915">
        <f t="shared" si="184"/>
        <v>43</v>
      </c>
      <c r="AZ5915">
        <f t="shared" si="185"/>
        <v>2</v>
      </c>
    </row>
    <row r="5916" spans="1:52" ht="55.2">
      <c r="A5916" s="3" t="s">
        <v>5960</v>
      </c>
      <c r="D5916">
        <v>6</v>
      </c>
      <c r="E5916">
        <v>7</v>
      </c>
      <c r="K5916">
        <v>18</v>
      </c>
      <c r="AY5916">
        <f t="shared" si="184"/>
        <v>43</v>
      </c>
      <c r="AZ5916">
        <f t="shared" si="185"/>
        <v>2</v>
      </c>
    </row>
    <row r="5917" spans="1:52" ht="55.2">
      <c r="A5917" s="3" t="s">
        <v>5961</v>
      </c>
      <c r="D5917">
        <v>6</v>
      </c>
      <c r="E5917">
        <v>7</v>
      </c>
      <c r="K5917">
        <v>18</v>
      </c>
      <c r="AY5917">
        <f t="shared" si="184"/>
        <v>43</v>
      </c>
      <c r="AZ5917">
        <f t="shared" si="185"/>
        <v>2</v>
      </c>
    </row>
    <row r="5918" spans="1:52" ht="55.2">
      <c r="A5918" s="3" t="s">
        <v>5962</v>
      </c>
      <c r="D5918">
        <v>6</v>
      </c>
      <c r="E5918">
        <v>7</v>
      </c>
      <c r="K5918">
        <v>18</v>
      </c>
      <c r="AY5918">
        <f t="shared" si="184"/>
        <v>43</v>
      </c>
      <c r="AZ5918">
        <f t="shared" si="185"/>
        <v>2</v>
      </c>
    </row>
    <row r="5919" spans="1:52" ht="55.2">
      <c r="A5919" s="3" t="s">
        <v>5963</v>
      </c>
      <c r="D5919">
        <v>6</v>
      </c>
      <c r="E5919">
        <v>7</v>
      </c>
      <c r="K5919">
        <v>18</v>
      </c>
      <c r="AY5919">
        <f t="shared" si="184"/>
        <v>43</v>
      </c>
      <c r="AZ5919">
        <f t="shared" si="185"/>
        <v>2</v>
      </c>
    </row>
    <row r="5920" spans="1:52" ht="55.2">
      <c r="A5920" s="3" t="s">
        <v>5964</v>
      </c>
      <c r="D5920">
        <v>6</v>
      </c>
      <c r="E5920">
        <v>7</v>
      </c>
      <c r="K5920">
        <v>18</v>
      </c>
      <c r="AY5920">
        <f t="shared" si="184"/>
        <v>43</v>
      </c>
      <c r="AZ5920">
        <f t="shared" si="185"/>
        <v>2</v>
      </c>
    </row>
    <row r="5921" spans="1:52" ht="55.2">
      <c r="A5921" s="3" t="s">
        <v>5965</v>
      </c>
      <c r="D5921">
        <v>6</v>
      </c>
      <c r="E5921">
        <v>7</v>
      </c>
      <c r="K5921">
        <v>18</v>
      </c>
      <c r="AY5921">
        <f t="shared" ref="AY5921:AY5984" si="186">COUNTBLANK(F5921:AW5921)</f>
        <v>43</v>
      </c>
      <c r="AZ5921">
        <f t="shared" ref="AZ5921:AZ5984" si="187">COUNTBLANK(B5921:E5921)</f>
        <v>2</v>
      </c>
    </row>
    <row r="5922" spans="1:52" ht="55.2">
      <c r="A5922" s="3" t="s">
        <v>5966</v>
      </c>
      <c r="D5922">
        <v>6</v>
      </c>
      <c r="E5922">
        <v>7</v>
      </c>
      <c r="K5922">
        <v>18</v>
      </c>
      <c r="AY5922">
        <f t="shared" si="186"/>
        <v>43</v>
      </c>
      <c r="AZ5922">
        <f t="shared" si="187"/>
        <v>2</v>
      </c>
    </row>
    <row r="5923" spans="1:52" ht="55.2">
      <c r="A5923" s="3" t="s">
        <v>5967</v>
      </c>
      <c r="D5923">
        <v>6</v>
      </c>
      <c r="E5923">
        <v>7</v>
      </c>
      <c r="K5923">
        <v>18</v>
      </c>
      <c r="AY5923">
        <f t="shared" si="186"/>
        <v>43</v>
      </c>
      <c r="AZ5923">
        <f t="shared" si="187"/>
        <v>2</v>
      </c>
    </row>
    <row r="5924" spans="1:52" ht="55.2">
      <c r="A5924" s="3" t="s">
        <v>5968</v>
      </c>
      <c r="D5924">
        <v>6</v>
      </c>
      <c r="E5924">
        <v>7</v>
      </c>
      <c r="K5924">
        <v>18</v>
      </c>
      <c r="AY5924">
        <f t="shared" si="186"/>
        <v>43</v>
      </c>
      <c r="AZ5924">
        <f t="shared" si="187"/>
        <v>2</v>
      </c>
    </row>
    <row r="5925" spans="1:52" ht="55.2">
      <c r="A5925" s="3" t="s">
        <v>5969</v>
      </c>
      <c r="D5925">
        <v>6</v>
      </c>
      <c r="E5925">
        <v>7</v>
      </c>
      <c r="K5925">
        <v>18</v>
      </c>
      <c r="AY5925">
        <f t="shared" si="186"/>
        <v>43</v>
      </c>
      <c r="AZ5925">
        <f t="shared" si="187"/>
        <v>2</v>
      </c>
    </row>
    <row r="5926" spans="1:52" ht="55.2">
      <c r="A5926" s="3" t="s">
        <v>5970</v>
      </c>
      <c r="D5926">
        <v>6</v>
      </c>
      <c r="E5926">
        <v>7</v>
      </c>
      <c r="K5926">
        <v>18</v>
      </c>
      <c r="AY5926">
        <f t="shared" si="186"/>
        <v>43</v>
      </c>
      <c r="AZ5926">
        <f t="shared" si="187"/>
        <v>2</v>
      </c>
    </row>
    <row r="5927" spans="1:52" ht="55.2">
      <c r="A5927" s="3" t="s">
        <v>5971</v>
      </c>
      <c r="D5927">
        <v>6</v>
      </c>
      <c r="E5927">
        <v>7</v>
      </c>
      <c r="K5927">
        <v>18</v>
      </c>
      <c r="AY5927">
        <f t="shared" si="186"/>
        <v>43</v>
      </c>
      <c r="AZ5927">
        <f t="shared" si="187"/>
        <v>2</v>
      </c>
    </row>
    <row r="5928" spans="1:52" ht="55.2">
      <c r="A5928" s="3" t="s">
        <v>5972</v>
      </c>
      <c r="D5928">
        <v>6</v>
      </c>
      <c r="E5928">
        <v>7</v>
      </c>
      <c r="K5928">
        <v>18</v>
      </c>
      <c r="AY5928">
        <f t="shared" si="186"/>
        <v>43</v>
      </c>
      <c r="AZ5928">
        <f t="shared" si="187"/>
        <v>2</v>
      </c>
    </row>
    <row r="5929" spans="1:52" ht="55.2">
      <c r="A5929" s="3" t="s">
        <v>5973</v>
      </c>
      <c r="D5929">
        <v>6</v>
      </c>
      <c r="E5929">
        <v>7</v>
      </c>
      <c r="K5929">
        <v>18</v>
      </c>
      <c r="AY5929">
        <f t="shared" si="186"/>
        <v>43</v>
      </c>
      <c r="AZ5929">
        <f t="shared" si="187"/>
        <v>2</v>
      </c>
    </row>
    <row r="5930" spans="1:52" ht="55.2">
      <c r="A5930" s="3" t="s">
        <v>5974</v>
      </c>
      <c r="D5930">
        <v>6</v>
      </c>
      <c r="E5930">
        <v>7</v>
      </c>
      <c r="K5930">
        <v>18</v>
      </c>
      <c r="AY5930">
        <f t="shared" si="186"/>
        <v>43</v>
      </c>
      <c r="AZ5930">
        <f t="shared" si="187"/>
        <v>2</v>
      </c>
    </row>
    <row r="5931" spans="1:52" ht="55.2">
      <c r="A5931" s="3" t="s">
        <v>5975</v>
      </c>
      <c r="D5931">
        <v>6</v>
      </c>
      <c r="E5931">
        <v>7</v>
      </c>
      <c r="K5931">
        <v>18</v>
      </c>
      <c r="AY5931">
        <f t="shared" si="186"/>
        <v>43</v>
      </c>
      <c r="AZ5931">
        <f t="shared" si="187"/>
        <v>2</v>
      </c>
    </row>
    <row r="5932" spans="1:52" ht="55.2">
      <c r="A5932" s="3" t="s">
        <v>5976</v>
      </c>
      <c r="D5932">
        <v>6</v>
      </c>
      <c r="E5932">
        <v>7</v>
      </c>
      <c r="K5932">
        <v>18</v>
      </c>
      <c r="AY5932">
        <f t="shared" si="186"/>
        <v>43</v>
      </c>
      <c r="AZ5932">
        <f t="shared" si="187"/>
        <v>2</v>
      </c>
    </row>
    <row r="5933" spans="1:52" ht="55.2">
      <c r="A5933" s="3" t="s">
        <v>5977</v>
      </c>
      <c r="D5933">
        <v>6</v>
      </c>
      <c r="E5933">
        <v>7</v>
      </c>
      <c r="K5933">
        <v>18</v>
      </c>
      <c r="AY5933">
        <f t="shared" si="186"/>
        <v>43</v>
      </c>
      <c r="AZ5933">
        <f t="shared" si="187"/>
        <v>2</v>
      </c>
    </row>
    <row r="5934" spans="1:52" ht="55.2">
      <c r="A5934" s="3" t="s">
        <v>5978</v>
      </c>
      <c r="D5934">
        <v>6</v>
      </c>
      <c r="E5934">
        <v>7</v>
      </c>
      <c r="K5934">
        <v>18</v>
      </c>
      <c r="AY5934">
        <f t="shared" si="186"/>
        <v>43</v>
      </c>
      <c r="AZ5934">
        <f t="shared" si="187"/>
        <v>2</v>
      </c>
    </row>
    <row r="5935" spans="1:52" ht="55.2">
      <c r="A5935" s="3" t="s">
        <v>5979</v>
      </c>
      <c r="D5935">
        <v>6</v>
      </c>
      <c r="E5935">
        <v>7</v>
      </c>
      <c r="K5935">
        <v>18</v>
      </c>
      <c r="AY5935">
        <f t="shared" si="186"/>
        <v>43</v>
      </c>
      <c r="AZ5935">
        <f t="shared" si="187"/>
        <v>2</v>
      </c>
    </row>
    <row r="5936" spans="1:52" ht="55.2">
      <c r="A5936" s="3" t="s">
        <v>5980</v>
      </c>
      <c r="D5936">
        <v>6</v>
      </c>
      <c r="E5936">
        <v>7</v>
      </c>
      <c r="K5936">
        <v>18</v>
      </c>
      <c r="AY5936">
        <f t="shared" si="186"/>
        <v>43</v>
      </c>
      <c r="AZ5936">
        <f t="shared" si="187"/>
        <v>2</v>
      </c>
    </row>
    <row r="5937" spans="1:52" ht="55.2">
      <c r="A5937" s="3" t="s">
        <v>5981</v>
      </c>
      <c r="D5937">
        <v>6</v>
      </c>
      <c r="E5937">
        <v>7</v>
      </c>
      <c r="K5937">
        <v>18</v>
      </c>
      <c r="AY5937">
        <f t="shared" si="186"/>
        <v>43</v>
      </c>
      <c r="AZ5937">
        <f t="shared" si="187"/>
        <v>2</v>
      </c>
    </row>
    <row r="5938" spans="1:52" ht="55.2">
      <c r="A5938" s="3" t="s">
        <v>5982</v>
      </c>
      <c r="D5938">
        <v>6</v>
      </c>
      <c r="E5938">
        <v>7</v>
      </c>
      <c r="K5938">
        <v>18</v>
      </c>
      <c r="AY5938">
        <f t="shared" si="186"/>
        <v>43</v>
      </c>
      <c r="AZ5938">
        <f t="shared" si="187"/>
        <v>2</v>
      </c>
    </row>
    <row r="5939" spans="1:52" ht="55.2">
      <c r="A5939" s="3" t="s">
        <v>5983</v>
      </c>
      <c r="D5939">
        <v>6</v>
      </c>
      <c r="E5939">
        <v>7</v>
      </c>
      <c r="K5939">
        <v>18</v>
      </c>
      <c r="AY5939">
        <f t="shared" si="186"/>
        <v>43</v>
      </c>
      <c r="AZ5939">
        <f t="shared" si="187"/>
        <v>2</v>
      </c>
    </row>
    <row r="5940" spans="1:52" ht="55.2">
      <c r="A5940" s="3" t="s">
        <v>5984</v>
      </c>
      <c r="D5940">
        <v>6</v>
      </c>
      <c r="E5940">
        <v>7</v>
      </c>
      <c r="K5940">
        <v>18</v>
      </c>
      <c r="AY5940">
        <f t="shared" si="186"/>
        <v>43</v>
      </c>
      <c r="AZ5940">
        <f t="shared" si="187"/>
        <v>2</v>
      </c>
    </row>
    <row r="5941" spans="1:52" ht="55.2">
      <c r="A5941" s="3" t="s">
        <v>5985</v>
      </c>
      <c r="D5941">
        <v>6</v>
      </c>
      <c r="E5941">
        <v>7</v>
      </c>
      <c r="K5941">
        <v>18</v>
      </c>
      <c r="AY5941">
        <f t="shared" si="186"/>
        <v>43</v>
      </c>
      <c r="AZ5941">
        <f t="shared" si="187"/>
        <v>2</v>
      </c>
    </row>
    <row r="5942" spans="1:52" ht="55.2">
      <c r="A5942" s="3" t="s">
        <v>5986</v>
      </c>
      <c r="D5942">
        <v>6</v>
      </c>
      <c r="E5942">
        <v>7</v>
      </c>
      <c r="K5942">
        <v>18</v>
      </c>
      <c r="AY5942">
        <f t="shared" si="186"/>
        <v>43</v>
      </c>
      <c r="AZ5942">
        <f t="shared" si="187"/>
        <v>2</v>
      </c>
    </row>
    <row r="5943" spans="1:52" ht="55.2">
      <c r="A5943" s="3" t="s">
        <v>5987</v>
      </c>
      <c r="D5943">
        <v>6</v>
      </c>
      <c r="E5943">
        <v>7</v>
      </c>
      <c r="K5943">
        <v>18</v>
      </c>
      <c r="AY5943">
        <f t="shared" si="186"/>
        <v>43</v>
      </c>
      <c r="AZ5943">
        <f t="shared" si="187"/>
        <v>2</v>
      </c>
    </row>
    <row r="5944" spans="1:52" ht="55.2">
      <c r="A5944" s="3" t="s">
        <v>5988</v>
      </c>
      <c r="D5944">
        <v>6</v>
      </c>
      <c r="E5944">
        <v>7</v>
      </c>
      <c r="K5944">
        <v>18</v>
      </c>
      <c r="AY5944">
        <f t="shared" si="186"/>
        <v>43</v>
      </c>
      <c r="AZ5944">
        <f t="shared" si="187"/>
        <v>2</v>
      </c>
    </row>
    <row r="5945" spans="1:52" ht="55.2">
      <c r="A5945" s="3" t="s">
        <v>5989</v>
      </c>
      <c r="D5945">
        <v>6</v>
      </c>
      <c r="E5945">
        <v>7</v>
      </c>
      <c r="K5945">
        <v>18</v>
      </c>
      <c r="AY5945">
        <f t="shared" si="186"/>
        <v>43</v>
      </c>
      <c r="AZ5945">
        <f t="shared" si="187"/>
        <v>2</v>
      </c>
    </row>
    <row r="5946" spans="1:52" ht="55.2">
      <c r="A5946" s="3" t="s">
        <v>5990</v>
      </c>
      <c r="D5946">
        <v>6</v>
      </c>
      <c r="E5946">
        <v>7</v>
      </c>
      <c r="K5946">
        <v>18</v>
      </c>
      <c r="AY5946">
        <f t="shared" si="186"/>
        <v>43</v>
      </c>
      <c r="AZ5946">
        <f t="shared" si="187"/>
        <v>2</v>
      </c>
    </row>
    <row r="5947" spans="1:52" ht="55.2">
      <c r="A5947" s="3" t="s">
        <v>5991</v>
      </c>
      <c r="D5947">
        <v>6</v>
      </c>
      <c r="E5947">
        <v>7</v>
      </c>
      <c r="K5947">
        <v>18</v>
      </c>
      <c r="AY5947">
        <f t="shared" si="186"/>
        <v>43</v>
      </c>
      <c r="AZ5947">
        <f t="shared" si="187"/>
        <v>2</v>
      </c>
    </row>
    <row r="5948" spans="1:52" ht="55.2">
      <c r="A5948" s="3" t="s">
        <v>5992</v>
      </c>
      <c r="D5948">
        <v>6</v>
      </c>
      <c r="E5948">
        <v>7</v>
      </c>
      <c r="K5948">
        <v>18</v>
      </c>
      <c r="AY5948">
        <f t="shared" si="186"/>
        <v>43</v>
      </c>
      <c r="AZ5948">
        <f t="shared" si="187"/>
        <v>2</v>
      </c>
    </row>
    <row r="5949" spans="1:52" ht="55.2">
      <c r="A5949" s="3" t="s">
        <v>5993</v>
      </c>
      <c r="D5949">
        <v>6</v>
      </c>
      <c r="E5949">
        <v>7</v>
      </c>
      <c r="K5949">
        <v>18</v>
      </c>
      <c r="AY5949">
        <f t="shared" si="186"/>
        <v>43</v>
      </c>
      <c r="AZ5949">
        <f t="shared" si="187"/>
        <v>2</v>
      </c>
    </row>
    <row r="5950" spans="1:52" ht="55.2">
      <c r="A5950" s="3" t="s">
        <v>5994</v>
      </c>
      <c r="D5950">
        <v>6</v>
      </c>
      <c r="E5950">
        <v>7</v>
      </c>
      <c r="K5950">
        <v>18</v>
      </c>
      <c r="AY5950">
        <f t="shared" si="186"/>
        <v>43</v>
      </c>
      <c r="AZ5950">
        <f t="shared" si="187"/>
        <v>2</v>
      </c>
    </row>
    <row r="5951" spans="1:52" ht="55.2">
      <c r="A5951" s="3" t="s">
        <v>5995</v>
      </c>
      <c r="D5951">
        <v>6</v>
      </c>
      <c r="E5951">
        <v>7</v>
      </c>
      <c r="K5951">
        <v>18</v>
      </c>
      <c r="AY5951">
        <f t="shared" si="186"/>
        <v>43</v>
      </c>
      <c r="AZ5951">
        <f t="shared" si="187"/>
        <v>2</v>
      </c>
    </row>
    <row r="5952" spans="1:52" ht="55.2">
      <c r="A5952" s="3" t="s">
        <v>5996</v>
      </c>
      <c r="D5952">
        <v>6</v>
      </c>
      <c r="E5952">
        <v>7</v>
      </c>
      <c r="K5952">
        <v>18</v>
      </c>
      <c r="AY5952">
        <f t="shared" si="186"/>
        <v>43</v>
      </c>
      <c r="AZ5952">
        <f t="shared" si="187"/>
        <v>2</v>
      </c>
    </row>
    <row r="5953" spans="1:52" ht="55.2">
      <c r="A5953" s="3" t="s">
        <v>5997</v>
      </c>
      <c r="D5953">
        <v>6</v>
      </c>
      <c r="E5953">
        <v>7</v>
      </c>
      <c r="K5953">
        <v>18</v>
      </c>
      <c r="AY5953">
        <f t="shared" si="186"/>
        <v>43</v>
      </c>
      <c r="AZ5953">
        <f t="shared" si="187"/>
        <v>2</v>
      </c>
    </row>
    <row r="5954" spans="1:52" ht="55.2">
      <c r="A5954" s="3" t="s">
        <v>5998</v>
      </c>
      <c r="D5954">
        <v>6</v>
      </c>
      <c r="E5954">
        <v>7</v>
      </c>
      <c r="K5954">
        <v>18</v>
      </c>
      <c r="AY5954">
        <f t="shared" si="186"/>
        <v>43</v>
      </c>
      <c r="AZ5954">
        <f t="shared" si="187"/>
        <v>2</v>
      </c>
    </row>
    <row r="5955" spans="1:52" ht="55.2">
      <c r="A5955" s="3" t="s">
        <v>5999</v>
      </c>
      <c r="D5955">
        <v>6</v>
      </c>
      <c r="E5955">
        <v>7</v>
      </c>
      <c r="K5955">
        <v>18</v>
      </c>
      <c r="AY5955">
        <f t="shared" si="186"/>
        <v>43</v>
      </c>
      <c r="AZ5955">
        <f t="shared" si="187"/>
        <v>2</v>
      </c>
    </row>
    <row r="5956" spans="1:52" ht="55.2">
      <c r="A5956" s="3" t="s">
        <v>6000</v>
      </c>
      <c r="D5956">
        <v>6</v>
      </c>
      <c r="E5956">
        <v>7</v>
      </c>
      <c r="K5956">
        <v>18</v>
      </c>
      <c r="AY5956">
        <f t="shared" si="186"/>
        <v>43</v>
      </c>
      <c r="AZ5956">
        <f t="shared" si="187"/>
        <v>2</v>
      </c>
    </row>
    <row r="5957" spans="1:52" ht="55.2">
      <c r="A5957" s="3" t="s">
        <v>6001</v>
      </c>
      <c r="D5957">
        <v>6</v>
      </c>
      <c r="E5957">
        <v>7</v>
      </c>
      <c r="K5957">
        <v>18</v>
      </c>
      <c r="AY5957">
        <f t="shared" si="186"/>
        <v>43</v>
      </c>
      <c r="AZ5957">
        <f t="shared" si="187"/>
        <v>2</v>
      </c>
    </row>
    <row r="5958" spans="1:52" ht="55.2">
      <c r="A5958" s="3" t="s">
        <v>6002</v>
      </c>
      <c r="D5958">
        <v>6</v>
      </c>
      <c r="E5958">
        <v>7</v>
      </c>
      <c r="K5958">
        <v>18</v>
      </c>
      <c r="AY5958">
        <f t="shared" si="186"/>
        <v>43</v>
      </c>
      <c r="AZ5958">
        <f t="shared" si="187"/>
        <v>2</v>
      </c>
    </row>
    <row r="5959" spans="1:52" ht="55.2">
      <c r="A5959" s="3" t="s">
        <v>6003</v>
      </c>
      <c r="D5959">
        <v>6</v>
      </c>
      <c r="E5959">
        <v>7</v>
      </c>
      <c r="K5959">
        <v>18</v>
      </c>
      <c r="AY5959">
        <f t="shared" si="186"/>
        <v>43</v>
      </c>
      <c r="AZ5959">
        <f t="shared" si="187"/>
        <v>2</v>
      </c>
    </row>
    <row r="5960" spans="1:52" ht="55.2">
      <c r="A5960" s="3" t="s">
        <v>6004</v>
      </c>
      <c r="D5960">
        <v>6</v>
      </c>
      <c r="E5960">
        <v>7</v>
      </c>
      <c r="K5960">
        <v>18</v>
      </c>
      <c r="AY5960">
        <f t="shared" si="186"/>
        <v>43</v>
      </c>
      <c r="AZ5960">
        <f t="shared" si="187"/>
        <v>2</v>
      </c>
    </row>
    <row r="5961" spans="1:52" ht="55.2">
      <c r="A5961" s="3" t="s">
        <v>6005</v>
      </c>
      <c r="D5961">
        <v>6</v>
      </c>
      <c r="E5961">
        <v>7</v>
      </c>
      <c r="K5961">
        <v>18</v>
      </c>
      <c r="AY5961">
        <f t="shared" si="186"/>
        <v>43</v>
      </c>
      <c r="AZ5961">
        <f t="shared" si="187"/>
        <v>2</v>
      </c>
    </row>
    <row r="5962" spans="1:52" ht="55.2">
      <c r="A5962" s="3" t="s">
        <v>6006</v>
      </c>
      <c r="D5962">
        <v>6</v>
      </c>
      <c r="E5962">
        <v>7</v>
      </c>
      <c r="K5962">
        <v>18</v>
      </c>
      <c r="AY5962">
        <f t="shared" si="186"/>
        <v>43</v>
      </c>
      <c r="AZ5962">
        <f t="shared" si="187"/>
        <v>2</v>
      </c>
    </row>
    <row r="5963" spans="1:52" ht="55.2">
      <c r="A5963" s="3" t="s">
        <v>6007</v>
      </c>
      <c r="D5963">
        <v>6</v>
      </c>
      <c r="E5963">
        <v>7</v>
      </c>
      <c r="K5963">
        <v>18</v>
      </c>
      <c r="AY5963">
        <f t="shared" si="186"/>
        <v>43</v>
      </c>
      <c r="AZ5963">
        <f t="shared" si="187"/>
        <v>2</v>
      </c>
    </row>
    <row r="5964" spans="1:52" ht="55.2">
      <c r="A5964" s="3" t="s">
        <v>6008</v>
      </c>
      <c r="D5964">
        <v>6</v>
      </c>
      <c r="E5964">
        <v>7</v>
      </c>
      <c r="K5964">
        <v>18</v>
      </c>
      <c r="AY5964">
        <f t="shared" si="186"/>
        <v>43</v>
      </c>
      <c r="AZ5964">
        <f t="shared" si="187"/>
        <v>2</v>
      </c>
    </row>
    <row r="5965" spans="1:52" ht="55.2">
      <c r="A5965" s="3" t="s">
        <v>6009</v>
      </c>
      <c r="D5965">
        <v>6</v>
      </c>
      <c r="E5965">
        <v>7</v>
      </c>
      <c r="K5965">
        <v>18</v>
      </c>
      <c r="AY5965">
        <f t="shared" si="186"/>
        <v>43</v>
      </c>
      <c r="AZ5965">
        <f t="shared" si="187"/>
        <v>2</v>
      </c>
    </row>
    <row r="5966" spans="1:52" ht="55.2">
      <c r="A5966" s="3" t="s">
        <v>6010</v>
      </c>
      <c r="D5966">
        <v>6</v>
      </c>
      <c r="E5966">
        <v>7</v>
      </c>
      <c r="K5966">
        <v>18</v>
      </c>
      <c r="AY5966">
        <f t="shared" si="186"/>
        <v>43</v>
      </c>
      <c r="AZ5966">
        <f t="shared" si="187"/>
        <v>2</v>
      </c>
    </row>
    <row r="5967" spans="1:52" ht="55.2">
      <c r="A5967" s="3" t="s">
        <v>6011</v>
      </c>
      <c r="D5967">
        <v>6</v>
      </c>
      <c r="E5967">
        <v>7</v>
      </c>
      <c r="K5967">
        <v>18</v>
      </c>
      <c r="AY5967">
        <f t="shared" si="186"/>
        <v>43</v>
      </c>
      <c r="AZ5967">
        <f t="shared" si="187"/>
        <v>2</v>
      </c>
    </row>
    <row r="5968" spans="1:52" ht="55.2">
      <c r="A5968" s="3" t="s">
        <v>6012</v>
      </c>
      <c r="D5968">
        <v>6</v>
      </c>
      <c r="E5968">
        <v>7</v>
      </c>
      <c r="K5968">
        <v>18</v>
      </c>
      <c r="AY5968">
        <f t="shared" si="186"/>
        <v>43</v>
      </c>
      <c r="AZ5968">
        <f t="shared" si="187"/>
        <v>2</v>
      </c>
    </row>
    <row r="5969" spans="1:52" ht="55.2">
      <c r="A5969" s="3" t="s">
        <v>6013</v>
      </c>
      <c r="D5969">
        <v>6</v>
      </c>
      <c r="E5969">
        <v>7</v>
      </c>
      <c r="K5969">
        <v>18</v>
      </c>
      <c r="AY5969">
        <f t="shared" si="186"/>
        <v>43</v>
      </c>
      <c r="AZ5969">
        <f t="shared" si="187"/>
        <v>2</v>
      </c>
    </row>
    <row r="5970" spans="1:52" ht="55.2">
      <c r="A5970" s="3" t="s">
        <v>6014</v>
      </c>
      <c r="D5970">
        <v>6</v>
      </c>
      <c r="E5970">
        <v>7</v>
      </c>
      <c r="K5970">
        <v>18</v>
      </c>
      <c r="AY5970">
        <f t="shared" si="186"/>
        <v>43</v>
      </c>
      <c r="AZ5970">
        <f t="shared" si="187"/>
        <v>2</v>
      </c>
    </row>
    <row r="5971" spans="1:52" ht="55.2">
      <c r="A5971" s="3" t="s">
        <v>6015</v>
      </c>
      <c r="D5971">
        <v>6</v>
      </c>
      <c r="E5971">
        <v>7</v>
      </c>
      <c r="K5971">
        <v>18</v>
      </c>
      <c r="AY5971">
        <f t="shared" si="186"/>
        <v>43</v>
      </c>
      <c r="AZ5971">
        <f t="shared" si="187"/>
        <v>2</v>
      </c>
    </row>
    <row r="5972" spans="1:52" ht="55.2">
      <c r="A5972" s="3" t="s">
        <v>6016</v>
      </c>
      <c r="D5972">
        <v>6</v>
      </c>
      <c r="E5972">
        <v>7</v>
      </c>
      <c r="K5972">
        <v>18</v>
      </c>
      <c r="AY5972">
        <f t="shared" si="186"/>
        <v>43</v>
      </c>
      <c r="AZ5972">
        <f t="shared" si="187"/>
        <v>2</v>
      </c>
    </row>
    <row r="5973" spans="1:52" ht="55.2">
      <c r="A5973" s="3" t="s">
        <v>6017</v>
      </c>
      <c r="D5973">
        <v>6</v>
      </c>
      <c r="E5973">
        <v>7</v>
      </c>
      <c r="K5973">
        <v>18</v>
      </c>
      <c r="AY5973">
        <f t="shared" si="186"/>
        <v>43</v>
      </c>
      <c r="AZ5973">
        <f t="shared" si="187"/>
        <v>2</v>
      </c>
    </row>
    <row r="5974" spans="1:52" ht="55.2">
      <c r="A5974" s="3" t="s">
        <v>6018</v>
      </c>
      <c r="D5974">
        <v>6</v>
      </c>
      <c r="E5974">
        <v>7</v>
      </c>
      <c r="K5974">
        <v>18</v>
      </c>
      <c r="AY5974">
        <f t="shared" si="186"/>
        <v>43</v>
      </c>
      <c r="AZ5974">
        <f t="shared" si="187"/>
        <v>2</v>
      </c>
    </row>
    <row r="5975" spans="1:52" ht="55.2">
      <c r="A5975" s="3" t="s">
        <v>6019</v>
      </c>
      <c r="D5975">
        <v>6</v>
      </c>
      <c r="E5975">
        <v>7</v>
      </c>
      <c r="K5975">
        <v>18</v>
      </c>
      <c r="AY5975">
        <f t="shared" si="186"/>
        <v>43</v>
      </c>
      <c r="AZ5975">
        <f t="shared" si="187"/>
        <v>2</v>
      </c>
    </row>
    <row r="5976" spans="1:52" ht="55.2">
      <c r="A5976" s="3" t="s">
        <v>6020</v>
      </c>
      <c r="D5976">
        <v>6</v>
      </c>
      <c r="E5976">
        <v>7</v>
      </c>
      <c r="K5976">
        <v>18</v>
      </c>
      <c r="AY5976">
        <f t="shared" si="186"/>
        <v>43</v>
      </c>
      <c r="AZ5976">
        <f t="shared" si="187"/>
        <v>2</v>
      </c>
    </row>
    <row r="5977" spans="1:52" ht="55.2">
      <c r="A5977" s="3" t="s">
        <v>6021</v>
      </c>
      <c r="D5977">
        <v>6</v>
      </c>
      <c r="E5977">
        <v>7</v>
      </c>
      <c r="K5977">
        <v>18</v>
      </c>
      <c r="AY5977">
        <f t="shared" si="186"/>
        <v>43</v>
      </c>
      <c r="AZ5977">
        <f t="shared" si="187"/>
        <v>2</v>
      </c>
    </row>
    <row r="5978" spans="1:52" ht="55.2">
      <c r="A5978" s="3" t="s">
        <v>6022</v>
      </c>
      <c r="D5978">
        <v>6</v>
      </c>
      <c r="E5978">
        <v>7</v>
      </c>
      <c r="K5978">
        <v>18</v>
      </c>
      <c r="AY5978">
        <f t="shared" si="186"/>
        <v>43</v>
      </c>
      <c r="AZ5978">
        <f t="shared" si="187"/>
        <v>2</v>
      </c>
    </row>
    <row r="5979" spans="1:52" ht="55.2">
      <c r="A5979" s="3" t="s">
        <v>6023</v>
      </c>
      <c r="D5979">
        <v>6</v>
      </c>
      <c r="E5979">
        <v>7</v>
      </c>
      <c r="K5979">
        <v>18</v>
      </c>
      <c r="AY5979">
        <f t="shared" si="186"/>
        <v>43</v>
      </c>
      <c r="AZ5979">
        <f t="shared" si="187"/>
        <v>2</v>
      </c>
    </row>
    <row r="5980" spans="1:52" ht="55.2">
      <c r="A5980" s="3" t="s">
        <v>6024</v>
      </c>
      <c r="D5980">
        <v>6</v>
      </c>
      <c r="E5980">
        <v>7</v>
      </c>
      <c r="K5980">
        <v>18</v>
      </c>
      <c r="AY5980">
        <f t="shared" si="186"/>
        <v>43</v>
      </c>
      <c r="AZ5980">
        <f t="shared" si="187"/>
        <v>2</v>
      </c>
    </row>
    <row r="5981" spans="1:52" ht="55.2">
      <c r="A5981" s="3" t="s">
        <v>6025</v>
      </c>
      <c r="D5981">
        <v>6</v>
      </c>
      <c r="E5981">
        <v>7</v>
      </c>
      <c r="K5981">
        <v>18</v>
      </c>
      <c r="AY5981">
        <f t="shared" si="186"/>
        <v>43</v>
      </c>
      <c r="AZ5981">
        <f t="shared" si="187"/>
        <v>2</v>
      </c>
    </row>
    <row r="5982" spans="1:52" ht="55.2">
      <c r="A5982" s="3" t="s">
        <v>6026</v>
      </c>
      <c r="D5982">
        <v>6</v>
      </c>
      <c r="E5982">
        <v>7</v>
      </c>
      <c r="K5982">
        <v>18</v>
      </c>
      <c r="AY5982">
        <f t="shared" si="186"/>
        <v>43</v>
      </c>
      <c r="AZ5982">
        <f t="shared" si="187"/>
        <v>2</v>
      </c>
    </row>
    <row r="5983" spans="1:52" ht="55.2">
      <c r="A5983" s="3" t="s">
        <v>6027</v>
      </c>
      <c r="D5983">
        <v>6</v>
      </c>
      <c r="E5983">
        <v>7</v>
      </c>
      <c r="K5983">
        <v>18</v>
      </c>
      <c r="AY5983">
        <f t="shared" si="186"/>
        <v>43</v>
      </c>
      <c r="AZ5983">
        <f t="shared" si="187"/>
        <v>2</v>
      </c>
    </row>
    <row r="5984" spans="1:52" ht="55.2">
      <c r="A5984" s="3" t="s">
        <v>6028</v>
      </c>
      <c r="D5984">
        <v>6</v>
      </c>
      <c r="H5984">
        <v>1</v>
      </c>
      <c r="K5984">
        <v>18</v>
      </c>
      <c r="AY5984">
        <f t="shared" si="186"/>
        <v>42</v>
      </c>
      <c r="AZ5984">
        <f t="shared" si="187"/>
        <v>3</v>
      </c>
    </row>
    <row r="5985" spans="1:52" ht="55.2">
      <c r="A5985" s="3" t="s">
        <v>6029</v>
      </c>
      <c r="D5985">
        <v>6</v>
      </c>
      <c r="H5985">
        <v>1</v>
      </c>
      <c r="K5985">
        <v>18</v>
      </c>
      <c r="AY5985">
        <f t="shared" ref="AY5985:AY6048" si="188">COUNTBLANK(F5985:AW5985)</f>
        <v>42</v>
      </c>
      <c r="AZ5985">
        <f t="shared" ref="AZ5985:AZ6048" si="189">COUNTBLANK(B5985:E5985)</f>
        <v>3</v>
      </c>
    </row>
    <row r="5986" spans="1:52" ht="55.2">
      <c r="A5986" s="3" t="s">
        <v>6030</v>
      </c>
      <c r="D5986">
        <v>6</v>
      </c>
      <c r="H5986">
        <v>1</v>
      </c>
      <c r="K5986">
        <v>18</v>
      </c>
      <c r="AY5986">
        <f t="shared" si="188"/>
        <v>42</v>
      </c>
      <c r="AZ5986">
        <f t="shared" si="189"/>
        <v>3</v>
      </c>
    </row>
    <row r="5987" spans="1:52" ht="55.2">
      <c r="A5987" s="3" t="s">
        <v>6031</v>
      </c>
      <c r="D5987">
        <v>6</v>
      </c>
      <c r="H5987">
        <v>1</v>
      </c>
      <c r="K5987">
        <v>18</v>
      </c>
      <c r="AY5987">
        <f t="shared" si="188"/>
        <v>42</v>
      </c>
      <c r="AZ5987">
        <f t="shared" si="189"/>
        <v>3</v>
      </c>
    </row>
    <row r="5988" spans="1:52" ht="55.2">
      <c r="A5988" s="3" t="s">
        <v>6032</v>
      </c>
      <c r="D5988">
        <v>6</v>
      </c>
      <c r="H5988">
        <v>1</v>
      </c>
      <c r="K5988">
        <v>18</v>
      </c>
      <c r="AY5988">
        <f t="shared" si="188"/>
        <v>42</v>
      </c>
      <c r="AZ5988">
        <f t="shared" si="189"/>
        <v>3</v>
      </c>
    </row>
    <row r="5989" spans="1:52" ht="55.2">
      <c r="A5989" s="3" t="s">
        <v>6033</v>
      </c>
      <c r="D5989">
        <v>6</v>
      </c>
      <c r="K5989">
        <v>18</v>
      </c>
      <c r="AY5989">
        <f t="shared" si="188"/>
        <v>43</v>
      </c>
      <c r="AZ5989">
        <f t="shared" si="189"/>
        <v>3</v>
      </c>
    </row>
    <row r="5990" spans="1:52" ht="55.2">
      <c r="A5990" s="3" t="s">
        <v>6034</v>
      </c>
      <c r="D5990">
        <v>6</v>
      </c>
      <c r="K5990">
        <v>18</v>
      </c>
      <c r="AY5990">
        <f t="shared" si="188"/>
        <v>43</v>
      </c>
      <c r="AZ5990">
        <f t="shared" si="189"/>
        <v>3</v>
      </c>
    </row>
    <row r="5991" spans="1:52" ht="55.2">
      <c r="A5991" s="3" t="s">
        <v>6035</v>
      </c>
      <c r="D5991">
        <v>6</v>
      </c>
      <c r="K5991">
        <v>18</v>
      </c>
      <c r="AY5991">
        <f t="shared" si="188"/>
        <v>43</v>
      </c>
      <c r="AZ5991">
        <f t="shared" si="189"/>
        <v>3</v>
      </c>
    </row>
    <row r="5992" spans="1:52" ht="55.2">
      <c r="A5992" s="3" t="s">
        <v>6036</v>
      </c>
      <c r="D5992">
        <v>6</v>
      </c>
      <c r="K5992">
        <v>18</v>
      </c>
      <c r="AY5992">
        <f t="shared" si="188"/>
        <v>43</v>
      </c>
      <c r="AZ5992">
        <f t="shared" si="189"/>
        <v>3</v>
      </c>
    </row>
    <row r="5993" spans="1:52" ht="55.2">
      <c r="A5993" s="3" t="s">
        <v>6037</v>
      </c>
      <c r="D5993">
        <v>6</v>
      </c>
      <c r="K5993">
        <v>18</v>
      </c>
      <c r="AY5993">
        <f t="shared" si="188"/>
        <v>43</v>
      </c>
      <c r="AZ5993">
        <f t="shared" si="189"/>
        <v>3</v>
      </c>
    </row>
    <row r="5994" spans="1:52" ht="55.2">
      <c r="A5994" s="3" t="s">
        <v>6038</v>
      </c>
      <c r="D5994">
        <v>6</v>
      </c>
      <c r="K5994">
        <v>18</v>
      </c>
      <c r="AY5994">
        <f t="shared" si="188"/>
        <v>43</v>
      </c>
      <c r="AZ5994">
        <f t="shared" si="189"/>
        <v>3</v>
      </c>
    </row>
    <row r="5995" spans="1:52" ht="55.2">
      <c r="A5995" s="3" t="s">
        <v>6039</v>
      </c>
      <c r="D5995">
        <v>6</v>
      </c>
      <c r="K5995">
        <v>18</v>
      </c>
      <c r="AY5995">
        <f t="shared" si="188"/>
        <v>43</v>
      </c>
      <c r="AZ5995">
        <f t="shared" si="189"/>
        <v>3</v>
      </c>
    </row>
    <row r="5996" spans="1:52" ht="55.2">
      <c r="A5996" s="3" t="s">
        <v>6040</v>
      </c>
      <c r="D5996">
        <v>6</v>
      </c>
      <c r="K5996">
        <v>18</v>
      </c>
      <c r="AY5996">
        <f t="shared" si="188"/>
        <v>43</v>
      </c>
      <c r="AZ5996">
        <f t="shared" si="189"/>
        <v>3</v>
      </c>
    </row>
    <row r="5997" spans="1:52" ht="55.2">
      <c r="A5997" s="3" t="s">
        <v>6041</v>
      </c>
      <c r="D5997">
        <v>6</v>
      </c>
      <c r="K5997">
        <v>18</v>
      </c>
      <c r="AY5997">
        <f t="shared" si="188"/>
        <v>43</v>
      </c>
      <c r="AZ5997">
        <f t="shared" si="189"/>
        <v>3</v>
      </c>
    </row>
    <row r="5998" spans="1:52" ht="55.2">
      <c r="A5998" s="3" t="s">
        <v>6042</v>
      </c>
      <c r="D5998">
        <v>6</v>
      </c>
      <c r="K5998">
        <v>18</v>
      </c>
      <c r="AY5998">
        <f t="shared" si="188"/>
        <v>43</v>
      </c>
      <c r="AZ5998">
        <f t="shared" si="189"/>
        <v>3</v>
      </c>
    </row>
    <row r="5999" spans="1:52" ht="55.2">
      <c r="A5999" s="3" t="s">
        <v>6043</v>
      </c>
      <c r="D5999">
        <v>6</v>
      </c>
      <c r="K5999">
        <v>18</v>
      </c>
      <c r="AY5999">
        <f t="shared" si="188"/>
        <v>43</v>
      </c>
      <c r="AZ5999">
        <f t="shared" si="189"/>
        <v>3</v>
      </c>
    </row>
    <row r="6000" spans="1:52" ht="55.2">
      <c r="A6000" s="3" t="s">
        <v>6044</v>
      </c>
      <c r="D6000">
        <v>6</v>
      </c>
      <c r="K6000">
        <v>18</v>
      </c>
      <c r="AY6000">
        <f t="shared" si="188"/>
        <v>43</v>
      </c>
      <c r="AZ6000">
        <f t="shared" si="189"/>
        <v>3</v>
      </c>
    </row>
    <row r="6001" spans="1:52" ht="55.2">
      <c r="A6001" s="3" t="s">
        <v>6045</v>
      </c>
      <c r="D6001">
        <v>6</v>
      </c>
      <c r="K6001">
        <v>18</v>
      </c>
      <c r="AY6001">
        <f t="shared" si="188"/>
        <v>43</v>
      </c>
      <c r="AZ6001">
        <f t="shared" si="189"/>
        <v>3</v>
      </c>
    </row>
    <row r="6002" spans="1:52" ht="55.2">
      <c r="A6002" s="3" t="s">
        <v>6046</v>
      </c>
      <c r="D6002">
        <v>6</v>
      </c>
      <c r="K6002">
        <v>18</v>
      </c>
      <c r="AY6002">
        <f t="shared" si="188"/>
        <v>43</v>
      </c>
      <c r="AZ6002">
        <f t="shared" si="189"/>
        <v>3</v>
      </c>
    </row>
    <row r="6003" spans="1:52" ht="55.2">
      <c r="A6003" s="3" t="s">
        <v>6047</v>
      </c>
      <c r="D6003">
        <v>6</v>
      </c>
      <c r="K6003">
        <v>18</v>
      </c>
      <c r="AY6003">
        <f t="shared" si="188"/>
        <v>43</v>
      </c>
      <c r="AZ6003">
        <f t="shared" si="189"/>
        <v>3</v>
      </c>
    </row>
    <row r="6004" spans="1:52" ht="55.2">
      <c r="A6004" s="3" t="s">
        <v>6048</v>
      </c>
      <c r="D6004">
        <v>6</v>
      </c>
      <c r="K6004">
        <v>18</v>
      </c>
      <c r="AY6004">
        <f t="shared" si="188"/>
        <v>43</v>
      </c>
      <c r="AZ6004">
        <f t="shared" si="189"/>
        <v>3</v>
      </c>
    </row>
    <row r="6005" spans="1:52" ht="55.2">
      <c r="A6005" s="3" t="s">
        <v>6049</v>
      </c>
      <c r="D6005">
        <v>6</v>
      </c>
      <c r="K6005">
        <v>18</v>
      </c>
      <c r="AY6005">
        <f t="shared" si="188"/>
        <v>43</v>
      </c>
      <c r="AZ6005">
        <f t="shared" si="189"/>
        <v>3</v>
      </c>
    </row>
    <row r="6006" spans="1:52" ht="55.2">
      <c r="A6006" s="3" t="s">
        <v>6050</v>
      </c>
      <c r="D6006">
        <v>6</v>
      </c>
      <c r="K6006">
        <v>18</v>
      </c>
      <c r="AY6006">
        <f t="shared" si="188"/>
        <v>43</v>
      </c>
      <c r="AZ6006">
        <f t="shared" si="189"/>
        <v>3</v>
      </c>
    </row>
    <row r="6007" spans="1:52" ht="55.2">
      <c r="A6007" s="3" t="s">
        <v>6051</v>
      </c>
      <c r="D6007">
        <v>6</v>
      </c>
      <c r="K6007">
        <v>18</v>
      </c>
      <c r="AY6007">
        <f t="shared" si="188"/>
        <v>43</v>
      </c>
      <c r="AZ6007">
        <f t="shared" si="189"/>
        <v>3</v>
      </c>
    </row>
    <row r="6008" spans="1:52" ht="55.2">
      <c r="A6008" s="3" t="s">
        <v>6052</v>
      </c>
      <c r="D6008">
        <v>6</v>
      </c>
      <c r="K6008">
        <v>18</v>
      </c>
      <c r="AY6008">
        <f t="shared" si="188"/>
        <v>43</v>
      </c>
      <c r="AZ6008">
        <f t="shared" si="189"/>
        <v>3</v>
      </c>
    </row>
    <row r="6009" spans="1:52" ht="55.2">
      <c r="A6009" s="3" t="s">
        <v>6053</v>
      </c>
      <c r="D6009">
        <v>6</v>
      </c>
      <c r="K6009">
        <v>18</v>
      </c>
      <c r="AY6009">
        <f t="shared" si="188"/>
        <v>43</v>
      </c>
      <c r="AZ6009">
        <f t="shared" si="189"/>
        <v>3</v>
      </c>
    </row>
    <row r="6010" spans="1:52" ht="55.2">
      <c r="A6010" s="3" t="s">
        <v>6054</v>
      </c>
      <c r="D6010">
        <v>6</v>
      </c>
      <c r="K6010">
        <v>18</v>
      </c>
      <c r="AY6010">
        <f t="shared" si="188"/>
        <v>43</v>
      </c>
      <c r="AZ6010">
        <f t="shared" si="189"/>
        <v>3</v>
      </c>
    </row>
    <row r="6011" spans="1:52" ht="55.2">
      <c r="A6011" s="3" t="s">
        <v>6055</v>
      </c>
      <c r="D6011">
        <v>6</v>
      </c>
      <c r="K6011">
        <v>18</v>
      </c>
      <c r="AY6011">
        <f t="shared" si="188"/>
        <v>43</v>
      </c>
      <c r="AZ6011">
        <f t="shared" si="189"/>
        <v>3</v>
      </c>
    </row>
    <row r="6012" spans="1:52" ht="55.2">
      <c r="A6012" s="3" t="s">
        <v>6056</v>
      </c>
      <c r="D6012">
        <v>6</v>
      </c>
      <c r="K6012">
        <v>18</v>
      </c>
      <c r="AY6012">
        <f t="shared" si="188"/>
        <v>43</v>
      </c>
      <c r="AZ6012">
        <f t="shared" si="189"/>
        <v>3</v>
      </c>
    </row>
    <row r="6013" spans="1:52" ht="55.2">
      <c r="A6013" s="3" t="s">
        <v>6057</v>
      </c>
      <c r="D6013">
        <v>6</v>
      </c>
      <c r="K6013">
        <v>18</v>
      </c>
      <c r="AY6013">
        <f t="shared" si="188"/>
        <v>43</v>
      </c>
      <c r="AZ6013">
        <f t="shared" si="189"/>
        <v>3</v>
      </c>
    </row>
    <row r="6014" spans="1:52" ht="55.2">
      <c r="A6014" s="3" t="s">
        <v>6058</v>
      </c>
      <c r="D6014">
        <v>6</v>
      </c>
      <c r="K6014">
        <v>18</v>
      </c>
      <c r="AY6014">
        <f t="shared" si="188"/>
        <v>43</v>
      </c>
      <c r="AZ6014">
        <f t="shared" si="189"/>
        <v>3</v>
      </c>
    </row>
    <row r="6015" spans="1:52" ht="55.2">
      <c r="A6015" s="3" t="s">
        <v>6059</v>
      </c>
      <c r="D6015">
        <v>6</v>
      </c>
      <c r="K6015">
        <v>18</v>
      </c>
      <c r="AY6015">
        <f t="shared" si="188"/>
        <v>43</v>
      </c>
      <c r="AZ6015">
        <f t="shared" si="189"/>
        <v>3</v>
      </c>
    </row>
    <row r="6016" spans="1:52" ht="55.2">
      <c r="A6016" s="3" t="s">
        <v>6060</v>
      </c>
      <c r="D6016">
        <v>6</v>
      </c>
      <c r="K6016">
        <v>18</v>
      </c>
      <c r="AY6016">
        <f t="shared" si="188"/>
        <v>43</v>
      </c>
      <c r="AZ6016">
        <f t="shared" si="189"/>
        <v>3</v>
      </c>
    </row>
    <row r="6017" spans="1:52" ht="55.2">
      <c r="A6017" s="3" t="s">
        <v>6061</v>
      </c>
      <c r="D6017">
        <v>6</v>
      </c>
      <c r="K6017">
        <v>18</v>
      </c>
      <c r="AY6017">
        <f t="shared" si="188"/>
        <v>43</v>
      </c>
      <c r="AZ6017">
        <f t="shared" si="189"/>
        <v>3</v>
      </c>
    </row>
    <row r="6018" spans="1:52" ht="55.2">
      <c r="A6018" s="3" t="s">
        <v>6062</v>
      </c>
      <c r="D6018">
        <v>6</v>
      </c>
      <c r="K6018">
        <v>18</v>
      </c>
      <c r="AY6018">
        <f t="shared" si="188"/>
        <v>43</v>
      </c>
      <c r="AZ6018">
        <f t="shared" si="189"/>
        <v>3</v>
      </c>
    </row>
    <row r="6019" spans="1:52" ht="55.2">
      <c r="A6019" s="3" t="s">
        <v>6063</v>
      </c>
      <c r="D6019">
        <v>6</v>
      </c>
      <c r="K6019">
        <v>18</v>
      </c>
      <c r="AY6019">
        <f t="shared" si="188"/>
        <v>43</v>
      </c>
      <c r="AZ6019">
        <f t="shared" si="189"/>
        <v>3</v>
      </c>
    </row>
    <row r="6020" spans="1:52" ht="55.2">
      <c r="A6020" s="3" t="s">
        <v>6064</v>
      </c>
      <c r="D6020">
        <v>6</v>
      </c>
      <c r="K6020">
        <v>18</v>
      </c>
      <c r="AY6020">
        <f t="shared" si="188"/>
        <v>43</v>
      </c>
      <c r="AZ6020">
        <f t="shared" si="189"/>
        <v>3</v>
      </c>
    </row>
    <row r="6021" spans="1:52" ht="55.2">
      <c r="A6021" s="3" t="s">
        <v>6065</v>
      </c>
      <c r="D6021">
        <v>6</v>
      </c>
      <c r="K6021">
        <v>18</v>
      </c>
      <c r="AY6021">
        <f t="shared" si="188"/>
        <v>43</v>
      </c>
      <c r="AZ6021">
        <f t="shared" si="189"/>
        <v>3</v>
      </c>
    </row>
    <row r="6022" spans="1:52" ht="55.2">
      <c r="A6022" s="3" t="s">
        <v>6066</v>
      </c>
      <c r="D6022">
        <v>6</v>
      </c>
      <c r="K6022">
        <v>18</v>
      </c>
      <c r="AY6022">
        <f t="shared" si="188"/>
        <v>43</v>
      </c>
      <c r="AZ6022">
        <f t="shared" si="189"/>
        <v>3</v>
      </c>
    </row>
    <row r="6023" spans="1:52" ht="55.2">
      <c r="A6023" s="3" t="s">
        <v>6067</v>
      </c>
      <c r="D6023">
        <v>6</v>
      </c>
      <c r="K6023">
        <v>18</v>
      </c>
      <c r="AY6023">
        <f t="shared" si="188"/>
        <v>43</v>
      </c>
      <c r="AZ6023">
        <f t="shared" si="189"/>
        <v>3</v>
      </c>
    </row>
    <row r="6024" spans="1:52" ht="55.2">
      <c r="A6024" s="3" t="s">
        <v>6068</v>
      </c>
      <c r="D6024">
        <v>6</v>
      </c>
      <c r="K6024">
        <v>18</v>
      </c>
      <c r="AY6024">
        <f t="shared" si="188"/>
        <v>43</v>
      </c>
      <c r="AZ6024">
        <f t="shared" si="189"/>
        <v>3</v>
      </c>
    </row>
    <row r="6025" spans="1:52" ht="55.2">
      <c r="A6025" s="3" t="s">
        <v>6069</v>
      </c>
      <c r="D6025">
        <v>6</v>
      </c>
      <c r="K6025">
        <v>18</v>
      </c>
      <c r="AY6025">
        <f t="shared" si="188"/>
        <v>43</v>
      </c>
      <c r="AZ6025">
        <f t="shared" si="189"/>
        <v>3</v>
      </c>
    </row>
    <row r="6026" spans="1:52" ht="55.2">
      <c r="A6026" s="3" t="s">
        <v>6070</v>
      </c>
      <c r="D6026">
        <v>6</v>
      </c>
      <c r="K6026">
        <v>18</v>
      </c>
      <c r="AY6026">
        <f t="shared" si="188"/>
        <v>43</v>
      </c>
      <c r="AZ6026">
        <f t="shared" si="189"/>
        <v>3</v>
      </c>
    </row>
    <row r="6027" spans="1:52" ht="55.2">
      <c r="A6027" s="3" t="s">
        <v>6071</v>
      </c>
      <c r="D6027">
        <v>6</v>
      </c>
      <c r="J6027">
        <v>60</v>
      </c>
      <c r="AY6027">
        <f t="shared" si="188"/>
        <v>43</v>
      </c>
      <c r="AZ6027">
        <f t="shared" si="189"/>
        <v>3</v>
      </c>
    </row>
    <row r="6028" spans="1:52" ht="55.2">
      <c r="A6028" s="3" t="s">
        <v>6072</v>
      </c>
      <c r="D6028">
        <v>6</v>
      </c>
      <c r="J6028">
        <v>60</v>
      </c>
      <c r="AY6028">
        <f t="shared" si="188"/>
        <v>43</v>
      </c>
      <c r="AZ6028">
        <f t="shared" si="189"/>
        <v>3</v>
      </c>
    </row>
    <row r="6029" spans="1:52" ht="55.2">
      <c r="A6029" s="3" t="s">
        <v>6073</v>
      </c>
      <c r="D6029">
        <v>6</v>
      </c>
      <c r="J6029">
        <v>60</v>
      </c>
      <c r="AY6029">
        <f t="shared" si="188"/>
        <v>43</v>
      </c>
      <c r="AZ6029">
        <f t="shared" si="189"/>
        <v>3</v>
      </c>
    </row>
    <row r="6030" spans="1:52" ht="55.2">
      <c r="A6030" s="3" t="s">
        <v>6074</v>
      </c>
      <c r="D6030">
        <v>6</v>
      </c>
      <c r="J6030">
        <v>60</v>
      </c>
      <c r="AY6030">
        <f t="shared" si="188"/>
        <v>43</v>
      </c>
      <c r="AZ6030">
        <f t="shared" si="189"/>
        <v>3</v>
      </c>
    </row>
    <row r="6031" spans="1:52" ht="55.2">
      <c r="A6031" s="3" t="s">
        <v>6075</v>
      </c>
      <c r="D6031">
        <v>6</v>
      </c>
      <c r="J6031">
        <v>60</v>
      </c>
      <c r="AY6031">
        <f t="shared" si="188"/>
        <v>43</v>
      </c>
      <c r="AZ6031">
        <f t="shared" si="189"/>
        <v>3</v>
      </c>
    </row>
    <row r="6032" spans="1:52" ht="55.2">
      <c r="A6032" s="3" t="s">
        <v>6076</v>
      </c>
      <c r="D6032">
        <v>6</v>
      </c>
      <c r="J6032">
        <v>60</v>
      </c>
      <c r="AY6032">
        <f t="shared" si="188"/>
        <v>43</v>
      </c>
      <c r="AZ6032">
        <f t="shared" si="189"/>
        <v>3</v>
      </c>
    </row>
    <row r="6033" spans="1:52" ht="55.2">
      <c r="A6033" s="3" t="s">
        <v>6077</v>
      </c>
      <c r="D6033">
        <v>6</v>
      </c>
      <c r="J6033">
        <v>60</v>
      </c>
      <c r="AY6033">
        <f t="shared" si="188"/>
        <v>43</v>
      </c>
      <c r="AZ6033">
        <f t="shared" si="189"/>
        <v>3</v>
      </c>
    </row>
    <row r="6034" spans="1:52" ht="55.2">
      <c r="A6034" s="3" t="s">
        <v>6078</v>
      </c>
      <c r="D6034">
        <v>6</v>
      </c>
      <c r="J6034">
        <v>60</v>
      </c>
      <c r="AY6034">
        <f t="shared" si="188"/>
        <v>43</v>
      </c>
      <c r="AZ6034">
        <f t="shared" si="189"/>
        <v>3</v>
      </c>
    </row>
    <row r="6035" spans="1:52" ht="55.2">
      <c r="A6035" s="3" t="s">
        <v>6079</v>
      </c>
      <c r="D6035">
        <v>6</v>
      </c>
      <c r="AD6035">
        <v>3</v>
      </c>
      <c r="AY6035">
        <f t="shared" si="188"/>
        <v>43</v>
      </c>
      <c r="AZ6035">
        <f t="shared" si="189"/>
        <v>3</v>
      </c>
    </row>
    <row r="6036" spans="1:52" ht="55.2">
      <c r="A6036" s="3" t="s">
        <v>6080</v>
      </c>
      <c r="D6036">
        <v>6</v>
      </c>
      <c r="AD6036">
        <v>3</v>
      </c>
      <c r="AY6036">
        <f t="shared" si="188"/>
        <v>43</v>
      </c>
      <c r="AZ6036">
        <f t="shared" si="189"/>
        <v>3</v>
      </c>
    </row>
    <row r="6037" spans="1:52" ht="55.2">
      <c r="A6037" s="3" t="s">
        <v>6081</v>
      </c>
      <c r="D6037">
        <v>6</v>
      </c>
      <c r="AD6037">
        <v>3</v>
      </c>
      <c r="AY6037">
        <f t="shared" si="188"/>
        <v>43</v>
      </c>
      <c r="AZ6037">
        <f t="shared" si="189"/>
        <v>3</v>
      </c>
    </row>
    <row r="6038" spans="1:52" ht="55.2">
      <c r="A6038" s="3" t="s">
        <v>6082</v>
      </c>
      <c r="D6038">
        <v>6</v>
      </c>
      <c r="AD6038">
        <v>3</v>
      </c>
      <c r="AY6038">
        <f t="shared" si="188"/>
        <v>43</v>
      </c>
      <c r="AZ6038">
        <f t="shared" si="189"/>
        <v>3</v>
      </c>
    </row>
    <row r="6039" spans="1:52" ht="55.2">
      <c r="A6039" s="3" t="s">
        <v>6083</v>
      </c>
      <c r="D6039">
        <v>6</v>
      </c>
      <c r="AD6039">
        <v>3</v>
      </c>
      <c r="AY6039">
        <f t="shared" si="188"/>
        <v>43</v>
      </c>
      <c r="AZ6039">
        <f t="shared" si="189"/>
        <v>3</v>
      </c>
    </row>
    <row r="6040" spans="1:52" ht="55.2">
      <c r="A6040" s="3" t="s">
        <v>6084</v>
      </c>
      <c r="D6040">
        <v>6</v>
      </c>
      <c r="AD6040">
        <v>3</v>
      </c>
      <c r="AY6040">
        <f t="shared" si="188"/>
        <v>43</v>
      </c>
      <c r="AZ6040">
        <f t="shared" si="189"/>
        <v>3</v>
      </c>
    </row>
    <row r="6041" spans="1:52" ht="55.2">
      <c r="A6041" s="3" t="s">
        <v>6085</v>
      </c>
      <c r="D6041">
        <v>6</v>
      </c>
      <c r="AD6041">
        <v>3</v>
      </c>
      <c r="AY6041">
        <f t="shared" si="188"/>
        <v>43</v>
      </c>
      <c r="AZ6041">
        <f t="shared" si="189"/>
        <v>3</v>
      </c>
    </row>
    <row r="6042" spans="1:52" ht="55.2">
      <c r="A6042" s="3" t="s">
        <v>6086</v>
      </c>
      <c r="D6042">
        <v>6</v>
      </c>
      <c r="AD6042">
        <v>3</v>
      </c>
      <c r="AY6042">
        <f t="shared" si="188"/>
        <v>43</v>
      </c>
      <c r="AZ6042">
        <f t="shared" si="189"/>
        <v>3</v>
      </c>
    </row>
    <row r="6043" spans="1:52" ht="55.2">
      <c r="A6043" s="3" t="s">
        <v>6087</v>
      </c>
      <c r="D6043">
        <v>6</v>
      </c>
      <c r="AD6043">
        <v>3</v>
      </c>
      <c r="AY6043">
        <f t="shared" si="188"/>
        <v>43</v>
      </c>
      <c r="AZ6043">
        <f t="shared" si="189"/>
        <v>3</v>
      </c>
    </row>
    <row r="6044" spans="1:52" ht="55.2">
      <c r="A6044" s="3" t="s">
        <v>6088</v>
      </c>
      <c r="D6044">
        <v>6</v>
      </c>
      <c r="AD6044">
        <v>3</v>
      </c>
      <c r="AY6044">
        <f t="shared" si="188"/>
        <v>43</v>
      </c>
      <c r="AZ6044">
        <f t="shared" si="189"/>
        <v>3</v>
      </c>
    </row>
    <row r="6045" spans="1:52" ht="55.2">
      <c r="A6045" s="3" t="s">
        <v>6089</v>
      </c>
      <c r="D6045">
        <v>6</v>
      </c>
      <c r="AD6045">
        <v>3</v>
      </c>
      <c r="AY6045">
        <f t="shared" si="188"/>
        <v>43</v>
      </c>
      <c r="AZ6045">
        <f t="shared" si="189"/>
        <v>3</v>
      </c>
    </row>
    <row r="6046" spans="1:52" ht="55.2">
      <c r="A6046" s="3" t="s">
        <v>6090</v>
      </c>
      <c r="D6046">
        <v>6</v>
      </c>
      <c r="AD6046">
        <v>3</v>
      </c>
      <c r="AY6046">
        <f t="shared" si="188"/>
        <v>43</v>
      </c>
      <c r="AZ6046">
        <f t="shared" si="189"/>
        <v>3</v>
      </c>
    </row>
    <row r="6047" spans="1:52" ht="55.2">
      <c r="A6047" s="3" t="s">
        <v>6091</v>
      </c>
      <c r="D6047">
        <v>6</v>
      </c>
      <c r="AD6047">
        <v>3</v>
      </c>
      <c r="AY6047">
        <f t="shared" si="188"/>
        <v>43</v>
      </c>
      <c r="AZ6047">
        <f t="shared" si="189"/>
        <v>3</v>
      </c>
    </row>
    <row r="6048" spans="1:52" ht="55.2">
      <c r="A6048" s="3" t="s">
        <v>6092</v>
      </c>
      <c r="D6048">
        <v>6</v>
      </c>
      <c r="AD6048">
        <v>3</v>
      </c>
      <c r="AY6048">
        <f t="shared" si="188"/>
        <v>43</v>
      </c>
      <c r="AZ6048">
        <f t="shared" si="189"/>
        <v>3</v>
      </c>
    </row>
    <row r="6049" spans="1:52" ht="55.2">
      <c r="A6049" s="3" t="s">
        <v>6093</v>
      </c>
      <c r="D6049">
        <v>6</v>
      </c>
      <c r="AD6049">
        <v>3</v>
      </c>
      <c r="AY6049">
        <f t="shared" ref="AY6049:AY6112" si="190">COUNTBLANK(F6049:AW6049)</f>
        <v>43</v>
      </c>
      <c r="AZ6049">
        <f t="shared" ref="AZ6049:AZ6112" si="191">COUNTBLANK(B6049:E6049)</f>
        <v>3</v>
      </c>
    </row>
    <row r="6050" spans="1:52" ht="55.2">
      <c r="A6050" s="3" t="s">
        <v>6094</v>
      </c>
      <c r="D6050">
        <v>6</v>
      </c>
      <c r="AD6050">
        <v>3</v>
      </c>
      <c r="AY6050">
        <f t="shared" si="190"/>
        <v>43</v>
      </c>
      <c r="AZ6050">
        <f t="shared" si="191"/>
        <v>3</v>
      </c>
    </row>
    <row r="6051" spans="1:52" ht="55.2">
      <c r="A6051" s="3" t="s">
        <v>6095</v>
      </c>
      <c r="D6051">
        <v>6</v>
      </c>
      <c r="AD6051">
        <v>3</v>
      </c>
      <c r="AY6051">
        <f t="shared" si="190"/>
        <v>43</v>
      </c>
      <c r="AZ6051">
        <f t="shared" si="191"/>
        <v>3</v>
      </c>
    </row>
    <row r="6052" spans="1:52" ht="55.2">
      <c r="A6052" s="3" t="s">
        <v>6096</v>
      </c>
      <c r="D6052">
        <v>6</v>
      </c>
      <c r="AD6052">
        <v>3</v>
      </c>
      <c r="AY6052">
        <f t="shared" si="190"/>
        <v>43</v>
      </c>
      <c r="AZ6052">
        <f t="shared" si="191"/>
        <v>3</v>
      </c>
    </row>
    <row r="6053" spans="1:52" ht="55.2">
      <c r="A6053" s="3" t="s">
        <v>6097</v>
      </c>
      <c r="D6053">
        <v>6</v>
      </c>
      <c r="AD6053">
        <v>3</v>
      </c>
      <c r="AY6053">
        <f t="shared" si="190"/>
        <v>43</v>
      </c>
      <c r="AZ6053">
        <f t="shared" si="191"/>
        <v>3</v>
      </c>
    </row>
    <row r="6054" spans="1:52" ht="55.2">
      <c r="A6054" s="3" t="s">
        <v>6098</v>
      </c>
      <c r="D6054">
        <v>6</v>
      </c>
      <c r="AD6054">
        <v>3</v>
      </c>
      <c r="AY6054">
        <f t="shared" si="190"/>
        <v>43</v>
      </c>
      <c r="AZ6054">
        <f t="shared" si="191"/>
        <v>3</v>
      </c>
    </row>
    <row r="6055" spans="1:52" ht="55.2">
      <c r="A6055" s="3" t="s">
        <v>6099</v>
      </c>
      <c r="D6055">
        <v>6</v>
      </c>
      <c r="AD6055">
        <v>3</v>
      </c>
      <c r="AY6055">
        <f t="shared" si="190"/>
        <v>43</v>
      </c>
      <c r="AZ6055">
        <f t="shared" si="191"/>
        <v>3</v>
      </c>
    </row>
    <row r="6056" spans="1:52" ht="55.2">
      <c r="A6056" s="3" t="s">
        <v>6100</v>
      </c>
      <c r="D6056">
        <v>6</v>
      </c>
      <c r="AD6056">
        <v>3</v>
      </c>
      <c r="AY6056">
        <f t="shared" si="190"/>
        <v>43</v>
      </c>
      <c r="AZ6056">
        <f t="shared" si="191"/>
        <v>3</v>
      </c>
    </row>
    <row r="6057" spans="1:52" ht="55.2">
      <c r="A6057" s="3" t="s">
        <v>6101</v>
      </c>
      <c r="D6057">
        <v>6</v>
      </c>
      <c r="AD6057">
        <v>3</v>
      </c>
      <c r="AY6057">
        <f t="shared" si="190"/>
        <v>43</v>
      </c>
      <c r="AZ6057">
        <f t="shared" si="191"/>
        <v>3</v>
      </c>
    </row>
    <row r="6058" spans="1:52" ht="55.2">
      <c r="A6058" s="3" t="s">
        <v>6102</v>
      </c>
      <c r="D6058">
        <v>6</v>
      </c>
      <c r="AD6058">
        <v>3</v>
      </c>
      <c r="AY6058">
        <f t="shared" si="190"/>
        <v>43</v>
      </c>
      <c r="AZ6058">
        <f t="shared" si="191"/>
        <v>3</v>
      </c>
    </row>
    <row r="6059" spans="1:52" ht="55.2">
      <c r="A6059" s="3" t="s">
        <v>6103</v>
      </c>
      <c r="D6059">
        <v>6</v>
      </c>
      <c r="AD6059">
        <v>3</v>
      </c>
      <c r="AY6059">
        <f t="shared" si="190"/>
        <v>43</v>
      </c>
      <c r="AZ6059">
        <f t="shared" si="191"/>
        <v>3</v>
      </c>
    </row>
    <row r="6060" spans="1:52" ht="55.2">
      <c r="A6060" s="3" t="s">
        <v>6104</v>
      </c>
      <c r="D6060">
        <v>6</v>
      </c>
      <c r="AD6060">
        <v>3</v>
      </c>
      <c r="AY6060">
        <f t="shared" si="190"/>
        <v>43</v>
      </c>
      <c r="AZ6060">
        <f t="shared" si="191"/>
        <v>3</v>
      </c>
    </row>
    <row r="6061" spans="1:52" ht="55.2">
      <c r="A6061" s="3" t="s">
        <v>6105</v>
      </c>
      <c r="D6061">
        <v>6</v>
      </c>
      <c r="AD6061">
        <v>3</v>
      </c>
      <c r="AY6061">
        <f t="shared" si="190"/>
        <v>43</v>
      </c>
      <c r="AZ6061">
        <f t="shared" si="191"/>
        <v>3</v>
      </c>
    </row>
    <row r="6062" spans="1:52" ht="55.2">
      <c r="A6062" s="3" t="s">
        <v>6106</v>
      </c>
      <c r="D6062">
        <v>6</v>
      </c>
      <c r="AD6062">
        <v>3</v>
      </c>
      <c r="AY6062">
        <f t="shared" si="190"/>
        <v>43</v>
      </c>
      <c r="AZ6062">
        <f t="shared" si="191"/>
        <v>3</v>
      </c>
    </row>
    <row r="6063" spans="1:52" ht="55.2">
      <c r="A6063" s="3" t="s">
        <v>6107</v>
      </c>
      <c r="D6063">
        <v>6</v>
      </c>
      <c r="AD6063">
        <v>3</v>
      </c>
      <c r="AY6063">
        <f t="shared" si="190"/>
        <v>43</v>
      </c>
      <c r="AZ6063">
        <f t="shared" si="191"/>
        <v>3</v>
      </c>
    </row>
    <row r="6064" spans="1:52" ht="55.2">
      <c r="A6064" s="3" t="s">
        <v>6108</v>
      </c>
      <c r="D6064">
        <v>6</v>
      </c>
      <c r="AD6064">
        <v>3</v>
      </c>
      <c r="AY6064">
        <f t="shared" si="190"/>
        <v>43</v>
      </c>
      <c r="AZ6064">
        <f t="shared" si="191"/>
        <v>3</v>
      </c>
    </row>
    <row r="6065" spans="1:52" ht="55.2">
      <c r="A6065" s="3" t="s">
        <v>6109</v>
      </c>
      <c r="D6065">
        <v>6</v>
      </c>
      <c r="AD6065">
        <v>3</v>
      </c>
      <c r="AY6065">
        <f t="shared" si="190"/>
        <v>43</v>
      </c>
      <c r="AZ6065">
        <f t="shared" si="191"/>
        <v>3</v>
      </c>
    </row>
    <row r="6066" spans="1:52" ht="55.2">
      <c r="A6066" s="3" t="s">
        <v>6110</v>
      </c>
      <c r="D6066">
        <v>6</v>
      </c>
      <c r="J6066">
        <v>61</v>
      </c>
      <c r="AY6066">
        <f t="shared" si="190"/>
        <v>43</v>
      </c>
      <c r="AZ6066">
        <f t="shared" si="191"/>
        <v>3</v>
      </c>
    </row>
    <row r="6067" spans="1:52" ht="55.2">
      <c r="A6067" s="3" t="s">
        <v>6111</v>
      </c>
      <c r="D6067">
        <v>6</v>
      </c>
      <c r="J6067">
        <v>61</v>
      </c>
      <c r="AY6067">
        <f t="shared" si="190"/>
        <v>43</v>
      </c>
      <c r="AZ6067">
        <f t="shared" si="191"/>
        <v>3</v>
      </c>
    </row>
    <row r="6068" spans="1:52" ht="55.2">
      <c r="A6068" s="3" t="s">
        <v>6112</v>
      </c>
      <c r="D6068">
        <v>6</v>
      </c>
      <c r="J6068">
        <v>61</v>
      </c>
      <c r="AY6068">
        <f t="shared" si="190"/>
        <v>43</v>
      </c>
      <c r="AZ6068">
        <f t="shared" si="191"/>
        <v>3</v>
      </c>
    </row>
    <row r="6069" spans="1:52" ht="55.2">
      <c r="A6069" s="3" t="s">
        <v>6113</v>
      </c>
      <c r="D6069">
        <v>6</v>
      </c>
      <c r="J6069">
        <v>61</v>
      </c>
      <c r="AY6069">
        <f t="shared" si="190"/>
        <v>43</v>
      </c>
      <c r="AZ6069">
        <f t="shared" si="191"/>
        <v>3</v>
      </c>
    </row>
    <row r="6070" spans="1:52" ht="55.2">
      <c r="A6070" s="3" t="s">
        <v>6114</v>
      </c>
      <c r="D6070">
        <v>6</v>
      </c>
      <c r="J6070">
        <v>61</v>
      </c>
      <c r="AY6070">
        <f t="shared" si="190"/>
        <v>43</v>
      </c>
      <c r="AZ6070">
        <f t="shared" si="191"/>
        <v>3</v>
      </c>
    </row>
    <row r="6071" spans="1:52" ht="55.2">
      <c r="A6071" s="3" t="s">
        <v>6115</v>
      </c>
      <c r="D6071">
        <v>6</v>
      </c>
      <c r="J6071">
        <v>61</v>
      </c>
      <c r="AY6071">
        <f t="shared" si="190"/>
        <v>43</v>
      </c>
      <c r="AZ6071">
        <f t="shared" si="191"/>
        <v>3</v>
      </c>
    </row>
    <row r="6072" spans="1:52" ht="55.2">
      <c r="A6072" s="3" t="s">
        <v>6116</v>
      </c>
      <c r="D6072">
        <v>6</v>
      </c>
      <c r="J6072">
        <v>61</v>
      </c>
      <c r="AY6072">
        <f t="shared" si="190"/>
        <v>43</v>
      </c>
      <c r="AZ6072">
        <f t="shared" si="191"/>
        <v>3</v>
      </c>
    </row>
    <row r="6073" spans="1:52" ht="55.2">
      <c r="A6073" s="3" t="s">
        <v>6117</v>
      </c>
      <c r="D6073">
        <v>6</v>
      </c>
      <c r="J6073">
        <v>61</v>
      </c>
      <c r="AY6073">
        <f t="shared" si="190"/>
        <v>43</v>
      </c>
      <c r="AZ6073">
        <f t="shared" si="191"/>
        <v>3</v>
      </c>
    </row>
    <row r="6074" spans="1:52" ht="55.2">
      <c r="A6074" s="3" t="s">
        <v>6118</v>
      </c>
      <c r="D6074">
        <v>6</v>
      </c>
      <c r="J6074">
        <v>61</v>
      </c>
      <c r="AY6074">
        <f t="shared" si="190"/>
        <v>43</v>
      </c>
      <c r="AZ6074">
        <f t="shared" si="191"/>
        <v>3</v>
      </c>
    </row>
    <row r="6075" spans="1:52" ht="55.2">
      <c r="A6075" s="3" t="s">
        <v>6119</v>
      </c>
      <c r="D6075">
        <v>6</v>
      </c>
      <c r="J6075">
        <v>61</v>
      </c>
      <c r="AY6075">
        <f t="shared" si="190"/>
        <v>43</v>
      </c>
      <c r="AZ6075">
        <f t="shared" si="191"/>
        <v>3</v>
      </c>
    </row>
    <row r="6076" spans="1:52" ht="55.2">
      <c r="A6076" s="3" t="s">
        <v>6120</v>
      </c>
      <c r="D6076">
        <v>6</v>
      </c>
      <c r="J6076">
        <v>61</v>
      </c>
      <c r="AY6076">
        <f t="shared" si="190"/>
        <v>43</v>
      </c>
      <c r="AZ6076">
        <f t="shared" si="191"/>
        <v>3</v>
      </c>
    </row>
    <row r="6077" spans="1:52" ht="55.2">
      <c r="A6077" s="3" t="s">
        <v>6121</v>
      </c>
      <c r="D6077">
        <v>6</v>
      </c>
      <c r="J6077">
        <v>61</v>
      </c>
      <c r="AY6077">
        <f t="shared" si="190"/>
        <v>43</v>
      </c>
      <c r="AZ6077">
        <f t="shared" si="191"/>
        <v>3</v>
      </c>
    </row>
    <row r="6078" spans="1:52" ht="55.2">
      <c r="A6078" s="3" t="s">
        <v>6122</v>
      </c>
      <c r="D6078">
        <v>6</v>
      </c>
      <c r="J6078">
        <v>61</v>
      </c>
      <c r="AY6078">
        <f t="shared" si="190"/>
        <v>43</v>
      </c>
      <c r="AZ6078">
        <f t="shared" si="191"/>
        <v>3</v>
      </c>
    </row>
    <row r="6079" spans="1:52" ht="55.2">
      <c r="A6079" s="3" t="s">
        <v>6123</v>
      </c>
      <c r="D6079">
        <v>6</v>
      </c>
      <c r="J6079">
        <v>61</v>
      </c>
      <c r="AY6079">
        <f t="shared" si="190"/>
        <v>43</v>
      </c>
      <c r="AZ6079">
        <f t="shared" si="191"/>
        <v>3</v>
      </c>
    </row>
    <row r="6080" spans="1:52" ht="55.2">
      <c r="A6080" s="3" t="s">
        <v>6124</v>
      </c>
      <c r="D6080">
        <v>6</v>
      </c>
      <c r="J6080">
        <v>61</v>
      </c>
      <c r="AY6080">
        <f t="shared" si="190"/>
        <v>43</v>
      </c>
      <c r="AZ6080">
        <f t="shared" si="191"/>
        <v>3</v>
      </c>
    </row>
    <row r="6081" spans="1:52" ht="55.2">
      <c r="A6081" s="3" t="s">
        <v>6125</v>
      </c>
      <c r="D6081">
        <v>6</v>
      </c>
      <c r="J6081">
        <v>61</v>
      </c>
      <c r="AY6081">
        <f t="shared" si="190"/>
        <v>43</v>
      </c>
      <c r="AZ6081">
        <f t="shared" si="191"/>
        <v>3</v>
      </c>
    </row>
    <row r="6082" spans="1:52" ht="55.2">
      <c r="A6082" s="3" t="s">
        <v>6126</v>
      </c>
      <c r="D6082">
        <v>6</v>
      </c>
      <c r="J6082">
        <v>61</v>
      </c>
      <c r="AY6082">
        <f t="shared" si="190"/>
        <v>43</v>
      </c>
      <c r="AZ6082">
        <f t="shared" si="191"/>
        <v>3</v>
      </c>
    </row>
    <row r="6083" spans="1:52" ht="55.2">
      <c r="A6083" s="3" t="s">
        <v>6127</v>
      </c>
      <c r="D6083">
        <v>6</v>
      </c>
      <c r="J6083">
        <v>61</v>
      </c>
      <c r="AY6083">
        <f t="shared" si="190"/>
        <v>43</v>
      </c>
      <c r="AZ6083">
        <f t="shared" si="191"/>
        <v>3</v>
      </c>
    </row>
    <row r="6084" spans="1:52" ht="55.2">
      <c r="A6084" s="3" t="s">
        <v>6128</v>
      </c>
      <c r="D6084">
        <v>6</v>
      </c>
      <c r="J6084">
        <v>61</v>
      </c>
      <c r="AY6084">
        <f t="shared" si="190"/>
        <v>43</v>
      </c>
      <c r="AZ6084">
        <f t="shared" si="191"/>
        <v>3</v>
      </c>
    </row>
    <row r="6085" spans="1:52" ht="55.2">
      <c r="A6085" s="3" t="s">
        <v>6129</v>
      </c>
      <c r="D6085">
        <v>6</v>
      </c>
      <c r="J6085">
        <v>61</v>
      </c>
      <c r="AY6085">
        <f t="shared" si="190"/>
        <v>43</v>
      </c>
      <c r="AZ6085">
        <f t="shared" si="191"/>
        <v>3</v>
      </c>
    </row>
    <row r="6086" spans="1:52" ht="55.2">
      <c r="A6086" s="3" t="s">
        <v>6130</v>
      </c>
      <c r="D6086">
        <v>6</v>
      </c>
      <c r="J6086">
        <v>61</v>
      </c>
      <c r="AY6086">
        <f t="shared" si="190"/>
        <v>43</v>
      </c>
      <c r="AZ6086">
        <f t="shared" si="191"/>
        <v>3</v>
      </c>
    </row>
    <row r="6087" spans="1:52" ht="55.2">
      <c r="A6087" s="3" t="s">
        <v>6131</v>
      </c>
      <c r="D6087">
        <v>6</v>
      </c>
      <c r="J6087">
        <v>61</v>
      </c>
      <c r="AY6087">
        <f t="shared" si="190"/>
        <v>43</v>
      </c>
      <c r="AZ6087">
        <f t="shared" si="191"/>
        <v>3</v>
      </c>
    </row>
    <row r="6088" spans="1:52" ht="55.2">
      <c r="A6088" s="3" t="s">
        <v>6132</v>
      </c>
      <c r="D6088">
        <v>6</v>
      </c>
      <c r="J6088">
        <v>61</v>
      </c>
      <c r="AY6088">
        <f t="shared" si="190"/>
        <v>43</v>
      </c>
      <c r="AZ6088">
        <f t="shared" si="191"/>
        <v>3</v>
      </c>
    </row>
    <row r="6089" spans="1:52" ht="55.2">
      <c r="A6089" s="3" t="s">
        <v>6133</v>
      </c>
      <c r="D6089">
        <v>6</v>
      </c>
      <c r="J6089">
        <v>61</v>
      </c>
      <c r="AY6089">
        <f t="shared" si="190"/>
        <v>43</v>
      </c>
      <c r="AZ6089">
        <f t="shared" si="191"/>
        <v>3</v>
      </c>
    </row>
    <row r="6090" spans="1:52" ht="55.2">
      <c r="A6090" s="3" t="s">
        <v>6134</v>
      </c>
      <c r="D6090">
        <v>6</v>
      </c>
      <c r="J6090">
        <v>61</v>
      </c>
      <c r="AY6090">
        <f t="shared" si="190"/>
        <v>43</v>
      </c>
      <c r="AZ6090">
        <f t="shared" si="191"/>
        <v>3</v>
      </c>
    </row>
    <row r="6091" spans="1:52" ht="55.2">
      <c r="A6091" s="3" t="s">
        <v>6135</v>
      </c>
      <c r="D6091">
        <v>6</v>
      </c>
      <c r="J6091">
        <v>61</v>
      </c>
      <c r="AY6091">
        <f t="shared" si="190"/>
        <v>43</v>
      </c>
      <c r="AZ6091">
        <f t="shared" si="191"/>
        <v>3</v>
      </c>
    </row>
    <row r="6092" spans="1:52" ht="55.2">
      <c r="A6092" s="3" t="s">
        <v>6136</v>
      </c>
      <c r="D6092">
        <v>6</v>
      </c>
      <c r="J6092">
        <v>61</v>
      </c>
      <c r="AY6092">
        <f t="shared" si="190"/>
        <v>43</v>
      </c>
      <c r="AZ6092">
        <f t="shared" si="191"/>
        <v>3</v>
      </c>
    </row>
    <row r="6093" spans="1:52" ht="55.2">
      <c r="A6093" s="3" t="s">
        <v>6137</v>
      </c>
      <c r="D6093">
        <v>6</v>
      </c>
      <c r="J6093">
        <v>61</v>
      </c>
      <c r="AY6093">
        <f t="shared" si="190"/>
        <v>43</v>
      </c>
      <c r="AZ6093">
        <f t="shared" si="191"/>
        <v>3</v>
      </c>
    </row>
    <row r="6094" spans="1:52" ht="55.2">
      <c r="A6094" s="3" t="s">
        <v>6138</v>
      </c>
      <c r="D6094">
        <v>6</v>
      </c>
      <c r="J6094">
        <v>61</v>
      </c>
      <c r="AY6094">
        <f t="shared" si="190"/>
        <v>43</v>
      </c>
      <c r="AZ6094">
        <f t="shared" si="191"/>
        <v>3</v>
      </c>
    </row>
    <row r="6095" spans="1:52" ht="55.2">
      <c r="A6095" s="3" t="s">
        <v>6139</v>
      </c>
      <c r="D6095">
        <v>6</v>
      </c>
      <c r="J6095">
        <v>61</v>
      </c>
      <c r="AY6095">
        <f t="shared" si="190"/>
        <v>43</v>
      </c>
      <c r="AZ6095">
        <f t="shared" si="191"/>
        <v>3</v>
      </c>
    </row>
    <row r="6096" spans="1:52" ht="55.2">
      <c r="A6096" s="3" t="s">
        <v>6140</v>
      </c>
      <c r="D6096">
        <v>6</v>
      </c>
      <c r="J6096">
        <v>61</v>
      </c>
      <c r="AY6096">
        <f t="shared" si="190"/>
        <v>43</v>
      </c>
      <c r="AZ6096">
        <f t="shared" si="191"/>
        <v>3</v>
      </c>
    </row>
    <row r="6097" spans="1:52" ht="55.2">
      <c r="A6097" s="3" t="s">
        <v>6141</v>
      </c>
      <c r="D6097">
        <v>6</v>
      </c>
      <c r="J6097">
        <v>61</v>
      </c>
      <c r="AY6097">
        <f t="shared" si="190"/>
        <v>43</v>
      </c>
      <c r="AZ6097">
        <f t="shared" si="191"/>
        <v>3</v>
      </c>
    </row>
    <row r="6098" spans="1:52" ht="55.2">
      <c r="A6098" s="3" t="s">
        <v>6142</v>
      </c>
      <c r="D6098">
        <v>6</v>
      </c>
      <c r="J6098">
        <v>61</v>
      </c>
      <c r="AY6098">
        <f t="shared" si="190"/>
        <v>43</v>
      </c>
      <c r="AZ6098">
        <f t="shared" si="191"/>
        <v>3</v>
      </c>
    </row>
    <row r="6099" spans="1:52" ht="55.2">
      <c r="A6099" s="3" t="s">
        <v>6143</v>
      </c>
      <c r="C6099">
        <v>7</v>
      </c>
      <c r="D6099">
        <v>6</v>
      </c>
      <c r="J6099">
        <v>61</v>
      </c>
      <c r="AY6099">
        <f t="shared" si="190"/>
        <v>43</v>
      </c>
      <c r="AZ6099">
        <f t="shared" si="191"/>
        <v>2</v>
      </c>
    </row>
    <row r="6100" spans="1:52" ht="55.2">
      <c r="A6100" s="3" t="s">
        <v>6144</v>
      </c>
      <c r="C6100">
        <v>7</v>
      </c>
      <c r="D6100">
        <v>6</v>
      </c>
      <c r="J6100">
        <v>61</v>
      </c>
      <c r="AY6100">
        <f t="shared" si="190"/>
        <v>43</v>
      </c>
      <c r="AZ6100">
        <f t="shared" si="191"/>
        <v>2</v>
      </c>
    </row>
    <row r="6101" spans="1:52" ht="55.2">
      <c r="A6101" s="3" t="s">
        <v>6145</v>
      </c>
      <c r="C6101">
        <v>7</v>
      </c>
      <c r="D6101">
        <v>6</v>
      </c>
      <c r="J6101">
        <v>61</v>
      </c>
      <c r="AY6101">
        <f t="shared" si="190"/>
        <v>43</v>
      </c>
      <c r="AZ6101">
        <f t="shared" si="191"/>
        <v>2</v>
      </c>
    </row>
    <row r="6102" spans="1:52" ht="55.2">
      <c r="A6102" s="3" t="s">
        <v>6146</v>
      </c>
      <c r="C6102">
        <v>7</v>
      </c>
      <c r="D6102">
        <v>6</v>
      </c>
      <c r="J6102">
        <v>61</v>
      </c>
      <c r="AY6102">
        <f t="shared" si="190"/>
        <v>43</v>
      </c>
      <c r="AZ6102">
        <f t="shared" si="191"/>
        <v>2</v>
      </c>
    </row>
    <row r="6103" spans="1:52" ht="55.2">
      <c r="A6103" s="3" t="s">
        <v>6147</v>
      </c>
      <c r="C6103">
        <v>7</v>
      </c>
      <c r="D6103">
        <v>6</v>
      </c>
      <c r="J6103">
        <v>61</v>
      </c>
      <c r="AY6103">
        <f t="shared" si="190"/>
        <v>43</v>
      </c>
      <c r="AZ6103">
        <f t="shared" si="191"/>
        <v>2</v>
      </c>
    </row>
    <row r="6104" spans="1:52" ht="55.2">
      <c r="A6104" s="3" t="s">
        <v>6148</v>
      </c>
      <c r="C6104">
        <v>7</v>
      </c>
      <c r="D6104">
        <v>6</v>
      </c>
      <c r="J6104">
        <v>61</v>
      </c>
      <c r="AY6104">
        <f t="shared" si="190"/>
        <v>43</v>
      </c>
      <c r="AZ6104">
        <f t="shared" si="191"/>
        <v>2</v>
      </c>
    </row>
    <row r="6105" spans="1:52" ht="55.2">
      <c r="A6105" s="3" t="s">
        <v>6149</v>
      </c>
      <c r="C6105">
        <v>7</v>
      </c>
      <c r="D6105">
        <v>6</v>
      </c>
      <c r="J6105">
        <v>61</v>
      </c>
      <c r="AY6105">
        <f t="shared" si="190"/>
        <v>43</v>
      </c>
      <c r="AZ6105">
        <f t="shared" si="191"/>
        <v>2</v>
      </c>
    </row>
    <row r="6106" spans="1:52" ht="55.2">
      <c r="A6106" s="3" t="s">
        <v>6150</v>
      </c>
      <c r="C6106">
        <v>7</v>
      </c>
      <c r="D6106">
        <v>6</v>
      </c>
      <c r="J6106">
        <v>61</v>
      </c>
      <c r="AY6106">
        <f t="shared" si="190"/>
        <v>43</v>
      </c>
      <c r="AZ6106">
        <f t="shared" si="191"/>
        <v>2</v>
      </c>
    </row>
    <row r="6107" spans="1:52" ht="55.2">
      <c r="A6107" s="3" t="s">
        <v>6151</v>
      </c>
      <c r="C6107">
        <v>7</v>
      </c>
      <c r="D6107">
        <v>6</v>
      </c>
      <c r="J6107">
        <v>61</v>
      </c>
      <c r="AY6107">
        <f t="shared" si="190"/>
        <v>43</v>
      </c>
      <c r="AZ6107">
        <f t="shared" si="191"/>
        <v>2</v>
      </c>
    </row>
    <row r="6108" spans="1:52" ht="55.2">
      <c r="A6108" s="3" t="s">
        <v>6152</v>
      </c>
      <c r="C6108">
        <v>7</v>
      </c>
      <c r="J6108">
        <v>61</v>
      </c>
      <c r="AY6108">
        <f t="shared" si="190"/>
        <v>43</v>
      </c>
      <c r="AZ6108">
        <f t="shared" si="191"/>
        <v>3</v>
      </c>
    </row>
    <row r="6109" spans="1:52" ht="55.2">
      <c r="A6109" s="3" t="s">
        <v>6153</v>
      </c>
      <c r="C6109">
        <v>7</v>
      </c>
      <c r="J6109">
        <v>61</v>
      </c>
      <c r="AY6109">
        <f t="shared" si="190"/>
        <v>43</v>
      </c>
      <c r="AZ6109">
        <f t="shared" si="191"/>
        <v>3</v>
      </c>
    </row>
    <row r="6110" spans="1:52" ht="55.2">
      <c r="A6110" s="3" t="s">
        <v>6154</v>
      </c>
      <c r="C6110">
        <v>7</v>
      </c>
      <c r="J6110">
        <v>61</v>
      </c>
      <c r="AY6110">
        <f t="shared" si="190"/>
        <v>43</v>
      </c>
      <c r="AZ6110">
        <f t="shared" si="191"/>
        <v>3</v>
      </c>
    </row>
    <row r="6111" spans="1:52" ht="55.2">
      <c r="A6111" s="3" t="s">
        <v>6155</v>
      </c>
      <c r="C6111">
        <v>7</v>
      </c>
      <c r="X6111">
        <v>2</v>
      </c>
      <c r="AY6111">
        <f t="shared" si="190"/>
        <v>43</v>
      </c>
      <c r="AZ6111">
        <f t="shared" si="191"/>
        <v>3</v>
      </c>
    </row>
    <row r="6112" spans="1:52" ht="55.2">
      <c r="A6112" s="3" t="s">
        <v>6156</v>
      </c>
      <c r="C6112">
        <v>7</v>
      </c>
      <c r="X6112">
        <v>2</v>
      </c>
      <c r="AY6112">
        <f t="shared" si="190"/>
        <v>43</v>
      </c>
      <c r="AZ6112">
        <f t="shared" si="191"/>
        <v>3</v>
      </c>
    </row>
    <row r="6113" spans="1:52" ht="55.2">
      <c r="A6113" s="3" t="s">
        <v>6157</v>
      </c>
      <c r="C6113">
        <v>7</v>
      </c>
      <c r="X6113">
        <v>2</v>
      </c>
      <c r="AY6113">
        <f t="shared" ref="AY6113:AY6176" si="192">COUNTBLANK(F6113:AW6113)</f>
        <v>43</v>
      </c>
      <c r="AZ6113">
        <f t="shared" ref="AZ6113:AZ6176" si="193">COUNTBLANK(B6113:E6113)</f>
        <v>3</v>
      </c>
    </row>
    <row r="6114" spans="1:52" ht="55.2">
      <c r="A6114" s="3" t="s">
        <v>6158</v>
      </c>
      <c r="C6114">
        <v>7</v>
      </c>
      <c r="X6114">
        <v>2</v>
      </c>
      <c r="AY6114">
        <f t="shared" si="192"/>
        <v>43</v>
      </c>
      <c r="AZ6114">
        <f t="shared" si="193"/>
        <v>3</v>
      </c>
    </row>
    <row r="6115" spans="1:52" ht="55.2">
      <c r="A6115" s="3" t="s">
        <v>6159</v>
      </c>
      <c r="C6115">
        <v>7</v>
      </c>
      <c r="X6115">
        <v>2</v>
      </c>
      <c r="AY6115">
        <f t="shared" si="192"/>
        <v>43</v>
      </c>
      <c r="AZ6115">
        <f t="shared" si="193"/>
        <v>3</v>
      </c>
    </row>
    <row r="6116" spans="1:52" ht="55.2">
      <c r="A6116" s="3" t="s">
        <v>6160</v>
      </c>
      <c r="C6116">
        <v>7</v>
      </c>
      <c r="X6116">
        <v>2</v>
      </c>
      <c r="AY6116">
        <f t="shared" si="192"/>
        <v>43</v>
      </c>
      <c r="AZ6116">
        <f t="shared" si="193"/>
        <v>3</v>
      </c>
    </row>
    <row r="6117" spans="1:52" ht="55.2">
      <c r="A6117" s="3" t="s">
        <v>6161</v>
      </c>
      <c r="C6117">
        <v>7</v>
      </c>
      <c r="X6117">
        <v>2</v>
      </c>
      <c r="AY6117">
        <f t="shared" si="192"/>
        <v>43</v>
      </c>
      <c r="AZ6117">
        <f t="shared" si="193"/>
        <v>3</v>
      </c>
    </row>
    <row r="6118" spans="1:52" ht="55.2">
      <c r="A6118" s="3" t="s">
        <v>6162</v>
      </c>
      <c r="C6118">
        <v>7</v>
      </c>
      <c r="X6118">
        <v>2</v>
      </c>
      <c r="AY6118">
        <f t="shared" si="192"/>
        <v>43</v>
      </c>
      <c r="AZ6118">
        <f t="shared" si="193"/>
        <v>3</v>
      </c>
    </row>
    <row r="6119" spans="1:52" ht="55.2">
      <c r="A6119" s="3" t="s">
        <v>6163</v>
      </c>
      <c r="C6119">
        <v>7</v>
      </c>
      <c r="X6119">
        <v>2</v>
      </c>
      <c r="AY6119">
        <f t="shared" si="192"/>
        <v>43</v>
      </c>
      <c r="AZ6119">
        <f t="shared" si="193"/>
        <v>3</v>
      </c>
    </row>
    <row r="6120" spans="1:52" ht="55.2">
      <c r="A6120" s="3" t="s">
        <v>6164</v>
      </c>
      <c r="C6120">
        <v>7</v>
      </c>
      <c r="X6120">
        <v>2</v>
      </c>
      <c r="AY6120">
        <f t="shared" si="192"/>
        <v>43</v>
      </c>
      <c r="AZ6120">
        <f t="shared" si="193"/>
        <v>3</v>
      </c>
    </row>
    <row r="6121" spans="1:52" ht="55.2">
      <c r="A6121" s="3" t="s">
        <v>6165</v>
      </c>
      <c r="C6121">
        <v>7</v>
      </c>
      <c r="X6121">
        <v>2</v>
      </c>
      <c r="AY6121">
        <f t="shared" si="192"/>
        <v>43</v>
      </c>
      <c r="AZ6121">
        <f t="shared" si="193"/>
        <v>3</v>
      </c>
    </row>
    <row r="6122" spans="1:52" ht="55.2">
      <c r="A6122" s="3" t="s">
        <v>6166</v>
      </c>
      <c r="C6122">
        <v>7</v>
      </c>
      <c r="X6122">
        <v>2</v>
      </c>
      <c r="AY6122">
        <f t="shared" si="192"/>
        <v>43</v>
      </c>
      <c r="AZ6122">
        <f t="shared" si="193"/>
        <v>3</v>
      </c>
    </row>
    <row r="6123" spans="1:52" ht="55.2">
      <c r="A6123" s="3" t="s">
        <v>6167</v>
      </c>
      <c r="C6123">
        <v>7</v>
      </c>
      <c r="X6123">
        <v>2</v>
      </c>
      <c r="AY6123">
        <f t="shared" si="192"/>
        <v>43</v>
      </c>
      <c r="AZ6123">
        <f t="shared" si="193"/>
        <v>3</v>
      </c>
    </row>
    <row r="6124" spans="1:52" ht="55.2">
      <c r="A6124" s="3" t="s">
        <v>6168</v>
      </c>
      <c r="C6124">
        <v>7</v>
      </c>
      <c r="X6124">
        <v>2</v>
      </c>
      <c r="AY6124">
        <f t="shared" si="192"/>
        <v>43</v>
      </c>
      <c r="AZ6124">
        <f t="shared" si="193"/>
        <v>3</v>
      </c>
    </row>
    <row r="6125" spans="1:52" ht="55.2">
      <c r="A6125" s="3" t="s">
        <v>6169</v>
      </c>
      <c r="C6125">
        <v>7</v>
      </c>
      <c r="X6125">
        <v>2</v>
      </c>
      <c r="AY6125">
        <f t="shared" si="192"/>
        <v>43</v>
      </c>
      <c r="AZ6125">
        <f t="shared" si="193"/>
        <v>3</v>
      </c>
    </row>
    <row r="6126" spans="1:52" ht="55.2">
      <c r="A6126" s="3" t="s">
        <v>6170</v>
      </c>
      <c r="C6126">
        <v>7</v>
      </c>
      <c r="X6126">
        <v>2</v>
      </c>
      <c r="AY6126">
        <f t="shared" si="192"/>
        <v>43</v>
      </c>
      <c r="AZ6126">
        <f t="shared" si="193"/>
        <v>3</v>
      </c>
    </row>
    <row r="6127" spans="1:52" ht="55.2">
      <c r="A6127" s="3" t="s">
        <v>6171</v>
      </c>
      <c r="C6127">
        <v>7</v>
      </c>
      <c r="X6127">
        <v>2</v>
      </c>
      <c r="AY6127">
        <f t="shared" si="192"/>
        <v>43</v>
      </c>
      <c r="AZ6127">
        <f t="shared" si="193"/>
        <v>3</v>
      </c>
    </row>
    <row r="6128" spans="1:52" ht="55.2">
      <c r="A6128" s="3" t="s">
        <v>6172</v>
      </c>
      <c r="C6128">
        <v>7</v>
      </c>
      <c r="X6128">
        <v>2</v>
      </c>
      <c r="AY6128">
        <f t="shared" si="192"/>
        <v>43</v>
      </c>
      <c r="AZ6128">
        <f t="shared" si="193"/>
        <v>3</v>
      </c>
    </row>
    <row r="6129" spans="1:52" ht="55.2">
      <c r="A6129" s="3" t="s">
        <v>6173</v>
      </c>
      <c r="C6129">
        <v>7</v>
      </c>
      <c r="X6129">
        <v>2</v>
      </c>
      <c r="AY6129">
        <f t="shared" si="192"/>
        <v>43</v>
      </c>
      <c r="AZ6129">
        <f t="shared" si="193"/>
        <v>3</v>
      </c>
    </row>
    <row r="6130" spans="1:52" ht="55.2">
      <c r="A6130" s="3" t="s">
        <v>6174</v>
      </c>
      <c r="C6130">
        <v>7</v>
      </c>
      <c r="X6130">
        <v>2</v>
      </c>
      <c r="AY6130">
        <f t="shared" si="192"/>
        <v>43</v>
      </c>
      <c r="AZ6130">
        <f t="shared" si="193"/>
        <v>3</v>
      </c>
    </row>
    <row r="6131" spans="1:52" ht="55.2">
      <c r="A6131" s="3" t="s">
        <v>6175</v>
      </c>
      <c r="C6131">
        <v>7</v>
      </c>
      <c r="X6131">
        <v>2</v>
      </c>
      <c r="AY6131">
        <f t="shared" si="192"/>
        <v>43</v>
      </c>
      <c r="AZ6131">
        <f t="shared" si="193"/>
        <v>3</v>
      </c>
    </row>
    <row r="6132" spans="1:52" ht="55.2">
      <c r="A6132" s="3" t="s">
        <v>6176</v>
      </c>
      <c r="C6132">
        <v>7</v>
      </c>
      <c r="X6132">
        <v>2</v>
      </c>
      <c r="AY6132">
        <f t="shared" si="192"/>
        <v>43</v>
      </c>
      <c r="AZ6132">
        <f t="shared" si="193"/>
        <v>3</v>
      </c>
    </row>
    <row r="6133" spans="1:52" ht="55.2">
      <c r="A6133" s="3" t="s">
        <v>6177</v>
      </c>
      <c r="C6133">
        <v>7</v>
      </c>
      <c r="X6133">
        <v>2</v>
      </c>
      <c r="AY6133">
        <f t="shared" si="192"/>
        <v>43</v>
      </c>
      <c r="AZ6133">
        <f t="shared" si="193"/>
        <v>3</v>
      </c>
    </row>
    <row r="6134" spans="1:52" ht="55.2">
      <c r="A6134" s="3" t="s">
        <v>6178</v>
      </c>
      <c r="C6134">
        <v>7</v>
      </c>
      <c r="X6134">
        <v>2</v>
      </c>
      <c r="AY6134">
        <f t="shared" si="192"/>
        <v>43</v>
      </c>
      <c r="AZ6134">
        <f t="shared" si="193"/>
        <v>3</v>
      </c>
    </row>
    <row r="6135" spans="1:52" ht="55.2">
      <c r="A6135" s="3" t="s">
        <v>6179</v>
      </c>
      <c r="C6135">
        <v>7</v>
      </c>
      <c r="X6135">
        <v>2</v>
      </c>
      <c r="AY6135">
        <f t="shared" si="192"/>
        <v>43</v>
      </c>
      <c r="AZ6135">
        <f t="shared" si="193"/>
        <v>3</v>
      </c>
    </row>
    <row r="6136" spans="1:52" ht="55.2">
      <c r="A6136" s="3" t="s">
        <v>6180</v>
      </c>
      <c r="C6136">
        <v>7</v>
      </c>
      <c r="X6136">
        <v>2</v>
      </c>
      <c r="AY6136">
        <f t="shared" si="192"/>
        <v>43</v>
      </c>
      <c r="AZ6136">
        <f t="shared" si="193"/>
        <v>3</v>
      </c>
    </row>
    <row r="6137" spans="1:52" ht="55.2">
      <c r="A6137" s="3" t="s">
        <v>6181</v>
      </c>
      <c r="C6137">
        <v>7</v>
      </c>
      <c r="X6137">
        <v>2</v>
      </c>
      <c r="AY6137">
        <f t="shared" si="192"/>
        <v>43</v>
      </c>
      <c r="AZ6137">
        <f t="shared" si="193"/>
        <v>3</v>
      </c>
    </row>
    <row r="6138" spans="1:52" ht="55.2">
      <c r="A6138" s="3" t="s">
        <v>6182</v>
      </c>
      <c r="C6138">
        <v>7</v>
      </c>
      <c r="X6138">
        <v>2</v>
      </c>
      <c r="AY6138">
        <f t="shared" si="192"/>
        <v>43</v>
      </c>
      <c r="AZ6138">
        <f t="shared" si="193"/>
        <v>3</v>
      </c>
    </row>
    <row r="6139" spans="1:52" ht="55.2">
      <c r="A6139" s="3" t="s">
        <v>6183</v>
      </c>
      <c r="C6139">
        <v>7</v>
      </c>
      <c r="X6139">
        <v>2</v>
      </c>
      <c r="AY6139">
        <f t="shared" si="192"/>
        <v>43</v>
      </c>
      <c r="AZ6139">
        <f t="shared" si="193"/>
        <v>3</v>
      </c>
    </row>
    <row r="6140" spans="1:52" ht="55.2">
      <c r="A6140" s="3" t="s">
        <v>6184</v>
      </c>
      <c r="C6140">
        <v>7</v>
      </c>
      <c r="X6140">
        <v>2</v>
      </c>
      <c r="AY6140">
        <f t="shared" si="192"/>
        <v>43</v>
      </c>
      <c r="AZ6140">
        <f t="shared" si="193"/>
        <v>3</v>
      </c>
    </row>
    <row r="6141" spans="1:52" ht="55.2">
      <c r="A6141" s="3" t="s">
        <v>6185</v>
      </c>
      <c r="C6141">
        <v>7</v>
      </c>
      <c r="X6141">
        <v>2</v>
      </c>
      <c r="AY6141">
        <f t="shared" si="192"/>
        <v>43</v>
      </c>
      <c r="AZ6141">
        <f t="shared" si="193"/>
        <v>3</v>
      </c>
    </row>
    <row r="6142" spans="1:52" ht="55.2">
      <c r="A6142" s="3" t="s">
        <v>6186</v>
      </c>
      <c r="C6142">
        <v>7</v>
      </c>
      <c r="X6142">
        <v>2</v>
      </c>
      <c r="AY6142">
        <f t="shared" si="192"/>
        <v>43</v>
      </c>
      <c r="AZ6142">
        <f t="shared" si="193"/>
        <v>3</v>
      </c>
    </row>
    <row r="6143" spans="1:52" ht="55.2">
      <c r="A6143" s="3" t="s">
        <v>6187</v>
      </c>
      <c r="C6143">
        <v>7</v>
      </c>
      <c r="X6143">
        <v>2</v>
      </c>
      <c r="AY6143">
        <f t="shared" si="192"/>
        <v>43</v>
      </c>
      <c r="AZ6143">
        <f t="shared" si="193"/>
        <v>3</v>
      </c>
    </row>
    <row r="6144" spans="1:52" ht="55.2">
      <c r="A6144" s="3" t="s">
        <v>6188</v>
      </c>
      <c r="C6144">
        <v>7</v>
      </c>
      <c r="X6144">
        <v>2</v>
      </c>
      <c r="AY6144">
        <f t="shared" si="192"/>
        <v>43</v>
      </c>
      <c r="AZ6144">
        <f t="shared" si="193"/>
        <v>3</v>
      </c>
    </row>
    <row r="6145" spans="1:52" ht="55.2">
      <c r="A6145" s="3" t="s">
        <v>6189</v>
      </c>
      <c r="C6145">
        <v>7</v>
      </c>
      <c r="X6145">
        <v>2</v>
      </c>
      <c r="AY6145">
        <f t="shared" si="192"/>
        <v>43</v>
      </c>
      <c r="AZ6145">
        <f t="shared" si="193"/>
        <v>3</v>
      </c>
    </row>
    <row r="6146" spans="1:52" ht="55.2">
      <c r="A6146" s="3" t="s">
        <v>6190</v>
      </c>
      <c r="C6146">
        <v>7</v>
      </c>
      <c r="AW6146">
        <v>20</v>
      </c>
      <c r="AY6146">
        <f t="shared" si="192"/>
        <v>43</v>
      </c>
      <c r="AZ6146">
        <f t="shared" si="193"/>
        <v>3</v>
      </c>
    </row>
    <row r="6147" spans="1:52" ht="55.2">
      <c r="A6147" s="3" t="s">
        <v>6191</v>
      </c>
      <c r="C6147">
        <v>7</v>
      </c>
      <c r="AW6147">
        <v>20</v>
      </c>
      <c r="AY6147">
        <f t="shared" si="192"/>
        <v>43</v>
      </c>
      <c r="AZ6147">
        <f t="shared" si="193"/>
        <v>3</v>
      </c>
    </row>
    <row r="6148" spans="1:52" ht="55.2">
      <c r="A6148" s="3" t="s">
        <v>6192</v>
      </c>
      <c r="C6148">
        <v>7</v>
      </c>
      <c r="AW6148">
        <v>20</v>
      </c>
      <c r="AY6148">
        <f t="shared" si="192"/>
        <v>43</v>
      </c>
      <c r="AZ6148">
        <f t="shared" si="193"/>
        <v>3</v>
      </c>
    </row>
    <row r="6149" spans="1:52" ht="55.2">
      <c r="A6149" s="3" t="s">
        <v>6193</v>
      </c>
      <c r="C6149">
        <v>7</v>
      </c>
      <c r="AW6149">
        <v>20</v>
      </c>
      <c r="AY6149">
        <f t="shared" si="192"/>
        <v>43</v>
      </c>
      <c r="AZ6149">
        <f t="shared" si="193"/>
        <v>3</v>
      </c>
    </row>
    <row r="6150" spans="1:52" ht="55.2">
      <c r="A6150" s="3" t="s">
        <v>6194</v>
      </c>
      <c r="C6150">
        <v>7</v>
      </c>
      <c r="J6150">
        <v>62</v>
      </c>
      <c r="AY6150">
        <f t="shared" si="192"/>
        <v>43</v>
      </c>
      <c r="AZ6150">
        <f t="shared" si="193"/>
        <v>3</v>
      </c>
    </row>
    <row r="6151" spans="1:52" ht="55.2">
      <c r="A6151" s="3" t="s">
        <v>6195</v>
      </c>
      <c r="C6151">
        <v>7</v>
      </c>
      <c r="J6151">
        <v>62</v>
      </c>
      <c r="AY6151">
        <f t="shared" si="192"/>
        <v>43</v>
      </c>
      <c r="AZ6151">
        <f t="shared" si="193"/>
        <v>3</v>
      </c>
    </row>
    <row r="6152" spans="1:52" ht="55.2">
      <c r="A6152" s="3" t="s">
        <v>6196</v>
      </c>
      <c r="C6152">
        <v>7</v>
      </c>
      <c r="J6152">
        <v>62</v>
      </c>
      <c r="AY6152">
        <f t="shared" si="192"/>
        <v>43</v>
      </c>
      <c r="AZ6152">
        <f t="shared" si="193"/>
        <v>3</v>
      </c>
    </row>
    <row r="6153" spans="1:52" ht="55.2">
      <c r="A6153" s="3" t="s">
        <v>6197</v>
      </c>
      <c r="C6153">
        <v>7</v>
      </c>
      <c r="J6153">
        <v>62</v>
      </c>
      <c r="AY6153">
        <f t="shared" si="192"/>
        <v>43</v>
      </c>
      <c r="AZ6153">
        <f t="shared" si="193"/>
        <v>3</v>
      </c>
    </row>
    <row r="6154" spans="1:52" ht="55.2">
      <c r="A6154" s="3" t="s">
        <v>6198</v>
      </c>
      <c r="C6154">
        <v>7</v>
      </c>
      <c r="J6154">
        <v>62</v>
      </c>
      <c r="AY6154">
        <f t="shared" si="192"/>
        <v>43</v>
      </c>
      <c r="AZ6154">
        <f t="shared" si="193"/>
        <v>3</v>
      </c>
    </row>
    <row r="6155" spans="1:52" ht="55.2">
      <c r="A6155" s="3" t="s">
        <v>6199</v>
      </c>
      <c r="C6155">
        <v>7</v>
      </c>
      <c r="J6155">
        <v>62</v>
      </c>
      <c r="AY6155">
        <f t="shared" si="192"/>
        <v>43</v>
      </c>
      <c r="AZ6155">
        <f t="shared" si="193"/>
        <v>3</v>
      </c>
    </row>
    <row r="6156" spans="1:52" ht="55.2">
      <c r="A6156" s="3" t="s">
        <v>6200</v>
      </c>
      <c r="C6156">
        <v>7</v>
      </c>
      <c r="J6156">
        <v>62</v>
      </c>
      <c r="AY6156">
        <f t="shared" si="192"/>
        <v>43</v>
      </c>
      <c r="AZ6156">
        <f t="shared" si="193"/>
        <v>3</v>
      </c>
    </row>
    <row r="6157" spans="1:52" ht="55.2">
      <c r="A6157" s="3" t="s">
        <v>6201</v>
      </c>
      <c r="C6157">
        <v>7</v>
      </c>
      <c r="J6157">
        <v>62</v>
      </c>
      <c r="AY6157">
        <f t="shared" si="192"/>
        <v>43</v>
      </c>
      <c r="AZ6157">
        <f t="shared" si="193"/>
        <v>3</v>
      </c>
    </row>
    <row r="6158" spans="1:52" ht="55.2">
      <c r="A6158" s="3" t="s">
        <v>6202</v>
      </c>
      <c r="C6158">
        <v>7</v>
      </c>
      <c r="J6158">
        <v>62</v>
      </c>
      <c r="AY6158">
        <f t="shared" si="192"/>
        <v>43</v>
      </c>
      <c r="AZ6158">
        <f t="shared" si="193"/>
        <v>3</v>
      </c>
    </row>
    <row r="6159" spans="1:52" ht="55.2">
      <c r="A6159" s="3" t="s">
        <v>6203</v>
      </c>
      <c r="C6159">
        <v>7</v>
      </c>
      <c r="J6159">
        <v>62</v>
      </c>
      <c r="AY6159">
        <f t="shared" si="192"/>
        <v>43</v>
      </c>
      <c r="AZ6159">
        <f t="shared" si="193"/>
        <v>3</v>
      </c>
    </row>
    <row r="6160" spans="1:52" ht="55.2">
      <c r="A6160" s="3" t="s">
        <v>6204</v>
      </c>
      <c r="C6160">
        <v>7</v>
      </c>
      <c r="J6160">
        <v>62</v>
      </c>
      <c r="AY6160">
        <f t="shared" si="192"/>
        <v>43</v>
      </c>
      <c r="AZ6160">
        <f t="shared" si="193"/>
        <v>3</v>
      </c>
    </row>
    <row r="6161" spans="1:52" ht="55.2">
      <c r="A6161" s="3" t="s">
        <v>6205</v>
      </c>
      <c r="C6161">
        <v>7</v>
      </c>
      <c r="J6161">
        <v>62</v>
      </c>
      <c r="AY6161">
        <f t="shared" si="192"/>
        <v>43</v>
      </c>
      <c r="AZ6161">
        <f t="shared" si="193"/>
        <v>3</v>
      </c>
    </row>
    <row r="6162" spans="1:52" ht="55.2">
      <c r="A6162" s="3" t="s">
        <v>6206</v>
      </c>
      <c r="C6162">
        <v>7</v>
      </c>
      <c r="J6162">
        <v>62</v>
      </c>
      <c r="AY6162">
        <f t="shared" si="192"/>
        <v>43</v>
      </c>
      <c r="AZ6162">
        <f t="shared" si="193"/>
        <v>3</v>
      </c>
    </row>
    <row r="6163" spans="1:52" ht="55.2">
      <c r="A6163" s="3" t="s">
        <v>6207</v>
      </c>
      <c r="C6163">
        <v>7</v>
      </c>
      <c r="J6163">
        <v>62</v>
      </c>
      <c r="AY6163">
        <f t="shared" si="192"/>
        <v>43</v>
      </c>
      <c r="AZ6163">
        <f t="shared" si="193"/>
        <v>3</v>
      </c>
    </row>
    <row r="6164" spans="1:52" ht="55.2">
      <c r="A6164" s="3" t="s">
        <v>6208</v>
      </c>
      <c r="C6164">
        <v>7</v>
      </c>
      <c r="J6164">
        <v>62</v>
      </c>
      <c r="AY6164">
        <f t="shared" si="192"/>
        <v>43</v>
      </c>
      <c r="AZ6164">
        <f t="shared" si="193"/>
        <v>3</v>
      </c>
    </row>
    <row r="6165" spans="1:52" ht="55.2">
      <c r="A6165" s="3" t="s">
        <v>6209</v>
      </c>
      <c r="C6165">
        <v>7</v>
      </c>
      <c r="J6165">
        <v>62</v>
      </c>
      <c r="AY6165">
        <f t="shared" si="192"/>
        <v>43</v>
      </c>
      <c r="AZ6165">
        <f t="shared" si="193"/>
        <v>3</v>
      </c>
    </row>
    <row r="6166" spans="1:52" ht="55.2">
      <c r="A6166" s="3" t="s">
        <v>6210</v>
      </c>
      <c r="C6166">
        <v>7</v>
      </c>
      <c r="J6166">
        <v>62</v>
      </c>
      <c r="AY6166">
        <f t="shared" si="192"/>
        <v>43</v>
      </c>
      <c r="AZ6166">
        <f t="shared" si="193"/>
        <v>3</v>
      </c>
    </row>
    <row r="6167" spans="1:52" ht="55.2">
      <c r="A6167" s="3" t="s">
        <v>6211</v>
      </c>
      <c r="C6167">
        <v>7</v>
      </c>
      <c r="J6167">
        <v>62</v>
      </c>
      <c r="AY6167">
        <f t="shared" si="192"/>
        <v>43</v>
      </c>
      <c r="AZ6167">
        <f t="shared" si="193"/>
        <v>3</v>
      </c>
    </row>
    <row r="6168" spans="1:52" ht="55.2">
      <c r="A6168" s="3" t="s">
        <v>6212</v>
      </c>
      <c r="C6168">
        <v>7</v>
      </c>
      <c r="J6168">
        <v>62</v>
      </c>
      <c r="AY6168">
        <f t="shared" si="192"/>
        <v>43</v>
      </c>
      <c r="AZ6168">
        <f t="shared" si="193"/>
        <v>3</v>
      </c>
    </row>
    <row r="6169" spans="1:52" ht="55.2">
      <c r="A6169" s="3" t="s">
        <v>6213</v>
      </c>
      <c r="C6169">
        <v>7</v>
      </c>
      <c r="J6169">
        <v>62</v>
      </c>
      <c r="AY6169">
        <f t="shared" si="192"/>
        <v>43</v>
      </c>
      <c r="AZ6169">
        <f t="shared" si="193"/>
        <v>3</v>
      </c>
    </row>
    <row r="6170" spans="1:52" ht="55.2">
      <c r="A6170" s="3" t="s">
        <v>6214</v>
      </c>
      <c r="C6170">
        <v>7</v>
      </c>
      <c r="J6170">
        <v>62</v>
      </c>
      <c r="AY6170">
        <f t="shared" si="192"/>
        <v>43</v>
      </c>
      <c r="AZ6170">
        <f t="shared" si="193"/>
        <v>3</v>
      </c>
    </row>
    <row r="6171" spans="1:52" ht="55.2">
      <c r="A6171" s="3" t="s">
        <v>6215</v>
      </c>
      <c r="C6171">
        <v>7</v>
      </c>
      <c r="J6171">
        <v>62</v>
      </c>
      <c r="AY6171">
        <f t="shared" si="192"/>
        <v>43</v>
      </c>
      <c r="AZ6171">
        <f t="shared" si="193"/>
        <v>3</v>
      </c>
    </row>
    <row r="6172" spans="1:52" ht="55.2">
      <c r="A6172" s="3" t="s">
        <v>6216</v>
      </c>
      <c r="C6172">
        <v>7</v>
      </c>
      <c r="J6172">
        <v>62</v>
      </c>
      <c r="AY6172">
        <f t="shared" si="192"/>
        <v>43</v>
      </c>
      <c r="AZ6172">
        <f t="shared" si="193"/>
        <v>3</v>
      </c>
    </row>
    <row r="6173" spans="1:52" ht="55.2">
      <c r="A6173" s="3" t="s">
        <v>6217</v>
      </c>
      <c r="C6173">
        <v>7</v>
      </c>
      <c r="J6173">
        <v>62</v>
      </c>
      <c r="AY6173">
        <f t="shared" si="192"/>
        <v>43</v>
      </c>
      <c r="AZ6173">
        <f t="shared" si="193"/>
        <v>3</v>
      </c>
    </row>
    <row r="6174" spans="1:52" ht="55.2">
      <c r="A6174" s="3" t="s">
        <v>6218</v>
      </c>
      <c r="C6174">
        <v>7</v>
      </c>
      <c r="J6174">
        <v>62</v>
      </c>
      <c r="AY6174">
        <f t="shared" si="192"/>
        <v>43</v>
      </c>
      <c r="AZ6174">
        <f t="shared" si="193"/>
        <v>3</v>
      </c>
    </row>
    <row r="6175" spans="1:52" ht="55.2">
      <c r="A6175" s="3" t="s">
        <v>6219</v>
      </c>
      <c r="C6175">
        <v>7</v>
      </c>
      <c r="J6175">
        <v>62</v>
      </c>
      <c r="AY6175">
        <f t="shared" si="192"/>
        <v>43</v>
      </c>
      <c r="AZ6175">
        <f t="shared" si="193"/>
        <v>3</v>
      </c>
    </row>
    <row r="6176" spans="1:52" ht="55.2">
      <c r="A6176" s="3" t="s">
        <v>6220</v>
      </c>
      <c r="C6176">
        <v>7</v>
      </c>
      <c r="J6176">
        <v>62</v>
      </c>
      <c r="AY6176">
        <f t="shared" si="192"/>
        <v>43</v>
      </c>
      <c r="AZ6176">
        <f t="shared" si="193"/>
        <v>3</v>
      </c>
    </row>
    <row r="6177" spans="1:52" ht="55.2">
      <c r="A6177" s="3" t="s">
        <v>6221</v>
      </c>
      <c r="C6177">
        <v>7</v>
      </c>
      <c r="J6177">
        <v>62</v>
      </c>
      <c r="AY6177">
        <f t="shared" ref="AY6177:AY6240" si="194">COUNTBLANK(F6177:AW6177)</f>
        <v>43</v>
      </c>
      <c r="AZ6177">
        <f t="shared" ref="AZ6177:AZ6240" si="195">COUNTBLANK(B6177:E6177)</f>
        <v>3</v>
      </c>
    </row>
    <row r="6178" spans="1:52" ht="55.2">
      <c r="A6178" s="3" t="s">
        <v>6222</v>
      </c>
      <c r="C6178">
        <v>7</v>
      </c>
      <c r="J6178">
        <v>62</v>
      </c>
      <c r="AY6178">
        <f t="shared" si="194"/>
        <v>43</v>
      </c>
      <c r="AZ6178">
        <f t="shared" si="195"/>
        <v>3</v>
      </c>
    </row>
    <row r="6179" spans="1:52" ht="55.2">
      <c r="A6179" s="3" t="s">
        <v>6223</v>
      </c>
      <c r="C6179">
        <v>7</v>
      </c>
      <c r="J6179">
        <v>62</v>
      </c>
      <c r="AY6179">
        <f t="shared" si="194"/>
        <v>43</v>
      </c>
      <c r="AZ6179">
        <f t="shared" si="195"/>
        <v>3</v>
      </c>
    </row>
    <row r="6180" spans="1:52" ht="55.2">
      <c r="A6180" s="3" t="s">
        <v>6224</v>
      </c>
      <c r="C6180">
        <v>7</v>
      </c>
      <c r="J6180">
        <v>62</v>
      </c>
      <c r="AY6180">
        <f t="shared" si="194"/>
        <v>43</v>
      </c>
      <c r="AZ6180">
        <f t="shared" si="195"/>
        <v>3</v>
      </c>
    </row>
    <row r="6181" spans="1:52" ht="55.2">
      <c r="A6181" s="3" t="s">
        <v>6225</v>
      </c>
      <c r="C6181">
        <v>7</v>
      </c>
      <c r="J6181">
        <v>62</v>
      </c>
      <c r="AY6181">
        <f t="shared" si="194"/>
        <v>43</v>
      </c>
      <c r="AZ6181">
        <f t="shared" si="195"/>
        <v>3</v>
      </c>
    </row>
    <row r="6182" spans="1:52" ht="55.2">
      <c r="A6182" s="3" t="s">
        <v>6226</v>
      </c>
      <c r="B6182">
        <v>7</v>
      </c>
      <c r="C6182">
        <v>7</v>
      </c>
      <c r="J6182">
        <v>62</v>
      </c>
      <c r="AY6182">
        <f t="shared" si="194"/>
        <v>43</v>
      </c>
      <c r="AZ6182">
        <f t="shared" si="195"/>
        <v>2</v>
      </c>
    </row>
    <row r="6183" spans="1:52" ht="55.2">
      <c r="A6183" s="3" t="s">
        <v>6227</v>
      </c>
      <c r="B6183">
        <v>7</v>
      </c>
      <c r="C6183">
        <v>7</v>
      </c>
      <c r="J6183">
        <v>62</v>
      </c>
      <c r="AY6183">
        <f t="shared" si="194"/>
        <v>43</v>
      </c>
      <c r="AZ6183">
        <f t="shared" si="195"/>
        <v>2</v>
      </c>
    </row>
    <row r="6184" spans="1:52" ht="55.2">
      <c r="A6184" s="3" t="s">
        <v>6228</v>
      </c>
      <c r="B6184">
        <v>7</v>
      </c>
      <c r="C6184">
        <v>7</v>
      </c>
      <c r="J6184">
        <v>62</v>
      </c>
      <c r="AY6184">
        <f t="shared" si="194"/>
        <v>43</v>
      </c>
      <c r="AZ6184">
        <f t="shared" si="195"/>
        <v>2</v>
      </c>
    </row>
    <row r="6185" spans="1:52" ht="55.2">
      <c r="A6185" s="3" t="s">
        <v>6229</v>
      </c>
      <c r="B6185">
        <v>7</v>
      </c>
      <c r="C6185">
        <v>7</v>
      </c>
      <c r="J6185">
        <v>62</v>
      </c>
      <c r="AY6185">
        <f t="shared" si="194"/>
        <v>43</v>
      </c>
      <c r="AZ6185">
        <f t="shared" si="195"/>
        <v>2</v>
      </c>
    </row>
    <row r="6186" spans="1:52" ht="55.2">
      <c r="A6186" s="3" t="s">
        <v>6230</v>
      </c>
      <c r="B6186">
        <v>7</v>
      </c>
      <c r="C6186">
        <v>7</v>
      </c>
      <c r="J6186">
        <v>62</v>
      </c>
      <c r="AY6186">
        <f t="shared" si="194"/>
        <v>43</v>
      </c>
      <c r="AZ6186">
        <f t="shared" si="195"/>
        <v>2</v>
      </c>
    </row>
    <row r="6187" spans="1:52" ht="55.2">
      <c r="A6187" s="3" t="s">
        <v>6231</v>
      </c>
      <c r="B6187">
        <v>7</v>
      </c>
      <c r="C6187">
        <v>7</v>
      </c>
      <c r="J6187">
        <v>62</v>
      </c>
      <c r="AY6187">
        <f t="shared" si="194"/>
        <v>43</v>
      </c>
      <c r="AZ6187">
        <f t="shared" si="195"/>
        <v>2</v>
      </c>
    </row>
    <row r="6188" spans="1:52" ht="55.2">
      <c r="A6188" s="3" t="s">
        <v>6232</v>
      </c>
      <c r="B6188">
        <v>7</v>
      </c>
      <c r="C6188">
        <v>7</v>
      </c>
      <c r="J6188">
        <v>62</v>
      </c>
      <c r="AY6188">
        <f t="shared" si="194"/>
        <v>43</v>
      </c>
      <c r="AZ6188">
        <f t="shared" si="195"/>
        <v>2</v>
      </c>
    </row>
    <row r="6189" spans="1:52" ht="55.2">
      <c r="A6189" s="3" t="s">
        <v>6233</v>
      </c>
      <c r="B6189">
        <v>7</v>
      </c>
      <c r="C6189">
        <v>7</v>
      </c>
      <c r="J6189">
        <v>62</v>
      </c>
      <c r="AY6189">
        <f t="shared" si="194"/>
        <v>43</v>
      </c>
      <c r="AZ6189">
        <f t="shared" si="195"/>
        <v>2</v>
      </c>
    </row>
    <row r="6190" spans="1:52" ht="55.2">
      <c r="A6190" s="3" t="s">
        <v>6234</v>
      </c>
      <c r="B6190">
        <v>7</v>
      </c>
      <c r="C6190">
        <v>7</v>
      </c>
      <c r="J6190">
        <v>62</v>
      </c>
      <c r="AY6190">
        <f t="shared" si="194"/>
        <v>43</v>
      </c>
      <c r="AZ6190">
        <f t="shared" si="195"/>
        <v>2</v>
      </c>
    </row>
    <row r="6191" spans="1:52" ht="55.2">
      <c r="A6191" s="3" t="s">
        <v>6235</v>
      </c>
      <c r="B6191">
        <v>7</v>
      </c>
      <c r="C6191">
        <v>7</v>
      </c>
      <c r="J6191">
        <v>62</v>
      </c>
      <c r="AY6191">
        <f t="shared" si="194"/>
        <v>43</v>
      </c>
      <c r="AZ6191">
        <f t="shared" si="195"/>
        <v>2</v>
      </c>
    </row>
    <row r="6192" spans="1:52" ht="55.2">
      <c r="A6192" s="3" t="s">
        <v>6236</v>
      </c>
      <c r="B6192">
        <v>7</v>
      </c>
      <c r="C6192">
        <v>7</v>
      </c>
      <c r="J6192">
        <v>62</v>
      </c>
      <c r="AY6192">
        <f t="shared" si="194"/>
        <v>43</v>
      </c>
      <c r="AZ6192">
        <f t="shared" si="195"/>
        <v>2</v>
      </c>
    </row>
    <row r="6193" spans="1:52" ht="55.2">
      <c r="A6193" s="3" t="s">
        <v>6237</v>
      </c>
      <c r="B6193">
        <v>7</v>
      </c>
      <c r="C6193">
        <v>7</v>
      </c>
      <c r="AV6193">
        <v>11</v>
      </c>
      <c r="AY6193">
        <f t="shared" si="194"/>
        <v>43</v>
      </c>
      <c r="AZ6193">
        <f t="shared" si="195"/>
        <v>2</v>
      </c>
    </row>
    <row r="6194" spans="1:52" ht="55.2">
      <c r="A6194" s="3" t="s">
        <v>6238</v>
      </c>
      <c r="B6194">
        <v>7</v>
      </c>
      <c r="C6194">
        <v>7</v>
      </c>
      <c r="AV6194">
        <v>11</v>
      </c>
      <c r="AY6194">
        <f t="shared" si="194"/>
        <v>43</v>
      </c>
      <c r="AZ6194">
        <f t="shared" si="195"/>
        <v>2</v>
      </c>
    </row>
    <row r="6195" spans="1:52" ht="55.2">
      <c r="A6195" s="3" t="s">
        <v>6239</v>
      </c>
      <c r="B6195">
        <v>7</v>
      </c>
      <c r="C6195">
        <v>7</v>
      </c>
      <c r="AV6195">
        <v>11</v>
      </c>
      <c r="AY6195">
        <f t="shared" si="194"/>
        <v>43</v>
      </c>
      <c r="AZ6195">
        <f t="shared" si="195"/>
        <v>2</v>
      </c>
    </row>
    <row r="6196" spans="1:52" ht="55.2">
      <c r="A6196" s="3" t="s">
        <v>6240</v>
      </c>
      <c r="B6196">
        <v>7</v>
      </c>
      <c r="C6196">
        <v>7</v>
      </c>
      <c r="AV6196">
        <v>11</v>
      </c>
      <c r="AY6196">
        <f t="shared" si="194"/>
        <v>43</v>
      </c>
      <c r="AZ6196">
        <f t="shared" si="195"/>
        <v>2</v>
      </c>
    </row>
    <row r="6197" spans="1:52" ht="55.2">
      <c r="A6197" s="3" t="s">
        <v>6241</v>
      </c>
      <c r="B6197">
        <v>7</v>
      </c>
      <c r="C6197">
        <v>7</v>
      </c>
      <c r="AV6197">
        <v>11</v>
      </c>
      <c r="AY6197">
        <f t="shared" si="194"/>
        <v>43</v>
      </c>
      <c r="AZ6197">
        <f t="shared" si="195"/>
        <v>2</v>
      </c>
    </row>
    <row r="6198" spans="1:52" ht="55.2">
      <c r="A6198" s="3" t="s">
        <v>6242</v>
      </c>
      <c r="B6198">
        <v>7</v>
      </c>
      <c r="C6198">
        <v>7</v>
      </c>
      <c r="AV6198">
        <v>11</v>
      </c>
      <c r="AY6198">
        <f t="shared" si="194"/>
        <v>43</v>
      </c>
      <c r="AZ6198">
        <f t="shared" si="195"/>
        <v>2</v>
      </c>
    </row>
    <row r="6199" spans="1:52" ht="55.2">
      <c r="A6199" s="3" t="s">
        <v>6243</v>
      </c>
      <c r="B6199">
        <v>7</v>
      </c>
      <c r="C6199">
        <v>7</v>
      </c>
      <c r="J6199">
        <v>63</v>
      </c>
      <c r="AY6199">
        <f t="shared" si="194"/>
        <v>43</v>
      </c>
      <c r="AZ6199">
        <f t="shared" si="195"/>
        <v>2</v>
      </c>
    </row>
    <row r="6200" spans="1:52" ht="55.2">
      <c r="A6200" s="3" t="s">
        <v>6244</v>
      </c>
      <c r="B6200">
        <v>7</v>
      </c>
      <c r="C6200">
        <v>7</v>
      </c>
      <c r="J6200">
        <v>63</v>
      </c>
      <c r="AY6200">
        <f t="shared" si="194"/>
        <v>43</v>
      </c>
      <c r="AZ6200">
        <f t="shared" si="195"/>
        <v>2</v>
      </c>
    </row>
    <row r="6201" spans="1:52" ht="55.2">
      <c r="A6201" s="3" t="s">
        <v>6245</v>
      </c>
      <c r="B6201">
        <v>7</v>
      </c>
      <c r="J6201">
        <v>63</v>
      </c>
      <c r="AY6201">
        <f t="shared" si="194"/>
        <v>43</v>
      </c>
      <c r="AZ6201">
        <f t="shared" si="195"/>
        <v>3</v>
      </c>
    </row>
    <row r="6202" spans="1:52" ht="55.2">
      <c r="A6202" s="3" t="s">
        <v>6246</v>
      </c>
      <c r="B6202">
        <v>7</v>
      </c>
      <c r="J6202">
        <v>63</v>
      </c>
      <c r="AY6202">
        <f t="shared" si="194"/>
        <v>43</v>
      </c>
      <c r="AZ6202">
        <f t="shared" si="195"/>
        <v>3</v>
      </c>
    </row>
    <row r="6203" spans="1:52" ht="55.2">
      <c r="A6203" s="3" t="s">
        <v>6247</v>
      </c>
      <c r="B6203">
        <v>7</v>
      </c>
      <c r="J6203">
        <v>63</v>
      </c>
      <c r="AY6203">
        <f t="shared" si="194"/>
        <v>43</v>
      </c>
      <c r="AZ6203">
        <f t="shared" si="195"/>
        <v>3</v>
      </c>
    </row>
    <row r="6204" spans="1:52" ht="55.2">
      <c r="A6204" s="3" t="s">
        <v>6248</v>
      </c>
      <c r="B6204">
        <v>7</v>
      </c>
      <c r="J6204">
        <v>63</v>
      </c>
      <c r="AY6204">
        <f t="shared" si="194"/>
        <v>43</v>
      </c>
      <c r="AZ6204">
        <f t="shared" si="195"/>
        <v>3</v>
      </c>
    </row>
    <row r="6205" spans="1:52" ht="55.2">
      <c r="A6205" s="3" t="s">
        <v>6249</v>
      </c>
      <c r="B6205">
        <v>7</v>
      </c>
      <c r="P6205">
        <v>3</v>
      </c>
      <c r="AY6205">
        <f t="shared" si="194"/>
        <v>43</v>
      </c>
      <c r="AZ6205">
        <f t="shared" si="195"/>
        <v>3</v>
      </c>
    </row>
    <row r="6206" spans="1:52" ht="55.2">
      <c r="A6206" s="3" t="s">
        <v>6250</v>
      </c>
      <c r="B6206">
        <v>7</v>
      </c>
      <c r="P6206">
        <v>3</v>
      </c>
      <c r="AY6206">
        <f t="shared" si="194"/>
        <v>43</v>
      </c>
      <c r="AZ6206">
        <f t="shared" si="195"/>
        <v>3</v>
      </c>
    </row>
    <row r="6207" spans="1:52" ht="55.2">
      <c r="A6207" s="3" t="s">
        <v>6251</v>
      </c>
      <c r="B6207">
        <v>7</v>
      </c>
      <c r="P6207">
        <v>3</v>
      </c>
      <c r="AY6207">
        <f t="shared" si="194"/>
        <v>43</v>
      </c>
      <c r="AZ6207">
        <f t="shared" si="195"/>
        <v>3</v>
      </c>
    </row>
    <row r="6208" spans="1:52" ht="55.2">
      <c r="A6208" s="3" t="s">
        <v>6252</v>
      </c>
      <c r="B6208">
        <v>7</v>
      </c>
      <c r="P6208">
        <v>3</v>
      </c>
      <c r="AY6208">
        <f t="shared" si="194"/>
        <v>43</v>
      </c>
      <c r="AZ6208">
        <f t="shared" si="195"/>
        <v>3</v>
      </c>
    </row>
    <row r="6209" spans="1:52" ht="55.2">
      <c r="A6209" s="3" t="s">
        <v>6253</v>
      </c>
      <c r="B6209">
        <v>7</v>
      </c>
      <c r="P6209">
        <v>3</v>
      </c>
      <c r="AY6209">
        <f t="shared" si="194"/>
        <v>43</v>
      </c>
      <c r="AZ6209">
        <f t="shared" si="195"/>
        <v>3</v>
      </c>
    </row>
    <row r="6210" spans="1:52" ht="55.2">
      <c r="A6210" s="3" t="s">
        <v>6254</v>
      </c>
      <c r="B6210">
        <v>7</v>
      </c>
      <c r="P6210">
        <v>3</v>
      </c>
      <c r="AY6210">
        <f t="shared" si="194"/>
        <v>43</v>
      </c>
      <c r="AZ6210">
        <f t="shared" si="195"/>
        <v>3</v>
      </c>
    </row>
    <row r="6211" spans="1:52" ht="55.2">
      <c r="A6211" s="3" t="s">
        <v>6255</v>
      </c>
      <c r="B6211">
        <v>7</v>
      </c>
      <c r="P6211">
        <v>3</v>
      </c>
      <c r="AY6211">
        <f t="shared" si="194"/>
        <v>43</v>
      </c>
      <c r="AZ6211">
        <f t="shared" si="195"/>
        <v>3</v>
      </c>
    </row>
    <row r="6212" spans="1:52" ht="55.2">
      <c r="A6212" s="3" t="s">
        <v>6256</v>
      </c>
      <c r="B6212">
        <v>7</v>
      </c>
      <c r="P6212">
        <v>3</v>
      </c>
      <c r="AY6212">
        <f t="shared" si="194"/>
        <v>43</v>
      </c>
      <c r="AZ6212">
        <f t="shared" si="195"/>
        <v>3</v>
      </c>
    </row>
    <row r="6213" spans="1:52" ht="55.2">
      <c r="A6213" s="3" t="s">
        <v>6257</v>
      </c>
      <c r="B6213">
        <v>7</v>
      </c>
      <c r="P6213">
        <v>3</v>
      </c>
      <c r="AY6213">
        <f t="shared" si="194"/>
        <v>43</v>
      </c>
      <c r="AZ6213">
        <f t="shared" si="195"/>
        <v>3</v>
      </c>
    </row>
    <row r="6214" spans="1:52" ht="55.2">
      <c r="A6214" s="3" t="s">
        <v>6258</v>
      </c>
      <c r="B6214">
        <v>7</v>
      </c>
      <c r="P6214">
        <v>3</v>
      </c>
      <c r="AY6214">
        <f t="shared" si="194"/>
        <v>43</v>
      </c>
      <c r="AZ6214">
        <f t="shared" si="195"/>
        <v>3</v>
      </c>
    </row>
    <row r="6215" spans="1:52" ht="55.2">
      <c r="A6215" s="3" t="s">
        <v>6259</v>
      </c>
      <c r="B6215">
        <v>7</v>
      </c>
      <c r="P6215">
        <v>3</v>
      </c>
      <c r="AY6215">
        <f t="shared" si="194"/>
        <v>43</v>
      </c>
      <c r="AZ6215">
        <f t="shared" si="195"/>
        <v>3</v>
      </c>
    </row>
    <row r="6216" spans="1:52" ht="55.2">
      <c r="A6216" s="3" t="s">
        <v>6260</v>
      </c>
      <c r="B6216">
        <v>7</v>
      </c>
      <c r="P6216">
        <v>3</v>
      </c>
      <c r="AY6216">
        <f t="shared" si="194"/>
        <v>43</v>
      </c>
      <c r="AZ6216">
        <f t="shared" si="195"/>
        <v>3</v>
      </c>
    </row>
    <row r="6217" spans="1:52" ht="55.2">
      <c r="A6217" s="3" t="s">
        <v>6261</v>
      </c>
      <c r="B6217">
        <v>7</v>
      </c>
      <c r="P6217">
        <v>3</v>
      </c>
      <c r="AY6217">
        <f t="shared" si="194"/>
        <v>43</v>
      </c>
      <c r="AZ6217">
        <f t="shared" si="195"/>
        <v>3</v>
      </c>
    </row>
    <row r="6218" spans="1:52" ht="55.2">
      <c r="A6218" s="3" t="s">
        <v>6262</v>
      </c>
      <c r="B6218">
        <v>7</v>
      </c>
      <c r="P6218">
        <v>3</v>
      </c>
      <c r="AY6218">
        <f t="shared" si="194"/>
        <v>43</v>
      </c>
      <c r="AZ6218">
        <f t="shared" si="195"/>
        <v>3</v>
      </c>
    </row>
    <row r="6219" spans="1:52" ht="55.2">
      <c r="A6219" s="3" t="s">
        <v>6263</v>
      </c>
      <c r="B6219">
        <v>7</v>
      </c>
      <c r="P6219">
        <v>3</v>
      </c>
      <c r="AY6219">
        <f t="shared" si="194"/>
        <v>43</v>
      </c>
      <c r="AZ6219">
        <f t="shared" si="195"/>
        <v>3</v>
      </c>
    </row>
    <row r="6220" spans="1:52" ht="55.2">
      <c r="A6220" s="3" t="s">
        <v>6264</v>
      </c>
      <c r="B6220">
        <v>7</v>
      </c>
      <c r="P6220">
        <v>3</v>
      </c>
      <c r="AY6220">
        <f t="shared" si="194"/>
        <v>43</v>
      </c>
      <c r="AZ6220">
        <f t="shared" si="195"/>
        <v>3</v>
      </c>
    </row>
    <row r="6221" spans="1:52" ht="55.2">
      <c r="A6221" s="3" t="s">
        <v>6265</v>
      </c>
      <c r="B6221">
        <v>7</v>
      </c>
      <c r="P6221">
        <v>3</v>
      </c>
      <c r="AY6221">
        <f t="shared" si="194"/>
        <v>43</v>
      </c>
      <c r="AZ6221">
        <f t="shared" si="195"/>
        <v>3</v>
      </c>
    </row>
    <row r="6222" spans="1:52" ht="55.2">
      <c r="A6222" s="3" t="s">
        <v>6266</v>
      </c>
      <c r="B6222">
        <v>7</v>
      </c>
      <c r="P6222">
        <v>3</v>
      </c>
      <c r="AY6222">
        <f t="shared" si="194"/>
        <v>43</v>
      </c>
      <c r="AZ6222">
        <f t="shared" si="195"/>
        <v>3</v>
      </c>
    </row>
    <row r="6223" spans="1:52" ht="55.2">
      <c r="A6223" s="3" t="s">
        <v>6267</v>
      </c>
      <c r="B6223">
        <v>7</v>
      </c>
      <c r="P6223">
        <v>3</v>
      </c>
      <c r="AY6223">
        <f t="shared" si="194"/>
        <v>43</v>
      </c>
      <c r="AZ6223">
        <f t="shared" si="195"/>
        <v>3</v>
      </c>
    </row>
    <row r="6224" spans="1:52" ht="55.2">
      <c r="A6224" s="3" t="s">
        <v>6268</v>
      </c>
      <c r="B6224">
        <v>7</v>
      </c>
      <c r="P6224">
        <v>3</v>
      </c>
      <c r="AY6224">
        <f t="shared" si="194"/>
        <v>43</v>
      </c>
      <c r="AZ6224">
        <f t="shared" si="195"/>
        <v>3</v>
      </c>
    </row>
    <row r="6225" spans="1:52" ht="55.2">
      <c r="A6225" s="3" t="s">
        <v>6269</v>
      </c>
      <c r="B6225">
        <v>7</v>
      </c>
      <c r="P6225">
        <v>3</v>
      </c>
      <c r="AY6225">
        <f t="shared" si="194"/>
        <v>43</v>
      </c>
      <c r="AZ6225">
        <f t="shared" si="195"/>
        <v>3</v>
      </c>
    </row>
    <row r="6226" spans="1:52" ht="55.2">
      <c r="A6226" s="3" t="s">
        <v>6270</v>
      </c>
      <c r="B6226">
        <v>7</v>
      </c>
      <c r="P6226">
        <v>3</v>
      </c>
      <c r="AY6226">
        <f t="shared" si="194"/>
        <v>43</v>
      </c>
      <c r="AZ6226">
        <f t="shared" si="195"/>
        <v>3</v>
      </c>
    </row>
    <row r="6227" spans="1:52" ht="55.2">
      <c r="A6227" s="3" t="s">
        <v>6271</v>
      </c>
      <c r="B6227">
        <v>7</v>
      </c>
      <c r="P6227">
        <v>3</v>
      </c>
      <c r="AY6227">
        <f t="shared" si="194"/>
        <v>43</v>
      </c>
      <c r="AZ6227">
        <f t="shared" si="195"/>
        <v>3</v>
      </c>
    </row>
    <row r="6228" spans="1:52" ht="55.2">
      <c r="A6228" s="3" t="s">
        <v>6272</v>
      </c>
      <c r="B6228">
        <v>7</v>
      </c>
      <c r="P6228">
        <v>3</v>
      </c>
      <c r="AY6228">
        <f t="shared" si="194"/>
        <v>43</v>
      </c>
      <c r="AZ6228">
        <f t="shared" si="195"/>
        <v>3</v>
      </c>
    </row>
    <row r="6229" spans="1:52" ht="55.2">
      <c r="A6229" s="3" t="s">
        <v>6273</v>
      </c>
      <c r="B6229">
        <v>7</v>
      </c>
      <c r="P6229">
        <v>3</v>
      </c>
      <c r="AY6229">
        <f t="shared" si="194"/>
        <v>43</v>
      </c>
      <c r="AZ6229">
        <f t="shared" si="195"/>
        <v>3</v>
      </c>
    </row>
    <row r="6230" spans="1:52" ht="55.2">
      <c r="A6230" s="3" t="s">
        <v>6274</v>
      </c>
      <c r="B6230">
        <v>7</v>
      </c>
      <c r="P6230">
        <v>3</v>
      </c>
      <c r="AY6230">
        <f t="shared" si="194"/>
        <v>43</v>
      </c>
      <c r="AZ6230">
        <f t="shared" si="195"/>
        <v>3</v>
      </c>
    </row>
    <row r="6231" spans="1:52" ht="55.2">
      <c r="A6231" s="3" t="s">
        <v>6275</v>
      </c>
      <c r="B6231">
        <v>7</v>
      </c>
      <c r="P6231">
        <v>3</v>
      </c>
      <c r="AY6231">
        <f t="shared" si="194"/>
        <v>43</v>
      </c>
      <c r="AZ6231">
        <f t="shared" si="195"/>
        <v>3</v>
      </c>
    </row>
    <row r="6232" spans="1:52" ht="55.2">
      <c r="A6232" s="3" t="s">
        <v>6276</v>
      </c>
      <c r="B6232">
        <v>7</v>
      </c>
      <c r="P6232">
        <v>3</v>
      </c>
      <c r="AY6232">
        <f t="shared" si="194"/>
        <v>43</v>
      </c>
      <c r="AZ6232">
        <f t="shared" si="195"/>
        <v>3</v>
      </c>
    </row>
    <row r="6233" spans="1:52" ht="55.2">
      <c r="A6233" s="3" t="s">
        <v>6277</v>
      </c>
      <c r="B6233">
        <v>7</v>
      </c>
      <c r="AW6233">
        <v>21</v>
      </c>
      <c r="AY6233">
        <f t="shared" si="194"/>
        <v>43</v>
      </c>
      <c r="AZ6233">
        <f t="shared" si="195"/>
        <v>3</v>
      </c>
    </row>
    <row r="6234" spans="1:52" ht="55.2">
      <c r="A6234" s="3" t="s">
        <v>6278</v>
      </c>
      <c r="B6234">
        <v>7</v>
      </c>
      <c r="AW6234">
        <v>21</v>
      </c>
      <c r="AY6234">
        <f t="shared" si="194"/>
        <v>43</v>
      </c>
      <c r="AZ6234">
        <f t="shared" si="195"/>
        <v>3</v>
      </c>
    </row>
    <row r="6235" spans="1:52" ht="55.2">
      <c r="A6235" s="3" t="s">
        <v>6279</v>
      </c>
      <c r="B6235">
        <v>7</v>
      </c>
      <c r="J6235">
        <v>64</v>
      </c>
      <c r="AY6235">
        <f t="shared" si="194"/>
        <v>43</v>
      </c>
      <c r="AZ6235">
        <f t="shared" si="195"/>
        <v>3</v>
      </c>
    </row>
    <row r="6236" spans="1:52" ht="55.2">
      <c r="A6236" s="3" t="s">
        <v>6280</v>
      </c>
      <c r="B6236">
        <v>7</v>
      </c>
      <c r="J6236">
        <v>64</v>
      </c>
      <c r="AY6236">
        <f t="shared" si="194"/>
        <v>43</v>
      </c>
      <c r="AZ6236">
        <f t="shared" si="195"/>
        <v>3</v>
      </c>
    </row>
    <row r="6237" spans="1:52" ht="55.2">
      <c r="A6237" s="3" t="s">
        <v>6281</v>
      </c>
      <c r="B6237">
        <v>7</v>
      </c>
      <c r="J6237">
        <v>64</v>
      </c>
      <c r="AY6237">
        <f t="shared" si="194"/>
        <v>43</v>
      </c>
      <c r="AZ6237">
        <f t="shared" si="195"/>
        <v>3</v>
      </c>
    </row>
    <row r="6238" spans="1:52" ht="55.2">
      <c r="A6238" s="3" t="s">
        <v>6282</v>
      </c>
      <c r="B6238">
        <v>7</v>
      </c>
      <c r="J6238">
        <v>64</v>
      </c>
      <c r="AY6238">
        <f t="shared" si="194"/>
        <v>43</v>
      </c>
      <c r="AZ6238">
        <f t="shared" si="195"/>
        <v>3</v>
      </c>
    </row>
    <row r="6239" spans="1:52" ht="55.2">
      <c r="A6239" s="3" t="s">
        <v>6283</v>
      </c>
      <c r="B6239">
        <v>7</v>
      </c>
      <c r="J6239">
        <v>64</v>
      </c>
      <c r="AY6239">
        <f t="shared" si="194"/>
        <v>43</v>
      </c>
      <c r="AZ6239">
        <f t="shared" si="195"/>
        <v>3</v>
      </c>
    </row>
    <row r="6240" spans="1:52" ht="55.2">
      <c r="A6240" s="3" t="s">
        <v>6284</v>
      </c>
      <c r="B6240">
        <v>7</v>
      </c>
      <c r="J6240">
        <v>64</v>
      </c>
      <c r="AY6240">
        <f t="shared" si="194"/>
        <v>43</v>
      </c>
      <c r="AZ6240">
        <f t="shared" si="195"/>
        <v>3</v>
      </c>
    </row>
    <row r="6241" spans="1:52" ht="55.2">
      <c r="A6241" s="3" t="s">
        <v>6285</v>
      </c>
      <c r="B6241">
        <v>7</v>
      </c>
      <c r="J6241">
        <v>64</v>
      </c>
      <c r="AY6241">
        <f t="shared" ref="AY6241:AY6304" si="196">COUNTBLANK(F6241:AW6241)</f>
        <v>43</v>
      </c>
      <c r="AZ6241">
        <f t="shared" ref="AZ6241:AZ6304" si="197">COUNTBLANK(B6241:E6241)</f>
        <v>3</v>
      </c>
    </row>
    <row r="6242" spans="1:52" ht="55.2">
      <c r="A6242" s="3" t="s">
        <v>6286</v>
      </c>
      <c r="B6242">
        <v>7</v>
      </c>
      <c r="J6242">
        <v>64</v>
      </c>
      <c r="AY6242">
        <f t="shared" si="196"/>
        <v>43</v>
      </c>
      <c r="AZ6242">
        <f t="shared" si="197"/>
        <v>3</v>
      </c>
    </row>
    <row r="6243" spans="1:52" ht="55.2">
      <c r="A6243" s="3" t="s">
        <v>6287</v>
      </c>
      <c r="B6243">
        <v>7</v>
      </c>
      <c r="J6243">
        <v>64</v>
      </c>
      <c r="AY6243">
        <f t="shared" si="196"/>
        <v>43</v>
      </c>
      <c r="AZ6243">
        <f t="shared" si="197"/>
        <v>3</v>
      </c>
    </row>
    <row r="6244" spans="1:52" ht="55.2">
      <c r="A6244" s="3" t="s">
        <v>6288</v>
      </c>
      <c r="B6244">
        <v>7</v>
      </c>
      <c r="J6244">
        <v>64</v>
      </c>
      <c r="AY6244">
        <f t="shared" si="196"/>
        <v>43</v>
      </c>
      <c r="AZ6244">
        <f t="shared" si="197"/>
        <v>3</v>
      </c>
    </row>
    <row r="6245" spans="1:52" ht="55.2">
      <c r="A6245" s="3" t="s">
        <v>6289</v>
      </c>
      <c r="B6245">
        <v>7</v>
      </c>
      <c r="J6245">
        <v>64</v>
      </c>
      <c r="AY6245">
        <f t="shared" si="196"/>
        <v>43</v>
      </c>
      <c r="AZ6245">
        <f t="shared" si="197"/>
        <v>3</v>
      </c>
    </row>
    <row r="6246" spans="1:52" ht="55.2">
      <c r="A6246" s="3" t="s">
        <v>6290</v>
      </c>
      <c r="B6246">
        <v>7</v>
      </c>
      <c r="J6246">
        <v>64</v>
      </c>
      <c r="AY6246">
        <f t="shared" si="196"/>
        <v>43</v>
      </c>
      <c r="AZ6246">
        <f t="shared" si="197"/>
        <v>3</v>
      </c>
    </row>
    <row r="6247" spans="1:52" ht="55.2">
      <c r="A6247" s="3" t="s">
        <v>6291</v>
      </c>
      <c r="B6247">
        <v>7</v>
      </c>
      <c r="J6247">
        <v>64</v>
      </c>
      <c r="AY6247">
        <f t="shared" si="196"/>
        <v>43</v>
      </c>
      <c r="AZ6247">
        <f t="shared" si="197"/>
        <v>3</v>
      </c>
    </row>
    <row r="6248" spans="1:52" ht="55.2">
      <c r="A6248" s="3" t="s">
        <v>6292</v>
      </c>
      <c r="B6248">
        <v>7</v>
      </c>
      <c r="J6248">
        <v>64</v>
      </c>
      <c r="AY6248">
        <f t="shared" si="196"/>
        <v>43</v>
      </c>
      <c r="AZ6248">
        <f t="shared" si="197"/>
        <v>3</v>
      </c>
    </row>
    <row r="6249" spans="1:52" ht="55.2">
      <c r="A6249" s="3" t="s">
        <v>6293</v>
      </c>
      <c r="B6249">
        <v>7</v>
      </c>
      <c r="J6249">
        <v>64</v>
      </c>
      <c r="AY6249">
        <f t="shared" si="196"/>
        <v>43</v>
      </c>
      <c r="AZ6249">
        <f t="shared" si="197"/>
        <v>3</v>
      </c>
    </row>
    <row r="6250" spans="1:52" ht="55.2">
      <c r="A6250" s="3" t="s">
        <v>6294</v>
      </c>
      <c r="B6250">
        <v>7</v>
      </c>
      <c r="J6250">
        <v>64</v>
      </c>
      <c r="AY6250">
        <f t="shared" si="196"/>
        <v>43</v>
      </c>
      <c r="AZ6250">
        <f t="shared" si="197"/>
        <v>3</v>
      </c>
    </row>
    <row r="6251" spans="1:52" ht="55.2">
      <c r="A6251" s="3" t="s">
        <v>6295</v>
      </c>
      <c r="B6251">
        <v>7</v>
      </c>
      <c r="J6251">
        <v>64</v>
      </c>
      <c r="AY6251">
        <f t="shared" si="196"/>
        <v>43</v>
      </c>
      <c r="AZ6251">
        <f t="shared" si="197"/>
        <v>3</v>
      </c>
    </row>
    <row r="6252" spans="1:52" ht="55.2">
      <c r="A6252" s="3" t="s">
        <v>6296</v>
      </c>
      <c r="B6252">
        <v>7</v>
      </c>
      <c r="J6252">
        <v>64</v>
      </c>
      <c r="AY6252">
        <f t="shared" si="196"/>
        <v>43</v>
      </c>
      <c r="AZ6252">
        <f t="shared" si="197"/>
        <v>3</v>
      </c>
    </row>
    <row r="6253" spans="1:52" ht="55.2">
      <c r="A6253" s="3" t="s">
        <v>6297</v>
      </c>
      <c r="B6253">
        <v>7</v>
      </c>
      <c r="J6253">
        <v>64</v>
      </c>
      <c r="AY6253">
        <f t="shared" si="196"/>
        <v>43</v>
      </c>
      <c r="AZ6253">
        <f t="shared" si="197"/>
        <v>3</v>
      </c>
    </row>
    <row r="6254" spans="1:52" ht="55.2">
      <c r="A6254" s="3" t="s">
        <v>6298</v>
      </c>
      <c r="B6254">
        <v>7</v>
      </c>
      <c r="J6254">
        <v>64</v>
      </c>
      <c r="AY6254">
        <f t="shared" si="196"/>
        <v>43</v>
      </c>
      <c r="AZ6254">
        <f t="shared" si="197"/>
        <v>3</v>
      </c>
    </row>
    <row r="6255" spans="1:52" ht="55.2">
      <c r="A6255" s="3" t="s">
        <v>6299</v>
      </c>
      <c r="B6255">
        <v>7</v>
      </c>
      <c r="J6255">
        <v>64</v>
      </c>
      <c r="AY6255">
        <f t="shared" si="196"/>
        <v>43</v>
      </c>
      <c r="AZ6255">
        <f t="shared" si="197"/>
        <v>3</v>
      </c>
    </row>
    <row r="6256" spans="1:52" ht="55.2">
      <c r="A6256" s="3" t="s">
        <v>6300</v>
      </c>
      <c r="B6256">
        <v>7</v>
      </c>
      <c r="J6256">
        <v>64</v>
      </c>
      <c r="AY6256">
        <f t="shared" si="196"/>
        <v>43</v>
      </c>
      <c r="AZ6256">
        <f t="shared" si="197"/>
        <v>3</v>
      </c>
    </row>
    <row r="6257" spans="1:52" ht="55.2">
      <c r="A6257" s="3" t="s">
        <v>6301</v>
      </c>
      <c r="B6257">
        <v>7</v>
      </c>
      <c r="J6257">
        <v>64</v>
      </c>
      <c r="AY6257">
        <f t="shared" si="196"/>
        <v>43</v>
      </c>
      <c r="AZ6257">
        <f t="shared" si="197"/>
        <v>3</v>
      </c>
    </row>
    <row r="6258" spans="1:52" ht="55.2">
      <c r="A6258" s="3" t="s">
        <v>6302</v>
      </c>
      <c r="B6258">
        <v>7</v>
      </c>
      <c r="J6258">
        <v>64</v>
      </c>
      <c r="AY6258">
        <f t="shared" si="196"/>
        <v>43</v>
      </c>
      <c r="AZ6258">
        <f t="shared" si="197"/>
        <v>3</v>
      </c>
    </row>
    <row r="6259" spans="1:52" ht="55.2">
      <c r="A6259" s="3" t="s">
        <v>6303</v>
      </c>
      <c r="B6259">
        <v>7</v>
      </c>
      <c r="J6259">
        <v>64</v>
      </c>
      <c r="AY6259">
        <f t="shared" si="196"/>
        <v>43</v>
      </c>
      <c r="AZ6259">
        <f t="shared" si="197"/>
        <v>3</v>
      </c>
    </row>
    <row r="6260" spans="1:52" ht="55.2">
      <c r="A6260" s="3" t="s">
        <v>6304</v>
      </c>
      <c r="B6260">
        <v>7</v>
      </c>
      <c r="J6260">
        <v>64</v>
      </c>
      <c r="AY6260">
        <f t="shared" si="196"/>
        <v>43</v>
      </c>
      <c r="AZ6260">
        <f t="shared" si="197"/>
        <v>3</v>
      </c>
    </row>
    <row r="6261" spans="1:52" ht="55.2">
      <c r="A6261" s="3" t="s">
        <v>6305</v>
      </c>
      <c r="B6261">
        <v>7</v>
      </c>
      <c r="E6261">
        <v>8</v>
      </c>
      <c r="J6261">
        <v>64</v>
      </c>
      <c r="AY6261">
        <f t="shared" si="196"/>
        <v>43</v>
      </c>
      <c r="AZ6261">
        <f t="shared" si="197"/>
        <v>2</v>
      </c>
    </row>
    <row r="6262" spans="1:52" ht="55.2">
      <c r="A6262" s="3" t="s">
        <v>6306</v>
      </c>
      <c r="B6262">
        <v>7</v>
      </c>
      <c r="E6262">
        <v>8</v>
      </c>
      <c r="J6262">
        <v>64</v>
      </c>
      <c r="AY6262">
        <f t="shared" si="196"/>
        <v>43</v>
      </c>
      <c r="AZ6262">
        <f t="shared" si="197"/>
        <v>2</v>
      </c>
    </row>
    <row r="6263" spans="1:52" ht="55.2">
      <c r="A6263" s="3" t="s">
        <v>6307</v>
      </c>
      <c r="B6263">
        <v>7</v>
      </c>
      <c r="E6263">
        <v>8</v>
      </c>
      <c r="J6263">
        <v>64</v>
      </c>
      <c r="AY6263">
        <f t="shared" si="196"/>
        <v>43</v>
      </c>
      <c r="AZ6263">
        <f t="shared" si="197"/>
        <v>2</v>
      </c>
    </row>
    <row r="6264" spans="1:52" ht="55.2">
      <c r="A6264" s="3" t="s">
        <v>6308</v>
      </c>
      <c r="B6264">
        <v>7</v>
      </c>
      <c r="E6264">
        <v>8</v>
      </c>
      <c r="J6264">
        <v>64</v>
      </c>
      <c r="AY6264">
        <f t="shared" si="196"/>
        <v>43</v>
      </c>
      <c r="AZ6264">
        <f t="shared" si="197"/>
        <v>2</v>
      </c>
    </row>
    <row r="6265" spans="1:52" ht="55.2">
      <c r="A6265" s="3" t="s">
        <v>6309</v>
      </c>
      <c r="B6265">
        <v>7</v>
      </c>
      <c r="E6265">
        <v>8</v>
      </c>
      <c r="J6265">
        <v>64</v>
      </c>
      <c r="AY6265">
        <f t="shared" si="196"/>
        <v>43</v>
      </c>
      <c r="AZ6265">
        <f t="shared" si="197"/>
        <v>2</v>
      </c>
    </row>
    <row r="6266" spans="1:52" ht="55.2">
      <c r="A6266" s="3" t="s">
        <v>6310</v>
      </c>
      <c r="B6266">
        <v>7</v>
      </c>
      <c r="E6266">
        <v>8</v>
      </c>
      <c r="AT6266">
        <v>14</v>
      </c>
      <c r="AY6266">
        <f t="shared" si="196"/>
        <v>43</v>
      </c>
      <c r="AZ6266">
        <f t="shared" si="197"/>
        <v>2</v>
      </c>
    </row>
    <row r="6267" spans="1:52" ht="55.2">
      <c r="A6267" s="3" t="s">
        <v>6311</v>
      </c>
      <c r="B6267">
        <v>7</v>
      </c>
      <c r="E6267">
        <v>8</v>
      </c>
      <c r="AT6267">
        <v>14</v>
      </c>
      <c r="AY6267">
        <f t="shared" si="196"/>
        <v>43</v>
      </c>
      <c r="AZ6267">
        <f t="shared" si="197"/>
        <v>2</v>
      </c>
    </row>
    <row r="6268" spans="1:52" ht="55.2">
      <c r="A6268" s="3" t="s">
        <v>6312</v>
      </c>
      <c r="B6268">
        <v>7</v>
      </c>
      <c r="E6268">
        <v>8</v>
      </c>
      <c r="AT6268">
        <v>14</v>
      </c>
      <c r="AY6268">
        <f t="shared" si="196"/>
        <v>43</v>
      </c>
      <c r="AZ6268">
        <f t="shared" si="197"/>
        <v>2</v>
      </c>
    </row>
    <row r="6269" spans="1:52" ht="55.2">
      <c r="A6269" s="3" t="s">
        <v>6313</v>
      </c>
      <c r="B6269">
        <v>7</v>
      </c>
      <c r="E6269">
        <v>8</v>
      </c>
      <c r="AT6269">
        <v>14</v>
      </c>
      <c r="AY6269">
        <f t="shared" si="196"/>
        <v>43</v>
      </c>
      <c r="AZ6269">
        <f t="shared" si="197"/>
        <v>2</v>
      </c>
    </row>
    <row r="6270" spans="1:52" ht="55.2">
      <c r="A6270" s="3" t="s">
        <v>6314</v>
      </c>
      <c r="B6270">
        <v>7</v>
      </c>
      <c r="E6270">
        <v>8</v>
      </c>
      <c r="AT6270">
        <v>14</v>
      </c>
      <c r="AY6270">
        <f t="shared" si="196"/>
        <v>43</v>
      </c>
      <c r="AZ6270">
        <f t="shared" si="197"/>
        <v>2</v>
      </c>
    </row>
    <row r="6271" spans="1:52" ht="55.2">
      <c r="A6271" s="3" t="s">
        <v>6315</v>
      </c>
      <c r="B6271">
        <v>7</v>
      </c>
      <c r="E6271">
        <v>8</v>
      </c>
      <c r="AT6271">
        <v>14</v>
      </c>
      <c r="AY6271">
        <f t="shared" si="196"/>
        <v>43</v>
      </c>
      <c r="AZ6271">
        <f t="shared" si="197"/>
        <v>2</v>
      </c>
    </row>
    <row r="6272" spans="1:52" ht="55.2">
      <c r="A6272" s="3" t="s">
        <v>6316</v>
      </c>
      <c r="B6272">
        <v>7</v>
      </c>
      <c r="E6272">
        <v>8</v>
      </c>
      <c r="AT6272">
        <v>14</v>
      </c>
      <c r="AY6272">
        <f t="shared" si="196"/>
        <v>43</v>
      </c>
      <c r="AZ6272">
        <f t="shared" si="197"/>
        <v>2</v>
      </c>
    </row>
    <row r="6273" spans="1:52" ht="55.2">
      <c r="A6273" s="3" t="s">
        <v>6317</v>
      </c>
      <c r="B6273">
        <v>7</v>
      </c>
      <c r="E6273">
        <v>8</v>
      </c>
      <c r="AT6273">
        <v>14</v>
      </c>
      <c r="AY6273">
        <f t="shared" si="196"/>
        <v>43</v>
      </c>
      <c r="AZ6273">
        <f t="shared" si="197"/>
        <v>2</v>
      </c>
    </row>
    <row r="6274" spans="1:52" ht="55.2">
      <c r="A6274" s="3" t="s">
        <v>6318</v>
      </c>
      <c r="B6274">
        <v>7</v>
      </c>
      <c r="E6274">
        <v>8</v>
      </c>
      <c r="AT6274">
        <v>14</v>
      </c>
      <c r="AY6274">
        <f t="shared" si="196"/>
        <v>43</v>
      </c>
      <c r="AZ6274">
        <f t="shared" si="197"/>
        <v>2</v>
      </c>
    </row>
    <row r="6275" spans="1:52" ht="55.2">
      <c r="A6275" s="3" t="s">
        <v>6319</v>
      </c>
      <c r="B6275">
        <v>7</v>
      </c>
      <c r="E6275">
        <v>8</v>
      </c>
      <c r="AT6275">
        <v>14</v>
      </c>
      <c r="AY6275">
        <f t="shared" si="196"/>
        <v>43</v>
      </c>
      <c r="AZ6275">
        <f t="shared" si="197"/>
        <v>2</v>
      </c>
    </row>
    <row r="6276" spans="1:52" ht="55.2">
      <c r="A6276" s="3" t="s">
        <v>6320</v>
      </c>
      <c r="B6276">
        <v>7</v>
      </c>
      <c r="E6276">
        <v>8</v>
      </c>
      <c r="AT6276">
        <v>14</v>
      </c>
      <c r="AY6276">
        <f t="shared" si="196"/>
        <v>43</v>
      </c>
      <c r="AZ6276">
        <f t="shared" si="197"/>
        <v>2</v>
      </c>
    </row>
    <row r="6277" spans="1:52" ht="55.2">
      <c r="A6277" s="3" t="s">
        <v>6321</v>
      </c>
      <c r="B6277">
        <v>7</v>
      </c>
      <c r="E6277">
        <v>8</v>
      </c>
      <c r="AT6277">
        <v>14</v>
      </c>
      <c r="AY6277">
        <f t="shared" si="196"/>
        <v>43</v>
      </c>
      <c r="AZ6277">
        <f t="shared" si="197"/>
        <v>2</v>
      </c>
    </row>
    <row r="6278" spans="1:52" ht="55.2">
      <c r="A6278" s="3" t="s">
        <v>6322</v>
      </c>
      <c r="B6278">
        <v>7</v>
      </c>
      <c r="E6278">
        <v>8</v>
      </c>
      <c r="AT6278">
        <v>14</v>
      </c>
      <c r="AY6278">
        <f t="shared" si="196"/>
        <v>43</v>
      </c>
      <c r="AZ6278">
        <f t="shared" si="197"/>
        <v>2</v>
      </c>
    </row>
    <row r="6279" spans="1:52" ht="55.2">
      <c r="A6279" s="3" t="s">
        <v>6323</v>
      </c>
      <c r="B6279">
        <v>7</v>
      </c>
      <c r="E6279">
        <v>8</v>
      </c>
      <c r="AT6279">
        <v>14</v>
      </c>
      <c r="AY6279">
        <f t="shared" si="196"/>
        <v>43</v>
      </c>
      <c r="AZ6279">
        <f t="shared" si="197"/>
        <v>2</v>
      </c>
    </row>
    <row r="6280" spans="1:52" ht="55.2">
      <c r="A6280" s="3" t="s">
        <v>6324</v>
      </c>
      <c r="B6280">
        <v>7</v>
      </c>
      <c r="E6280">
        <v>8</v>
      </c>
      <c r="AT6280">
        <v>14</v>
      </c>
      <c r="AY6280">
        <f t="shared" si="196"/>
        <v>43</v>
      </c>
      <c r="AZ6280">
        <f t="shared" si="197"/>
        <v>2</v>
      </c>
    </row>
    <row r="6281" spans="1:52" ht="55.2">
      <c r="A6281" s="3" t="s">
        <v>6325</v>
      </c>
      <c r="B6281">
        <v>7</v>
      </c>
      <c r="E6281">
        <v>8</v>
      </c>
      <c r="AT6281">
        <v>14</v>
      </c>
      <c r="AY6281">
        <f t="shared" si="196"/>
        <v>43</v>
      </c>
      <c r="AZ6281">
        <f t="shared" si="197"/>
        <v>2</v>
      </c>
    </row>
    <row r="6282" spans="1:52" ht="55.2">
      <c r="A6282" s="3" t="s">
        <v>6326</v>
      </c>
      <c r="B6282">
        <v>7</v>
      </c>
      <c r="E6282">
        <v>8</v>
      </c>
      <c r="AT6282">
        <v>14</v>
      </c>
      <c r="AY6282">
        <f t="shared" si="196"/>
        <v>43</v>
      </c>
      <c r="AZ6282">
        <f t="shared" si="197"/>
        <v>2</v>
      </c>
    </row>
    <row r="6283" spans="1:52" ht="55.2">
      <c r="A6283" s="3" t="s">
        <v>6327</v>
      </c>
      <c r="B6283">
        <v>7</v>
      </c>
      <c r="E6283">
        <v>8</v>
      </c>
      <c r="AT6283">
        <v>14</v>
      </c>
      <c r="AY6283">
        <f t="shared" si="196"/>
        <v>43</v>
      </c>
      <c r="AZ6283">
        <f t="shared" si="197"/>
        <v>2</v>
      </c>
    </row>
    <row r="6284" spans="1:52" ht="55.2">
      <c r="A6284" s="3" t="s">
        <v>6328</v>
      </c>
      <c r="B6284">
        <v>7</v>
      </c>
      <c r="E6284">
        <v>8</v>
      </c>
      <c r="AT6284">
        <v>14</v>
      </c>
      <c r="AY6284">
        <f t="shared" si="196"/>
        <v>43</v>
      </c>
      <c r="AZ6284">
        <f t="shared" si="197"/>
        <v>2</v>
      </c>
    </row>
    <row r="6285" spans="1:52" ht="55.2">
      <c r="A6285" s="3" t="s">
        <v>6329</v>
      </c>
      <c r="B6285">
        <v>7</v>
      </c>
      <c r="E6285">
        <v>8</v>
      </c>
      <c r="AT6285">
        <v>14</v>
      </c>
      <c r="AY6285">
        <f t="shared" si="196"/>
        <v>43</v>
      </c>
      <c r="AZ6285">
        <f t="shared" si="197"/>
        <v>2</v>
      </c>
    </row>
    <row r="6286" spans="1:52" ht="55.2">
      <c r="A6286" s="3" t="s">
        <v>6330</v>
      </c>
      <c r="B6286">
        <v>7</v>
      </c>
      <c r="E6286">
        <v>8</v>
      </c>
      <c r="AT6286">
        <v>14</v>
      </c>
      <c r="AY6286">
        <f t="shared" si="196"/>
        <v>43</v>
      </c>
      <c r="AZ6286">
        <f t="shared" si="197"/>
        <v>2</v>
      </c>
    </row>
    <row r="6287" spans="1:52" ht="55.2">
      <c r="A6287" s="3" t="s">
        <v>6331</v>
      </c>
      <c r="B6287">
        <v>7</v>
      </c>
      <c r="E6287">
        <v>8</v>
      </c>
      <c r="AT6287">
        <v>14</v>
      </c>
      <c r="AY6287">
        <f t="shared" si="196"/>
        <v>43</v>
      </c>
      <c r="AZ6287">
        <f t="shared" si="197"/>
        <v>2</v>
      </c>
    </row>
    <row r="6288" spans="1:52" ht="55.2">
      <c r="A6288" s="3" t="s">
        <v>6332</v>
      </c>
      <c r="B6288">
        <v>7</v>
      </c>
      <c r="E6288">
        <v>8</v>
      </c>
      <c r="AT6288">
        <v>14</v>
      </c>
      <c r="AY6288">
        <f t="shared" si="196"/>
        <v>43</v>
      </c>
      <c r="AZ6288">
        <f t="shared" si="197"/>
        <v>2</v>
      </c>
    </row>
    <row r="6289" spans="1:52" ht="55.2">
      <c r="A6289" s="3" t="s">
        <v>6333</v>
      </c>
      <c r="B6289">
        <v>7</v>
      </c>
      <c r="E6289">
        <v>8</v>
      </c>
      <c r="AT6289">
        <v>14</v>
      </c>
      <c r="AY6289">
        <f t="shared" si="196"/>
        <v>43</v>
      </c>
      <c r="AZ6289">
        <f t="shared" si="197"/>
        <v>2</v>
      </c>
    </row>
    <row r="6290" spans="1:52" ht="55.2">
      <c r="A6290" s="3" t="s">
        <v>6334</v>
      </c>
      <c r="B6290">
        <v>7</v>
      </c>
      <c r="E6290">
        <v>8</v>
      </c>
      <c r="AT6290">
        <v>14</v>
      </c>
      <c r="AY6290">
        <f t="shared" si="196"/>
        <v>43</v>
      </c>
      <c r="AZ6290">
        <f t="shared" si="197"/>
        <v>2</v>
      </c>
    </row>
    <row r="6291" spans="1:52" ht="55.2">
      <c r="A6291" s="3" t="s">
        <v>6335</v>
      </c>
      <c r="B6291">
        <v>7</v>
      </c>
      <c r="E6291">
        <v>8</v>
      </c>
      <c r="AT6291">
        <v>14</v>
      </c>
      <c r="AY6291">
        <f t="shared" si="196"/>
        <v>43</v>
      </c>
      <c r="AZ6291">
        <f t="shared" si="197"/>
        <v>2</v>
      </c>
    </row>
    <row r="6292" spans="1:52" ht="55.2">
      <c r="A6292" s="3" t="s">
        <v>6336</v>
      </c>
      <c r="B6292">
        <v>7</v>
      </c>
      <c r="E6292">
        <v>8</v>
      </c>
      <c r="AT6292">
        <v>14</v>
      </c>
      <c r="AY6292">
        <f t="shared" si="196"/>
        <v>43</v>
      </c>
      <c r="AZ6292">
        <f t="shared" si="197"/>
        <v>2</v>
      </c>
    </row>
    <row r="6293" spans="1:52" ht="55.2">
      <c r="A6293" s="3" t="s">
        <v>6337</v>
      </c>
      <c r="B6293">
        <v>7</v>
      </c>
      <c r="E6293">
        <v>8</v>
      </c>
      <c r="AT6293">
        <v>14</v>
      </c>
      <c r="AY6293">
        <f t="shared" si="196"/>
        <v>43</v>
      </c>
      <c r="AZ6293">
        <f t="shared" si="197"/>
        <v>2</v>
      </c>
    </row>
    <row r="6294" spans="1:52" ht="55.2">
      <c r="A6294" s="3" t="s">
        <v>6338</v>
      </c>
      <c r="B6294">
        <v>7</v>
      </c>
      <c r="E6294">
        <v>8</v>
      </c>
      <c r="AT6294">
        <v>14</v>
      </c>
      <c r="AY6294">
        <f t="shared" si="196"/>
        <v>43</v>
      </c>
      <c r="AZ6294">
        <f t="shared" si="197"/>
        <v>2</v>
      </c>
    </row>
    <row r="6295" spans="1:52" ht="55.2">
      <c r="A6295" s="3" t="s">
        <v>6339</v>
      </c>
      <c r="B6295">
        <v>7</v>
      </c>
      <c r="E6295">
        <v>8</v>
      </c>
      <c r="AT6295">
        <v>14</v>
      </c>
      <c r="AY6295">
        <f t="shared" si="196"/>
        <v>43</v>
      </c>
      <c r="AZ6295">
        <f t="shared" si="197"/>
        <v>2</v>
      </c>
    </row>
    <row r="6296" spans="1:52" ht="55.2">
      <c r="A6296" s="3" t="s">
        <v>6340</v>
      </c>
      <c r="B6296">
        <v>7</v>
      </c>
      <c r="E6296">
        <v>8</v>
      </c>
      <c r="AT6296">
        <v>14</v>
      </c>
      <c r="AY6296">
        <f t="shared" si="196"/>
        <v>43</v>
      </c>
      <c r="AZ6296">
        <f t="shared" si="197"/>
        <v>2</v>
      </c>
    </row>
    <row r="6297" spans="1:52" ht="55.2">
      <c r="A6297" s="3" t="s">
        <v>6341</v>
      </c>
      <c r="B6297">
        <v>7</v>
      </c>
      <c r="E6297">
        <v>8</v>
      </c>
      <c r="AT6297">
        <v>14</v>
      </c>
      <c r="AY6297">
        <f t="shared" si="196"/>
        <v>43</v>
      </c>
      <c r="AZ6297">
        <f t="shared" si="197"/>
        <v>2</v>
      </c>
    </row>
    <row r="6298" spans="1:52" ht="55.2">
      <c r="A6298" s="3" t="s">
        <v>6342</v>
      </c>
      <c r="B6298">
        <v>7</v>
      </c>
      <c r="E6298">
        <v>8</v>
      </c>
      <c r="AT6298">
        <v>14</v>
      </c>
      <c r="AY6298">
        <f t="shared" si="196"/>
        <v>43</v>
      </c>
      <c r="AZ6298">
        <f t="shared" si="197"/>
        <v>2</v>
      </c>
    </row>
    <row r="6299" spans="1:52" ht="55.2">
      <c r="A6299" s="3" t="s">
        <v>6343</v>
      </c>
      <c r="B6299">
        <v>7</v>
      </c>
      <c r="E6299">
        <v>8</v>
      </c>
      <c r="AT6299">
        <v>14</v>
      </c>
      <c r="AY6299">
        <f t="shared" si="196"/>
        <v>43</v>
      </c>
      <c r="AZ6299">
        <f t="shared" si="197"/>
        <v>2</v>
      </c>
    </row>
    <row r="6300" spans="1:52" ht="55.2">
      <c r="A6300" s="3" t="s">
        <v>6344</v>
      </c>
      <c r="B6300">
        <v>7</v>
      </c>
      <c r="E6300">
        <v>8</v>
      </c>
      <c r="AT6300">
        <v>14</v>
      </c>
      <c r="AY6300">
        <f t="shared" si="196"/>
        <v>43</v>
      </c>
      <c r="AZ6300">
        <f t="shared" si="197"/>
        <v>2</v>
      </c>
    </row>
    <row r="6301" spans="1:52" ht="55.2">
      <c r="A6301" s="3" t="s">
        <v>6345</v>
      </c>
      <c r="B6301">
        <v>7</v>
      </c>
      <c r="E6301">
        <v>8</v>
      </c>
      <c r="AT6301">
        <v>14</v>
      </c>
      <c r="AY6301">
        <f t="shared" si="196"/>
        <v>43</v>
      </c>
      <c r="AZ6301">
        <f t="shared" si="197"/>
        <v>2</v>
      </c>
    </row>
    <row r="6302" spans="1:52" ht="55.2">
      <c r="A6302" s="3" t="s">
        <v>6346</v>
      </c>
      <c r="B6302">
        <v>7</v>
      </c>
      <c r="E6302">
        <v>8</v>
      </c>
      <c r="AT6302">
        <v>14</v>
      </c>
      <c r="AY6302">
        <f t="shared" si="196"/>
        <v>43</v>
      </c>
      <c r="AZ6302">
        <f t="shared" si="197"/>
        <v>2</v>
      </c>
    </row>
    <row r="6303" spans="1:52" ht="55.2">
      <c r="A6303" s="3" t="s">
        <v>6347</v>
      </c>
      <c r="B6303">
        <v>7</v>
      </c>
      <c r="E6303">
        <v>8</v>
      </c>
      <c r="AT6303">
        <v>14</v>
      </c>
      <c r="AY6303">
        <f t="shared" si="196"/>
        <v>43</v>
      </c>
      <c r="AZ6303">
        <f t="shared" si="197"/>
        <v>2</v>
      </c>
    </row>
    <row r="6304" spans="1:52" ht="55.2">
      <c r="A6304" s="3" t="s">
        <v>6348</v>
      </c>
      <c r="B6304">
        <v>7</v>
      </c>
      <c r="E6304">
        <v>8</v>
      </c>
      <c r="AT6304">
        <v>14</v>
      </c>
      <c r="AY6304">
        <f t="shared" si="196"/>
        <v>43</v>
      </c>
      <c r="AZ6304">
        <f t="shared" si="197"/>
        <v>2</v>
      </c>
    </row>
    <row r="6305" spans="1:52" ht="55.2">
      <c r="A6305" s="3" t="s">
        <v>6349</v>
      </c>
      <c r="B6305">
        <v>7</v>
      </c>
      <c r="E6305">
        <v>8</v>
      </c>
      <c r="AT6305">
        <v>14</v>
      </c>
      <c r="AY6305">
        <f t="shared" ref="AY6305:AY6368" si="198">COUNTBLANK(F6305:AW6305)</f>
        <v>43</v>
      </c>
      <c r="AZ6305">
        <f t="shared" ref="AZ6305:AZ6368" si="199">COUNTBLANK(B6305:E6305)</f>
        <v>2</v>
      </c>
    </row>
    <row r="6306" spans="1:52" ht="55.2">
      <c r="A6306" s="3" t="s">
        <v>6350</v>
      </c>
      <c r="B6306">
        <v>7</v>
      </c>
      <c r="E6306">
        <v>8</v>
      </c>
      <c r="AT6306">
        <v>14</v>
      </c>
      <c r="AY6306">
        <f t="shared" si="198"/>
        <v>43</v>
      </c>
      <c r="AZ6306">
        <f t="shared" si="199"/>
        <v>2</v>
      </c>
    </row>
    <row r="6307" spans="1:52" ht="55.2">
      <c r="A6307" s="3" t="s">
        <v>6351</v>
      </c>
      <c r="B6307">
        <v>7</v>
      </c>
      <c r="E6307">
        <v>8</v>
      </c>
      <c r="AT6307">
        <v>14</v>
      </c>
      <c r="AY6307">
        <f t="shared" si="198"/>
        <v>43</v>
      </c>
      <c r="AZ6307">
        <f t="shared" si="199"/>
        <v>2</v>
      </c>
    </row>
    <row r="6308" spans="1:52" ht="55.2">
      <c r="A6308" s="3" t="s">
        <v>6352</v>
      </c>
      <c r="B6308">
        <v>7</v>
      </c>
      <c r="E6308">
        <v>8</v>
      </c>
      <c r="AT6308">
        <v>14</v>
      </c>
      <c r="AY6308">
        <f t="shared" si="198"/>
        <v>43</v>
      </c>
      <c r="AZ6308">
        <f t="shared" si="199"/>
        <v>2</v>
      </c>
    </row>
    <row r="6309" spans="1:52" ht="55.2">
      <c r="A6309" s="3" t="s">
        <v>6353</v>
      </c>
      <c r="B6309">
        <v>7</v>
      </c>
      <c r="E6309">
        <v>8</v>
      </c>
      <c r="AT6309">
        <v>14</v>
      </c>
      <c r="AY6309">
        <f t="shared" si="198"/>
        <v>43</v>
      </c>
      <c r="AZ6309">
        <f t="shared" si="199"/>
        <v>2</v>
      </c>
    </row>
    <row r="6310" spans="1:52" ht="55.2">
      <c r="A6310" s="3" t="s">
        <v>6354</v>
      </c>
      <c r="B6310">
        <v>7</v>
      </c>
      <c r="E6310">
        <v>8</v>
      </c>
      <c r="AT6310">
        <v>14</v>
      </c>
      <c r="AY6310">
        <f t="shared" si="198"/>
        <v>43</v>
      </c>
      <c r="AZ6310">
        <f t="shared" si="199"/>
        <v>2</v>
      </c>
    </row>
    <row r="6311" spans="1:52" ht="55.2">
      <c r="A6311" s="3" t="s">
        <v>6355</v>
      </c>
      <c r="B6311">
        <v>7</v>
      </c>
      <c r="E6311">
        <v>8</v>
      </c>
      <c r="AT6311">
        <v>14</v>
      </c>
      <c r="AY6311">
        <f t="shared" si="198"/>
        <v>43</v>
      </c>
      <c r="AZ6311">
        <f t="shared" si="199"/>
        <v>2</v>
      </c>
    </row>
    <row r="6312" spans="1:52" ht="55.2">
      <c r="A6312" s="3" t="s">
        <v>6356</v>
      </c>
      <c r="B6312">
        <v>7</v>
      </c>
      <c r="E6312">
        <v>8</v>
      </c>
      <c r="AT6312">
        <v>14</v>
      </c>
      <c r="AY6312">
        <f t="shared" si="198"/>
        <v>43</v>
      </c>
      <c r="AZ6312">
        <f t="shared" si="199"/>
        <v>2</v>
      </c>
    </row>
    <row r="6313" spans="1:52" ht="55.2">
      <c r="A6313" s="3" t="s">
        <v>6357</v>
      </c>
      <c r="B6313">
        <v>7</v>
      </c>
      <c r="E6313">
        <v>8</v>
      </c>
      <c r="AT6313">
        <v>14</v>
      </c>
      <c r="AY6313">
        <f t="shared" si="198"/>
        <v>43</v>
      </c>
      <c r="AZ6313">
        <f t="shared" si="199"/>
        <v>2</v>
      </c>
    </row>
    <row r="6314" spans="1:52" ht="55.2">
      <c r="A6314" s="3" t="s">
        <v>6358</v>
      </c>
      <c r="B6314">
        <v>7</v>
      </c>
      <c r="E6314">
        <v>8</v>
      </c>
      <c r="AT6314">
        <v>14</v>
      </c>
      <c r="AY6314">
        <f t="shared" si="198"/>
        <v>43</v>
      </c>
      <c r="AZ6314">
        <f t="shared" si="199"/>
        <v>2</v>
      </c>
    </row>
    <row r="6315" spans="1:52" ht="55.2">
      <c r="A6315" s="3" t="s">
        <v>6359</v>
      </c>
      <c r="B6315">
        <v>7</v>
      </c>
      <c r="E6315">
        <v>8</v>
      </c>
      <c r="AT6315">
        <v>14</v>
      </c>
      <c r="AY6315">
        <f t="shared" si="198"/>
        <v>43</v>
      </c>
      <c r="AZ6315">
        <f t="shared" si="199"/>
        <v>2</v>
      </c>
    </row>
    <row r="6316" spans="1:52" ht="55.2">
      <c r="A6316" s="3" t="s">
        <v>6360</v>
      </c>
      <c r="B6316">
        <v>7</v>
      </c>
      <c r="E6316">
        <v>8</v>
      </c>
      <c r="AT6316">
        <v>14</v>
      </c>
      <c r="AY6316">
        <f t="shared" si="198"/>
        <v>43</v>
      </c>
      <c r="AZ6316">
        <f t="shared" si="199"/>
        <v>2</v>
      </c>
    </row>
    <row r="6317" spans="1:52" ht="55.2">
      <c r="A6317" s="3" t="s">
        <v>6361</v>
      </c>
      <c r="B6317">
        <v>7</v>
      </c>
      <c r="E6317">
        <v>8</v>
      </c>
      <c r="AT6317">
        <v>14</v>
      </c>
      <c r="AY6317">
        <f t="shared" si="198"/>
        <v>43</v>
      </c>
      <c r="AZ6317">
        <f t="shared" si="199"/>
        <v>2</v>
      </c>
    </row>
    <row r="6318" spans="1:52" ht="55.2">
      <c r="A6318" s="3" t="s">
        <v>6362</v>
      </c>
      <c r="B6318">
        <v>7</v>
      </c>
      <c r="E6318">
        <v>8</v>
      </c>
      <c r="AT6318">
        <v>14</v>
      </c>
      <c r="AY6318">
        <f t="shared" si="198"/>
        <v>43</v>
      </c>
      <c r="AZ6318">
        <f t="shared" si="199"/>
        <v>2</v>
      </c>
    </row>
    <row r="6319" spans="1:52" ht="55.2">
      <c r="A6319" s="3" t="s">
        <v>6363</v>
      </c>
      <c r="B6319">
        <v>7</v>
      </c>
      <c r="E6319">
        <v>8</v>
      </c>
      <c r="AT6319">
        <v>14</v>
      </c>
      <c r="AY6319">
        <f t="shared" si="198"/>
        <v>43</v>
      </c>
      <c r="AZ6319">
        <f t="shared" si="199"/>
        <v>2</v>
      </c>
    </row>
    <row r="6320" spans="1:52" ht="55.2">
      <c r="A6320" s="3" t="s">
        <v>6364</v>
      </c>
      <c r="B6320">
        <v>7</v>
      </c>
      <c r="E6320">
        <v>8</v>
      </c>
      <c r="AT6320">
        <v>14</v>
      </c>
      <c r="AY6320">
        <f t="shared" si="198"/>
        <v>43</v>
      </c>
      <c r="AZ6320">
        <f t="shared" si="199"/>
        <v>2</v>
      </c>
    </row>
    <row r="6321" spans="1:52" ht="55.2">
      <c r="A6321" s="3" t="s">
        <v>6365</v>
      </c>
      <c r="B6321">
        <v>7</v>
      </c>
      <c r="E6321">
        <v>8</v>
      </c>
      <c r="AT6321">
        <v>14</v>
      </c>
      <c r="AY6321">
        <f t="shared" si="198"/>
        <v>43</v>
      </c>
      <c r="AZ6321">
        <f t="shared" si="199"/>
        <v>2</v>
      </c>
    </row>
    <row r="6322" spans="1:52" ht="55.2">
      <c r="A6322" s="3" t="s">
        <v>6366</v>
      </c>
      <c r="B6322">
        <v>7</v>
      </c>
      <c r="E6322">
        <v>8</v>
      </c>
      <c r="AT6322">
        <v>14</v>
      </c>
      <c r="AY6322">
        <f t="shared" si="198"/>
        <v>43</v>
      </c>
      <c r="AZ6322">
        <f t="shared" si="199"/>
        <v>2</v>
      </c>
    </row>
    <row r="6323" spans="1:52" ht="55.2">
      <c r="A6323" s="3" t="s">
        <v>6367</v>
      </c>
      <c r="B6323">
        <v>7</v>
      </c>
      <c r="E6323">
        <v>8</v>
      </c>
      <c r="AT6323">
        <v>14</v>
      </c>
      <c r="AY6323">
        <f t="shared" si="198"/>
        <v>43</v>
      </c>
      <c r="AZ6323">
        <f t="shared" si="199"/>
        <v>2</v>
      </c>
    </row>
    <row r="6324" spans="1:52" ht="55.2">
      <c r="A6324" s="3" t="s">
        <v>6368</v>
      </c>
      <c r="B6324">
        <v>7</v>
      </c>
      <c r="E6324">
        <v>8</v>
      </c>
      <c r="AT6324">
        <v>14</v>
      </c>
      <c r="AY6324">
        <f t="shared" si="198"/>
        <v>43</v>
      </c>
      <c r="AZ6324">
        <f t="shared" si="199"/>
        <v>2</v>
      </c>
    </row>
    <row r="6325" spans="1:52" ht="55.2">
      <c r="A6325" s="3" t="s">
        <v>6369</v>
      </c>
      <c r="B6325">
        <v>7</v>
      </c>
      <c r="E6325">
        <v>8</v>
      </c>
      <c r="AT6325">
        <v>14</v>
      </c>
      <c r="AY6325">
        <f t="shared" si="198"/>
        <v>43</v>
      </c>
      <c r="AZ6325">
        <f t="shared" si="199"/>
        <v>2</v>
      </c>
    </row>
    <row r="6326" spans="1:52" ht="55.2">
      <c r="A6326" s="3" t="s">
        <v>6370</v>
      </c>
      <c r="B6326">
        <v>7</v>
      </c>
      <c r="E6326">
        <v>8</v>
      </c>
      <c r="AT6326">
        <v>14</v>
      </c>
      <c r="AY6326">
        <f t="shared" si="198"/>
        <v>43</v>
      </c>
      <c r="AZ6326">
        <f t="shared" si="199"/>
        <v>2</v>
      </c>
    </row>
    <row r="6327" spans="1:52" ht="55.2">
      <c r="A6327" s="3" t="s">
        <v>6371</v>
      </c>
      <c r="B6327">
        <v>7</v>
      </c>
      <c r="E6327">
        <v>8</v>
      </c>
      <c r="AT6327">
        <v>14</v>
      </c>
      <c r="AY6327">
        <f t="shared" si="198"/>
        <v>43</v>
      </c>
      <c r="AZ6327">
        <f t="shared" si="199"/>
        <v>2</v>
      </c>
    </row>
    <row r="6328" spans="1:52" ht="55.2">
      <c r="A6328" s="3" t="s">
        <v>6372</v>
      </c>
      <c r="B6328">
        <v>7</v>
      </c>
      <c r="E6328">
        <v>8</v>
      </c>
      <c r="AT6328">
        <v>14</v>
      </c>
      <c r="AY6328">
        <f t="shared" si="198"/>
        <v>43</v>
      </c>
      <c r="AZ6328">
        <f t="shared" si="199"/>
        <v>2</v>
      </c>
    </row>
    <row r="6329" spans="1:52" ht="55.2">
      <c r="A6329" s="3" t="s">
        <v>6373</v>
      </c>
      <c r="B6329">
        <v>7</v>
      </c>
      <c r="E6329">
        <v>8</v>
      </c>
      <c r="AT6329">
        <v>14</v>
      </c>
      <c r="AY6329">
        <f t="shared" si="198"/>
        <v>43</v>
      </c>
      <c r="AZ6329">
        <f t="shared" si="199"/>
        <v>2</v>
      </c>
    </row>
    <row r="6330" spans="1:52" ht="55.2">
      <c r="A6330" s="3" t="s">
        <v>6374</v>
      </c>
      <c r="B6330">
        <v>7</v>
      </c>
      <c r="E6330">
        <v>8</v>
      </c>
      <c r="AT6330">
        <v>14</v>
      </c>
      <c r="AY6330">
        <f t="shared" si="198"/>
        <v>43</v>
      </c>
      <c r="AZ6330">
        <f t="shared" si="199"/>
        <v>2</v>
      </c>
    </row>
    <row r="6331" spans="1:52" ht="55.2">
      <c r="A6331" s="3" t="s">
        <v>6375</v>
      </c>
      <c r="B6331">
        <v>7</v>
      </c>
      <c r="E6331">
        <v>8</v>
      </c>
      <c r="AT6331">
        <v>14</v>
      </c>
      <c r="AY6331">
        <f t="shared" si="198"/>
        <v>43</v>
      </c>
      <c r="AZ6331">
        <f t="shared" si="199"/>
        <v>2</v>
      </c>
    </row>
    <row r="6332" spans="1:52" ht="55.2">
      <c r="A6332" s="3" t="s">
        <v>6376</v>
      </c>
      <c r="B6332">
        <v>7</v>
      </c>
      <c r="E6332">
        <v>8</v>
      </c>
      <c r="AT6332">
        <v>14</v>
      </c>
      <c r="AY6332">
        <f t="shared" si="198"/>
        <v>43</v>
      </c>
      <c r="AZ6332">
        <f t="shared" si="199"/>
        <v>2</v>
      </c>
    </row>
    <row r="6333" spans="1:52" ht="55.2">
      <c r="A6333" s="3" t="s">
        <v>6377</v>
      </c>
      <c r="B6333">
        <v>7</v>
      </c>
      <c r="E6333">
        <v>8</v>
      </c>
      <c r="AT6333">
        <v>14</v>
      </c>
      <c r="AY6333">
        <f t="shared" si="198"/>
        <v>43</v>
      </c>
      <c r="AZ6333">
        <f t="shared" si="199"/>
        <v>2</v>
      </c>
    </row>
    <row r="6334" spans="1:52" ht="55.2">
      <c r="A6334" s="3" t="s">
        <v>6378</v>
      </c>
      <c r="B6334">
        <v>7</v>
      </c>
      <c r="E6334">
        <v>8</v>
      </c>
      <c r="AT6334">
        <v>14</v>
      </c>
      <c r="AY6334">
        <f t="shared" si="198"/>
        <v>43</v>
      </c>
      <c r="AZ6334">
        <f t="shared" si="199"/>
        <v>2</v>
      </c>
    </row>
    <row r="6335" spans="1:52" ht="55.2">
      <c r="A6335" s="3" t="s">
        <v>6379</v>
      </c>
      <c r="B6335">
        <v>7</v>
      </c>
      <c r="E6335">
        <v>8</v>
      </c>
      <c r="AT6335">
        <v>14</v>
      </c>
      <c r="AY6335">
        <f t="shared" si="198"/>
        <v>43</v>
      </c>
      <c r="AZ6335">
        <f t="shared" si="199"/>
        <v>2</v>
      </c>
    </row>
    <row r="6336" spans="1:52" ht="55.2">
      <c r="A6336" s="3" t="s">
        <v>6380</v>
      </c>
      <c r="B6336">
        <v>7</v>
      </c>
      <c r="E6336">
        <v>8</v>
      </c>
      <c r="AT6336">
        <v>14</v>
      </c>
      <c r="AY6336">
        <f t="shared" si="198"/>
        <v>43</v>
      </c>
      <c r="AZ6336">
        <f t="shared" si="199"/>
        <v>2</v>
      </c>
    </row>
    <row r="6337" spans="1:52" ht="55.2">
      <c r="A6337" s="3" t="s">
        <v>6381</v>
      </c>
      <c r="B6337">
        <v>7</v>
      </c>
      <c r="E6337">
        <v>8</v>
      </c>
      <c r="AT6337">
        <v>14</v>
      </c>
      <c r="AY6337">
        <f t="shared" si="198"/>
        <v>43</v>
      </c>
      <c r="AZ6337">
        <f t="shared" si="199"/>
        <v>2</v>
      </c>
    </row>
    <row r="6338" spans="1:52" ht="55.2">
      <c r="A6338" s="3" t="s">
        <v>6382</v>
      </c>
      <c r="B6338">
        <v>7</v>
      </c>
      <c r="E6338">
        <v>8</v>
      </c>
      <c r="AT6338">
        <v>14</v>
      </c>
      <c r="AY6338">
        <f t="shared" si="198"/>
        <v>43</v>
      </c>
      <c r="AZ6338">
        <f t="shared" si="199"/>
        <v>2</v>
      </c>
    </row>
    <row r="6339" spans="1:52" ht="55.2">
      <c r="A6339" s="3" t="s">
        <v>6383</v>
      </c>
      <c r="B6339">
        <v>7</v>
      </c>
      <c r="E6339">
        <v>8</v>
      </c>
      <c r="AT6339">
        <v>14</v>
      </c>
      <c r="AY6339">
        <f t="shared" si="198"/>
        <v>43</v>
      </c>
      <c r="AZ6339">
        <f t="shared" si="199"/>
        <v>2</v>
      </c>
    </row>
    <row r="6340" spans="1:52" ht="55.2">
      <c r="A6340" s="3" t="s">
        <v>6384</v>
      </c>
      <c r="B6340">
        <v>7</v>
      </c>
      <c r="E6340">
        <v>8</v>
      </c>
      <c r="AT6340">
        <v>14</v>
      </c>
      <c r="AY6340">
        <f t="shared" si="198"/>
        <v>43</v>
      </c>
      <c r="AZ6340">
        <f t="shared" si="199"/>
        <v>2</v>
      </c>
    </row>
    <row r="6341" spans="1:52" ht="55.2">
      <c r="A6341" s="3" t="s">
        <v>6385</v>
      </c>
      <c r="B6341">
        <v>7</v>
      </c>
      <c r="E6341">
        <v>8</v>
      </c>
      <c r="AT6341">
        <v>14</v>
      </c>
      <c r="AY6341">
        <f t="shared" si="198"/>
        <v>43</v>
      </c>
      <c r="AZ6341">
        <f t="shared" si="199"/>
        <v>2</v>
      </c>
    </row>
    <row r="6342" spans="1:52" ht="55.2">
      <c r="A6342" s="3" t="s">
        <v>6386</v>
      </c>
      <c r="B6342">
        <v>7</v>
      </c>
      <c r="E6342">
        <v>8</v>
      </c>
      <c r="AT6342">
        <v>14</v>
      </c>
      <c r="AY6342">
        <f t="shared" si="198"/>
        <v>43</v>
      </c>
      <c r="AZ6342">
        <f t="shared" si="199"/>
        <v>2</v>
      </c>
    </row>
    <row r="6343" spans="1:52" ht="55.2">
      <c r="A6343" s="3" t="s">
        <v>6387</v>
      </c>
      <c r="B6343">
        <v>7</v>
      </c>
      <c r="E6343">
        <v>8</v>
      </c>
      <c r="AT6343">
        <v>14</v>
      </c>
      <c r="AY6343">
        <f t="shared" si="198"/>
        <v>43</v>
      </c>
      <c r="AZ6343">
        <f t="shared" si="199"/>
        <v>2</v>
      </c>
    </row>
    <row r="6344" spans="1:52" ht="55.2">
      <c r="A6344" s="3" t="s">
        <v>6388</v>
      </c>
      <c r="B6344">
        <v>7</v>
      </c>
      <c r="E6344">
        <v>8</v>
      </c>
      <c r="AT6344">
        <v>14</v>
      </c>
      <c r="AY6344">
        <f t="shared" si="198"/>
        <v>43</v>
      </c>
      <c r="AZ6344">
        <f t="shared" si="199"/>
        <v>2</v>
      </c>
    </row>
    <row r="6345" spans="1:52" ht="55.2">
      <c r="A6345" s="3" t="s">
        <v>6389</v>
      </c>
      <c r="B6345">
        <v>7</v>
      </c>
      <c r="E6345">
        <v>8</v>
      </c>
      <c r="AT6345">
        <v>14</v>
      </c>
      <c r="AY6345">
        <f t="shared" si="198"/>
        <v>43</v>
      </c>
      <c r="AZ6345">
        <f t="shared" si="199"/>
        <v>2</v>
      </c>
    </row>
    <row r="6346" spans="1:52" ht="55.2">
      <c r="A6346" s="3" t="s">
        <v>6390</v>
      </c>
      <c r="B6346">
        <v>7</v>
      </c>
      <c r="E6346">
        <v>8</v>
      </c>
      <c r="AT6346">
        <v>14</v>
      </c>
      <c r="AY6346">
        <f t="shared" si="198"/>
        <v>43</v>
      </c>
      <c r="AZ6346">
        <f t="shared" si="199"/>
        <v>2</v>
      </c>
    </row>
    <row r="6347" spans="1:52" ht="55.2">
      <c r="A6347" s="3" t="s">
        <v>6391</v>
      </c>
      <c r="B6347">
        <v>7</v>
      </c>
      <c r="E6347">
        <v>8</v>
      </c>
      <c r="AT6347">
        <v>14</v>
      </c>
      <c r="AY6347">
        <f t="shared" si="198"/>
        <v>43</v>
      </c>
      <c r="AZ6347">
        <f t="shared" si="199"/>
        <v>2</v>
      </c>
    </row>
    <row r="6348" spans="1:52" ht="55.2">
      <c r="A6348" s="3" t="s">
        <v>6392</v>
      </c>
      <c r="B6348">
        <v>7</v>
      </c>
      <c r="E6348">
        <v>8</v>
      </c>
      <c r="AT6348">
        <v>14</v>
      </c>
      <c r="AY6348">
        <f t="shared" si="198"/>
        <v>43</v>
      </c>
      <c r="AZ6348">
        <f t="shared" si="199"/>
        <v>2</v>
      </c>
    </row>
    <row r="6349" spans="1:52" ht="55.2">
      <c r="A6349" s="3" t="s">
        <v>6393</v>
      </c>
      <c r="B6349">
        <v>7</v>
      </c>
      <c r="E6349">
        <v>8</v>
      </c>
      <c r="AT6349">
        <v>14</v>
      </c>
      <c r="AY6349">
        <f t="shared" si="198"/>
        <v>43</v>
      </c>
      <c r="AZ6349">
        <f t="shared" si="199"/>
        <v>2</v>
      </c>
    </row>
    <row r="6350" spans="1:52" ht="55.2">
      <c r="A6350" s="3" t="s">
        <v>6394</v>
      </c>
      <c r="B6350">
        <v>7</v>
      </c>
      <c r="E6350">
        <v>8</v>
      </c>
      <c r="AT6350">
        <v>14</v>
      </c>
      <c r="AY6350">
        <f t="shared" si="198"/>
        <v>43</v>
      </c>
      <c r="AZ6350">
        <f t="shared" si="199"/>
        <v>2</v>
      </c>
    </row>
    <row r="6351" spans="1:52" ht="55.2">
      <c r="A6351" s="3" t="s">
        <v>6395</v>
      </c>
      <c r="B6351">
        <v>7</v>
      </c>
      <c r="E6351">
        <v>8</v>
      </c>
      <c r="AT6351">
        <v>14</v>
      </c>
      <c r="AY6351">
        <f t="shared" si="198"/>
        <v>43</v>
      </c>
      <c r="AZ6351">
        <f t="shared" si="199"/>
        <v>2</v>
      </c>
    </row>
    <row r="6352" spans="1:52" ht="55.2">
      <c r="A6352" s="3" t="s">
        <v>6396</v>
      </c>
      <c r="B6352">
        <v>7</v>
      </c>
      <c r="E6352">
        <v>8</v>
      </c>
      <c r="AT6352">
        <v>14</v>
      </c>
      <c r="AY6352">
        <f t="shared" si="198"/>
        <v>43</v>
      </c>
      <c r="AZ6352">
        <f t="shared" si="199"/>
        <v>2</v>
      </c>
    </row>
    <row r="6353" spans="1:52" ht="55.2">
      <c r="A6353" s="3" t="s">
        <v>6397</v>
      </c>
      <c r="B6353">
        <v>7</v>
      </c>
      <c r="E6353">
        <v>8</v>
      </c>
      <c r="AT6353">
        <v>14</v>
      </c>
      <c r="AY6353">
        <f t="shared" si="198"/>
        <v>43</v>
      </c>
      <c r="AZ6353">
        <f t="shared" si="199"/>
        <v>2</v>
      </c>
    </row>
    <row r="6354" spans="1:52" ht="55.2">
      <c r="A6354" s="3" t="s">
        <v>6398</v>
      </c>
      <c r="B6354">
        <v>7</v>
      </c>
      <c r="E6354">
        <v>8</v>
      </c>
      <c r="AT6354">
        <v>14</v>
      </c>
      <c r="AY6354">
        <f t="shared" si="198"/>
        <v>43</v>
      </c>
      <c r="AZ6354">
        <f t="shared" si="199"/>
        <v>2</v>
      </c>
    </row>
    <row r="6355" spans="1:52" ht="55.2">
      <c r="A6355" s="3" t="s">
        <v>6399</v>
      </c>
      <c r="B6355">
        <v>7</v>
      </c>
      <c r="E6355">
        <v>8</v>
      </c>
      <c r="AT6355">
        <v>14</v>
      </c>
      <c r="AY6355">
        <f t="shared" si="198"/>
        <v>43</v>
      </c>
      <c r="AZ6355">
        <f t="shared" si="199"/>
        <v>2</v>
      </c>
    </row>
    <row r="6356" spans="1:52" ht="55.2">
      <c r="A6356" s="3" t="s">
        <v>6400</v>
      </c>
      <c r="B6356">
        <v>7</v>
      </c>
      <c r="E6356">
        <v>8</v>
      </c>
      <c r="AT6356">
        <v>14</v>
      </c>
      <c r="AY6356">
        <f t="shared" si="198"/>
        <v>43</v>
      </c>
      <c r="AZ6356">
        <f t="shared" si="199"/>
        <v>2</v>
      </c>
    </row>
    <row r="6357" spans="1:52" ht="55.2">
      <c r="A6357" s="3" t="s">
        <v>6401</v>
      </c>
      <c r="B6357">
        <v>7</v>
      </c>
      <c r="E6357">
        <v>8</v>
      </c>
      <c r="AT6357">
        <v>14</v>
      </c>
      <c r="AY6357">
        <f t="shared" si="198"/>
        <v>43</v>
      </c>
      <c r="AZ6357">
        <f t="shared" si="199"/>
        <v>2</v>
      </c>
    </row>
    <row r="6358" spans="1:52" ht="55.2">
      <c r="A6358" s="3" t="s">
        <v>6402</v>
      </c>
      <c r="B6358">
        <v>7</v>
      </c>
      <c r="E6358">
        <v>8</v>
      </c>
      <c r="AT6358">
        <v>14</v>
      </c>
      <c r="AY6358">
        <f t="shared" si="198"/>
        <v>43</v>
      </c>
      <c r="AZ6358">
        <f t="shared" si="199"/>
        <v>2</v>
      </c>
    </row>
    <row r="6359" spans="1:52" ht="55.2">
      <c r="A6359" s="3" t="s">
        <v>6403</v>
      </c>
      <c r="B6359">
        <v>7</v>
      </c>
      <c r="E6359">
        <v>8</v>
      </c>
      <c r="AT6359">
        <v>14</v>
      </c>
      <c r="AY6359">
        <f t="shared" si="198"/>
        <v>43</v>
      </c>
      <c r="AZ6359">
        <f t="shared" si="199"/>
        <v>2</v>
      </c>
    </row>
    <row r="6360" spans="1:52" ht="55.2">
      <c r="A6360" s="3" t="s">
        <v>6404</v>
      </c>
      <c r="B6360">
        <v>7</v>
      </c>
      <c r="E6360">
        <v>8</v>
      </c>
      <c r="AT6360">
        <v>14</v>
      </c>
      <c r="AY6360">
        <f t="shared" si="198"/>
        <v>43</v>
      </c>
      <c r="AZ6360">
        <f t="shared" si="199"/>
        <v>2</v>
      </c>
    </row>
    <row r="6361" spans="1:52" ht="55.2">
      <c r="A6361" s="3" t="s">
        <v>6405</v>
      </c>
      <c r="B6361">
        <v>7</v>
      </c>
      <c r="E6361">
        <v>8</v>
      </c>
      <c r="AT6361">
        <v>14</v>
      </c>
      <c r="AY6361">
        <f t="shared" si="198"/>
        <v>43</v>
      </c>
      <c r="AZ6361">
        <f t="shared" si="199"/>
        <v>2</v>
      </c>
    </row>
    <row r="6362" spans="1:52" ht="55.2">
      <c r="A6362" s="3" t="s">
        <v>6406</v>
      </c>
      <c r="B6362">
        <v>7</v>
      </c>
      <c r="E6362">
        <v>8</v>
      </c>
      <c r="K6362">
        <v>19</v>
      </c>
      <c r="AY6362">
        <f t="shared" si="198"/>
        <v>43</v>
      </c>
      <c r="AZ6362">
        <f t="shared" si="199"/>
        <v>2</v>
      </c>
    </row>
    <row r="6363" spans="1:52" ht="55.2">
      <c r="A6363" s="3" t="s">
        <v>6407</v>
      </c>
      <c r="B6363">
        <v>7</v>
      </c>
      <c r="E6363">
        <v>8</v>
      </c>
      <c r="K6363">
        <v>19</v>
      </c>
      <c r="AY6363">
        <f t="shared" si="198"/>
        <v>43</v>
      </c>
      <c r="AZ6363">
        <f t="shared" si="199"/>
        <v>2</v>
      </c>
    </row>
    <row r="6364" spans="1:52" ht="55.2">
      <c r="A6364" s="3" t="s">
        <v>6408</v>
      </c>
      <c r="B6364">
        <v>7</v>
      </c>
      <c r="E6364">
        <v>8</v>
      </c>
      <c r="K6364">
        <v>19</v>
      </c>
      <c r="AY6364">
        <f t="shared" si="198"/>
        <v>43</v>
      </c>
      <c r="AZ6364">
        <f t="shared" si="199"/>
        <v>2</v>
      </c>
    </row>
    <row r="6365" spans="1:52" ht="55.2">
      <c r="A6365" s="3" t="s">
        <v>6409</v>
      </c>
      <c r="B6365">
        <v>7</v>
      </c>
      <c r="E6365">
        <v>8</v>
      </c>
      <c r="K6365">
        <v>19</v>
      </c>
      <c r="AY6365">
        <f t="shared" si="198"/>
        <v>43</v>
      </c>
      <c r="AZ6365">
        <f t="shared" si="199"/>
        <v>2</v>
      </c>
    </row>
    <row r="6366" spans="1:52" ht="55.2">
      <c r="A6366" s="3" t="s">
        <v>6410</v>
      </c>
      <c r="B6366">
        <v>7</v>
      </c>
      <c r="E6366">
        <v>8</v>
      </c>
      <c r="K6366">
        <v>19</v>
      </c>
      <c r="AY6366">
        <f t="shared" si="198"/>
        <v>43</v>
      </c>
      <c r="AZ6366">
        <f t="shared" si="199"/>
        <v>2</v>
      </c>
    </row>
    <row r="6367" spans="1:52" ht="55.2">
      <c r="A6367" s="3" t="s">
        <v>6411</v>
      </c>
      <c r="B6367">
        <v>7</v>
      </c>
      <c r="E6367">
        <v>8</v>
      </c>
      <c r="K6367">
        <v>19</v>
      </c>
      <c r="AY6367">
        <f t="shared" si="198"/>
        <v>43</v>
      </c>
      <c r="AZ6367">
        <f t="shared" si="199"/>
        <v>2</v>
      </c>
    </row>
    <row r="6368" spans="1:52" ht="55.2">
      <c r="A6368" s="3" t="s">
        <v>6412</v>
      </c>
      <c r="B6368">
        <v>7</v>
      </c>
      <c r="E6368">
        <v>8</v>
      </c>
      <c r="K6368">
        <v>19</v>
      </c>
      <c r="AY6368">
        <f t="shared" si="198"/>
        <v>43</v>
      </c>
      <c r="AZ6368">
        <f t="shared" si="199"/>
        <v>2</v>
      </c>
    </row>
    <row r="6369" spans="1:52" ht="55.2">
      <c r="A6369" s="3" t="s">
        <v>6413</v>
      </c>
      <c r="B6369">
        <v>7</v>
      </c>
      <c r="E6369">
        <v>8</v>
      </c>
      <c r="K6369">
        <v>19</v>
      </c>
      <c r="AY6369">
        <f t="shared" ref="AY6369:AY6432" si="200">COUNTBLANK(F6369:AW6369)</f>
        <v>43</v>
      </c>
      <c r="AZ6369">
        <f t="shared" ref="AZ6369:AZ6432" si="201">COUNTBLANK(B6369:E6369)</f>
        <v>2</v>
      </c>
    </row>
    <row r="6370" spans="1:52" ht="55.2">
      <c r="A6370" s="3" t="s">
        <v>6414</v>
      </c>
      <c r="B6370">
        <v>7</v>
      </c>
      <c r="E6370">
        <v>8</v>
      </c>
      <c r="K6370">
        <v>19</v>
      </c>
      <c r="AY6370">
        <f t="shared" si="200"/>
        <v>43</v>
      </c>
      <c r="AZ6370">
        <f t="shared" si="201"/>
        <v>2</v>
      </c>
    </row>
    <row r="6371" spans="1:52" ht="55.2">
      <c r="A6371" s="3" t="s">
        <v>6415</v>
      </c>
      <c r="B6371">
        <v>7</v>
      </c>
      <c r="E6371">
        <v>8</v>
      </c>
      <c r="K6371">
        <v>19</v>
      </c>
      <c r="AY6371">
        <f t="shared" si="200"/>
        <v>43</v>
      </c>
      <c r="AZ6371">
        <f t="shared" si="201"/>
        <v>2</v>
      </c>
    </row>
    <row r="6372" spans="1:52" ht="55.2">
      <c r="A6372" s="3" t="s">
        <v>6416</v>
      </c>
      <c r="B6372">
        <v>7</v>
      </c>
      <c r="E6372">
        <v>8</v>
      </c>
      <c r="K6372">
        <v>19</v>
      </c>
      <c r="AY6372">
        <f t="shared" si="200"/>
        <v>43</v>
      </c>
      <c r="AZ6372">
        <f t="shared" si="201"/>
        <v>2</v>
      </c>
    </row>
    <row r="6373" spans="1:52" ht="55.2">
      <c r="A6373" s="3" t="s">
        <v>6417</v>
      </c>
      <c r="B6373">
        <v>7</v>
      </c>
      <c r="E6373">
        <v>8</v>
      </c>
      <c r="K6373">
        <v>19</v>
      </c>
      <c r="AY6373">
        <f t="shared" si="200"/>
        <v>43</v>
      </c>
      <c r="AZ6373">
        <f t="shared" si="201"/>
        <v>2</v>
      </c>
    </row>
    <row r="6374" spans="1:52" ht="55.2">
      <c r="A6374" s="3" t="s">
        <v>6418</v>
      </c>
      <c r="B6374">
        <v>7</v>
      </c>
      <c r="E6374">
        <v>8</v>
      </c>
      <c r="K6374">
        <v>19</v>
      </c>
      <c r="AY6374">
        <f t="shared" si="200"/>
        <v>43</v>
      </c>
      <c r="AZ6374">
        <f t="shared" si="201"/>
        <v>2</v>
      </c>
    </row>
    <row r="6375" spans="1:52" ht="55.2">
      <c r="A6375" s="3" t="s">
        <v>6419</v>
      </c>
      <c r="B6375">
        <v>7</v>
      </c>
      <c r="E6375">
        <v>8</v>
      </c>
      <c r="K6375">
        <v>19</v>
      </c>
      <c r="AY6375">
        <f t="shared" si="200"/>
        <v>43</v>
      </c>
      <c r="AZ6375">
        <f t="shared" si="201"/>
        <v>2</v>
      </c>
    </row>
    <row r="6376" spans="1:52" ht="55.2">
      <c r="A6376" s="3" t="s">
        <v>6420</v>
      </c>
      <c r="B6376">
        <v>7</v>
      </c>
      <c r="E6376">
        <v>8</v>
      </c>
      <c r="K6376">
        <v>19</v>
      </c>
      <c r="AY6376">
        <f t="shared" si="200"/>
        <v>43</v>
      </c>
      <c r="AZ6376">
        <f t="shared" si="201"/>
        <v>2</v>
      </c>
    </row>
    <row r="6377" spans="1:52" ht="55.2">
      <c r="A6377" s="3" t="s">
        <v>6421</v>
      </c>
      <c r="B6377">
        <v>7</v>
      </c>
      <c r="E6377">
        <v>8</v>
      </c>
      <c r="K6377">
        <v>19</v>
      </c>
      <c r="AY6377">
        <f t="shared" si="200"/>
        <v>43</v>
      </c>
      <c r="AZ6377">
        <f t="shared" si="201"/>
        <v>2</v>
      </c>
    </row>
    <row r="6378" spans="1:52" ht="55.2">
      <c r="A6378" s="3" t="s">
        <v>6422</v>
      </c>
      <c r="B6378">
        <v>7</v>
      </c>
      <c r="E6378">
        <v>8</v>
      </c>
      <c r="K6378">
        <v>19</v>
      </c>
      <c r="AY6378">
        <f t="shared" si="200"/>
        <v>43</v>
      </c>
      <c r="AZ6378">
        <f t="shared" si="201"/>
        <v>2</v>
      </c>
    </row>
    <row r="6379" spans="1:52" ht="55.2">
      <c r="A6379" s="3" t="s">
        <v>6423</v>
      </c>
      <c r="B6379">
        <v>7</v>
      </c>
      <c r="E6379">
        <v>8</v>
      </c>
      <c r="K6379">
        <v>19</v>
      </c>
      <c r="AY6379">
        <f t="shared" si="200"/>
        <v>43</v>
      </c>
      <c r="AZ6379">
        <f t="shared" si="201"/>
        <v>2</v>
      </c>
    </row>
    <row r="6380" spans="1:52" ht="55.2">
      <c r="A6380" s="3" t="s">
        <v>6424</v>
      </c>
      <c r="B6380">
        <v>7</v>
      </c>
      <c r="E6380">
        <v>8</v>
      </c>
      <c r="K6380">
        <v>19</v>
      </c>
      <c r="AY6380">
        <f t="shared" si="200"/>
        <v>43</v>
      </c>
      <c r="AZ6380">
        <f t="shared" si="201"/>
        <v>2</v>
      </c>
    </row>
    <row r="6381" spans="1:52" ht="55.2">
      <c r="A6381" s="3" t="s">
        <v>6425</v>
      </c>
      <c r="B6381">
        <v>7</v>
      </c>
      <c r="E6381">
        <v>8</v>
      </c>
      <c r="K6381">
        <v>19</v>
      </c>
      <c r="AY6381">
        <f t="shared" si="200"/>
        <v>43</v>
      </c>
      <c r="AZ6381">
        <f t="shared" si="201"/>
        <v>2</v>
      </c>
    </row>
    <row r="6382" spans="1:52" ht="55.2">
      <c r="A6382" s="3" t="s">
        <v>6426</v>
      </c>
      <c r="B6382">
        <v>7</v>
      </c>
      <c r="E6382">
        <v>8</v>
      </c>
      <c r="K6382">
        <v>19</v>
      </c>
      <c r="AY6382">
        <f t="shared" si="200"/>
        <v>43</v>
      </c>
      <c r="AZ6382">
        <f t="shared" si="201"/>
        <v>2</v>
      </c>
    </row>
    <row r="6383" spans="1:52" ht="55.2">
      <c r="A6383" s="3" t="s">
        <v>6427</v>
      </c>
      <c r="B6383">
        <v>7</v>
      </c>
      <c r="E6383">
        <v>8</v>
      </c>
      <c r="K6383">
        <v>19</v>
      </c>
      <c r="AY6383">
        <f t="shared" si="200"/>
        <v>43</v>
      </c>
      <c r="AZ6383">
        <f t="shared" si="201"/>
        <v>2</v>
      </c>
    </row>
    <row r="6384" spans="1:52" ht="55.2">
      <c r="A6384" s="3" t="s">
        <v>6428</v>
      </c>
      <c r="B6384">
        <v>7</v>
      </c>
      <c r="E6384">
        <v>8</v>
      </c>
      <c r="K6384">
        <v>19</v>
      </c>
      <c r="AY6384">
        <f t="shared" si="200"/>
        <v>43</v>
      </c>
      <c r="AZ6384">
        <f t="shared" si="201"/>
        <v>2</v>
      </c>
    </row>
    <row r="6385" spans="1:52" ht="55.2">
      <c r="A6385" s="3" t="s">
        <v>6429</v>
      </c>
      <c r="B6385">
        <v>7</v>
      </c>
      <c r="E6385">
        <v>8</v>
      </c>
      <c r="K6385">
        <v>19</v>
      </c>
      <c r="AY6385">
        <f t="shared" si="200"/>
        <v>43</v>
      </c>
      <c r="AZ6385">
        <f t="shared" si="201"/>
        <v>2</v>
      </c>
    </row>
    <row r="6386" spans="1:52" ht="55.2">
      <c r="A6386" s="3" t="s">
        <v>6430</v>
      </c>
      <c r="B6386">
        <v>7</v>
      </c>
      <c r="E6386">
        <v>8</v>
      </c>
      <c r="K6386">
        <v>19</v>
      </c>
      <c r="AY6386">
        <f t="shared" si="200"/>
        <v>43</v>
      </c>
      <c r="AZ6386">
        <f t="shared" si="201"/>
        <v>2</v>
      </c>
    </row>
    <row r="6387" spans="1:52" ht="55.2">
      <c r="A6387" s="3" t="s">
        <v>6431</v>
      </c>
      <c r="B6387">
        <v>7</v>
      </c>
      <c r="E6387">
        <v>8</v>
      </c>
      <c r="J6387">
        <v>65</v>
      </c>
      <c r="AY6387">
        <f t="shared" si="200"/>
        <v>43</v>
      </c>
      <c r="AZ6387">
        <f t="shared" si="201"/>
        <v>2</v>
      </c>
    </row>
    <row r="6388" spans="1:52" ht="55.2">
      <c r="A6388" s="3" t="s">
        <v>6432</v>
      </c>
      <c r="B6388">
        <v>7</v>
      </c>
      <c r="E6388">
        <v>8</v>
      </c>
      <c r="J6388">
        <v>65</v>
      </c>
      <c r="AY6388">
        <f t="shared" si="200"/>
        <v>43</v>
      </c>
      <c r="AZ6388">
        <f t="shared" si="201"/>
        <v>2</v>
      </c>
    </row>
    <row r="6389" spans="1:52" ht="55.2">
      <c r="A6389" s="3" t="s">
        <v>6433</v>
      </c>
      <c r="B6389">
        <v>7</v>
      </c>
      <c r="E6389">
        <v>8</v>
      </c>
      <c r="J6389">
        <v>65</v>
      </c>
      <c r="AY6389">
        <f t="shared" si="200"/>
        <v>43</v>
      </c>
      <c r="AZ6389">
        <f t="shared" si="201"/>
        <v>2</v>
      </c>
    </row>
    <row r="6390" spans="1:52" ht="55.2">
      <c r="A6390" s="3" t="s">
        <v>6434</v>
      </c>
      <c r="B6390">
        <v>7</v>
      </c>
      <c r="E6390">
        <v>8</v>
      </c>
      <c r="J6390">
        <v>65</v>
      </c>
      <c r="AY6390">
        <f t="shared" si="200"/>
        <v>43</v>
      </c>
      <c r="AZ6390">
        <f t="shared" si="201"/>
        <v>2</v>
      </c>
    </row>
    <row r="6391" spans="1:52" ht="55.2">
      <c r="A6391" s="3" t="s">
        <v>6435</v>
      </c>
      <c r="B6391">
        <v>7</v>
      </c>
      <c r="E6391">
        <v>8</v>
      </c>
      <c r="J6391">
        <v>65</v>
      </c>
      <c r="AY6391">
        <f t="shared" si="200"/>
        <v>43</v>
      </c>
      <c r="AZ6391">
        <f t="shared" si="201"/>
        <v>2</v>
      </c>
    </row>
    <row r="6392" spans="1:52" ht="55.2">
      <c r="A6392" s="3" t="s">
        <v>6436</v>
      </c>
      <c r="B6392">
        <v>7</v>
      </c>
      <c r="E6392">
        <v>8</v>
      </c>
      <c r="J6392">
        <v>65</v>
      </c>
      <c r="AY6392">
        <f t="shared" si="200"/>
        <v>43</v>
      </c>
      <c r="AZ6392">
        <f t="shared" si="201"/>
        <v>2</v>
      </c>
    </row>
    <row r="6393" spans="1:52" ht="55.2">
      <c r="A6393" s="3" t="s">
        <v>6437</v>
      </c>
      <c r="B6393">
        <v>7</v>
      </c>
      <c r="E6393">
        <v>8</v>
      </c>
      <c r="J6393">
        <v>65</v>
      </c>
      <c r="AY6393">
        <f t="shared" si="200"/>
        <v>43</v>
      </c>
      <c r="AZ6393">
        <f t="shared" si="201"/>
        <v>2</v>
      </c>
    </row>
    <row r="6394" spans="1:52" ht="55.2">
      <c r="A6394" s="3" t="s">
        <v>6438</v>
      </c>
      <c r="B6394">
        <v>7</v>
      </c>
      <c r="E6394">
        <v>8</v>
      </c>
      <c r="J6394">
        <v>65</v>
      </c>
      <c r="AY6394">
        <f t="shared" si="200"/>
        <v>43</v>
      </c>
      <c r="AZ6394">
        <f t="shared" si="201"/>
        <v>2</v>
      </c>
    </row>
    <row r="6395" spans="1:52" ht="55.2">
      <c r="A6395" s="3" t="s">
        <v>6439</v>
      </c>
      <c r="E6395">
        <v>8</v>
      </c>
      <c r="J6395">
        <v>65</v>
      </c>
      <c r="AY6395">
        <f t="shared" si="200"/>
        <v>43</v>
      </c>
      <c r="AZ6395">
        <f t="shared" si="201"/>
        <v>3</v>
      </c>
    </row>
    <row r="6396" spans="1:52" ht="55.2">
      <c r="A6396" s="3" t="s">
        <v>6440</v>
      </c>
      <c r="E6396">
        <v>8</v>
      </c>
      <c r="AN6396">
        <v>4</v>
      </c>
      <c r="AY6396">
        <f t="shared" si="200"/>
        <v>43</v>
      </c>
      <c r="AZ6396">
        <f t="shared" si="201"/>
        <v>3</v>
      </c>
    </row>
    <row r="6397" spans="1:52" ht="55.2">
      <c r="A6397" s="3" t="s">
        <v>6441</v>
      </c>
      <c r="E6397">
        <v>8</v>
      </c>
      <c r="AN6397">
        <v>4</v>
      </c>
      <c r="AY6397">
        <f t="shared" si="200"/>
        <v>43</v>
      </c>
      <c r="AZ6397">
        <f t="shared" si="201"/>
        <v>3</v>
      </c>
    </row>
    <row r="6398" spans="1:52" ht="55.2">
      <c r="A6398" s="3" t="s">
        <v>6442</v>
      </c>
      <c r="E6398">
        <v>8</v>
      </c>
      <c r="AN6398">
        <v>4</v>
      </c>
      <c r="AY6398">
        <f t="shared" si="200"/>
        <v>43</v>
      </c>
      <c r="AZ6398">
        <f t="shared" si="201"/>
        <v>3</v>
      </c>
    </row>
    <row r="6399" spans="1:52" ht="55.2">
      <c r="A6399" s="3" t="s">
        <v>6443</v>
      </c>
      <c r="E6399">
        <v>8</v>
      </c>
      <c r="AN6399">
        <v>4</v>
      </c>
      <c r="AY6399">
        <f t="shared" si="200"/>
        <v>43</v>
      </c>
      <c r="AZ6399">
        <f t="shared" si="201"/>
        <v>3</v>
      </c>
    </row>
    <row r="6400" spans="1:52" ht="55.2">
      <c r="A6400" s="3" t="s">
        <v>6444</v>
      </c>
      <c r="E6400">
        <v>8</v>
      </c>
      <c r="AN6400">
        <v>4</v>
      </c>
      <c r="AY6400">
        <f t="shared" si="200"/>
        <v>43</v>
      </c>
      <c r="AZ6400">
        <f t="shared" si="201"/>
        <v>3</v>
      </c>
    </row>
    <row r="6401" spans="1:52" ht="55.2">
      <c r="A6401" s="3" t="s">
        <v>6445</v>
      </c>
      <c r="E6401">
        <v>8</v>
      </c>
      <c r="AN6401">
        <v>4</v>
      </c>
      <c r="AY6401">
        <f t="shared" si="200"/>
        <v>43</v>
      </c>
      <c r="AZ6401">
        <f t="shared" si="201"/>
        <v>3</v>
      </c>
    </row>
    <row r="6402" spans="1:52" ht="55.2">
      <c r="A6402" s="3" t="s">
        <v>6446</v>
      </c>
      <c r="E6402">
        <v>8</v>
      </c>
      <c r="AN6402">
        <v>4</v>
      </c>
      <c r="AY6402">
        <f t="shared" si="200"/>
        <v>43</v>
      </c>
      <c r="AZ6402">
        <f t="shared" si="201"/>
        <v>3</v>
      </c>
    </row>
    <row r="6403" spans="1:52" ht="55.2">
      <c r="A6403" s="3" t="s">
        <v>6447</v>
      </c>
      <c r="E6403">
        <v>8</v>
      </c>
      <c r="AN6403">
        <v>4</v>
      </c>
      <c r="AY6403">
        <f t="shared" si="200"/>
        <v>43</v>
      </c>
      <c r="AZ6403">
        <f t="shared" si="201"/>
        <v>3</v>
      </c>
    </row>
    <row r="6404" spans="1:52" ht="55.2">
      <c r="A6404" s="3" t="s">
        <v>6448</v>
      </c>
      <c r="E6404">
        <v>8</v>
      </c>
      <c r="AN6404">
        <v>4</v>
      </c>
      <c r="AY6404">
        <f t="shared" si="200"/>
        <v>43</v>
      </c>
      <c r="AZ6404">
        <f t="shared" si="201"/>
        <v>3</v>
      </c>
    </row>
    <row r="6405" spans="1:52" ht="55.2">
      <c r="A6405" s="3" t="s">
        <v>6449</v>
      </c>
      <c r="E6405">
        <v>8</v>
      </c>
      <c r="AN6405">
        <v>4</v>
      </c>
      <c r="AY6405">
        <f t="shared" si="200"/>
        <v>43</v>
      </c>
      <c r="AZ6405">
        <f t="shared" si="201"/>
        <v>3</v>
      </c>
    </row>
    <row r="6406" spans="1:52" ht="55.2">
      <c r="A6406" s="3" t="s">
        <v>6450</v>
      </c>
      <c r="E6406">
        <v>8</v>
      </c>
      <c r="AN6406">
        <v>4</v>
      </c>
      <c r="AY6406">
        <f t="shared" si="200"/>
        <v>43</v>
      </c>
      <c r="AZ6406">
        <f t="shared" si="201"/>
        <v>3</v>
      </c>
    </row>
    <row r="6407" spans="1:52" ht="55.2">
      <c r="A6407" s="3" t="s">
        <v>6451</v>
      </c>
      <c r="E6407">
        <v>8</v>
      </c>
      <c r="AN6407">
        <v>4</v>
      </c>
      <c r="AY6407">
        <f t="shared" si="200"/>
        <v>43</v>
      </c>
      <c r="AZ6407">
        <f t="shared" si="201"/>
        <v>3</v>
      </c>
    </row>
    <row r="6408" spans="1:52" ht="55.2">
      <c r="A6408" s="3" t="s">
        <v>6452</v>
      </c>
      <c r="E6408">
        <v>8</v>
      </c>
      <c r="AN6408">
        <v>4</v>
      </c>
      <c r="AY6408">
        <f t="shared" si="200"/>
        <v>43</v>
      </c>
      <c r="AZ6408">
        <f t="shared" si="201"/>
        <v>3</v>
      </c>
    </row>
    <row r="6409" spans="1:52" ht="55.2">
      <c r="A6409" s="3" t="s">
        <v>6453</v>
      </c>
      <c r="E6409">
        <v>8</v>
      </c>
      <c r="AN6409">
        <v>4</v>
      </c>
      <c r="AY6409">
        <f t="shared" si="200"/>
        <v>43</v>
      </c>
      <c r="AZ6409">
        <f t="shared" si="201"/>
        <v>3</v>
      </c>
    </row>
    <row r="6410" spans="1:52" ht="55.2">
      <c r="A6410" s="3" t="s">
        <v>6454</v>
      </c>
      <c r="E6410">
        <v>8</v>
      </c>
      <c r="AN6410">
        <v>4</v>
      </c>
      <c r="AY6410">
        <f t="shared" si="200"/>
        <v>43</v>
      </c>
      <c r="AZ6410">
        <f t="shared" si="201"/>
        <v>3</v>
      </c>
    </row>
    <row r="6411" spans="1:52" ht="55.2">
      <c r="A6411" s="3" t="s">
        <v>6455</v>
      </c>
      <c r="E6411">
        <v>8</v>
      </c>
      <c r="AW6411">
        <v>22</v>
      </c>
      <c r="AY6411">
        <f t="shared" si="200"/>
        <v>43</v>
      </c>
      <c r="AZ6411">
        <f t="shared" si="201"/>
        <v>3</v>
      </c>
    </row>
    <row r="6412" spans="1:52" ht="55.2">
      <c r="A6412" s="3" t="s">
        <v>6456</v>
      </c>
      <c r="E6412">
        <v>8</v>
      </c>
      <c r="AO6412">
        <v>1</v>
      </c>
      <c r="AY6412">
        <f t="shared" si="200"/>
        <v>43</v>
      </c>
      <c r="AZ6412">
        <f t="shared" si="201"/>
        <v>3</v>
      </c>
    </row>
    <row r="6413" spans="1:52" ht="55.2">
      <c r="A6413" s="3" t="s">
        <v>6457</v>
      </c>
      <c r="E6413">
        <v>8</v>
      </c>
      <c r="AO6413">
        <v>1</v>
      </c>
      <c r="AY6413">
        <f t="shared" si="200"/>
        <v>43</v>
      </c>
      <c r="AZ6413">
        <f t="shared" si="201"/>
        <v>3</v>
      </c>
    </row>
    <row r="6414" spans="1:52" ht="55.2">
      <c r="A6414" s="3" t="s">
        <v>6458</v>
      </c>
      <c r="E6414">
        <v>8</v>
      </c>
      <c r="AO6414">
        <v>1</v>
      </c>
      <c r="AY6414">
        <f t="shared" si="200"/>
        <v>43</v>
      </c>
      <c r="AZ6414">
        <f t="shared" si="201"/>
        <v>3</v>
      </c>
    </row>
    <row r="6415" spans="1:52" ht="55.2">
      <c r="A6415" s="3" t="s">
        <v>6459</v>
      </c>
      <c r="E6415">
        <v>8</v>
      </c>
      <c r="AO6415">
        <v>1</v>
      </c>
      <c r="AY6415">
        <f t="shared" si="200"/>
        <v>43</v>
      </c>
      <c r="AZ6415">
        <f t="shared" si="201"/>
        <v>3</v>
      </c>
    </row>
    <row r="6416" spans="1:52" ht="55.2">
      <c r="A6416" s="3" t="s">
        <v>6460</v>
      </c>
      <c r="E6416">
        <v>8</v>
      </c>
      <c r="AO6416">
        <v>1</v>
      </c>
      <c r="AY6416">
        <f t="shared" si="200"/>
        <v>43</v>
      </c>
      <c r="AZ6416">
        <f t="shared" si="201"/>
        <v>3</v>
      </c>
    </row>
    <row r="6417" spans="1:52" ht="55.2">
      <c r="A6417" s="3" t="s">
        <v>6461</v>
      </c>
      <c r="E6417">
        <v>8</v>
      </c>
      <c r="AO6417">
        <v>1</v>
      </c>
      <c r="AY6417">
        <f t="shared" si="200"/>
        <v>43</v>
      </c>
      <c r="AZ6417">
        <f t="shared" si="201"/>
        <v>3</v>
      </c>
    </row>
    <row r="6418" spans="1:52" ht="55.2">
      <c r="A6418" s="3" t="s">
        <v>6462</v>
      </c>
      <c r="E6418">
        <v>8</v>
      </c>
      <c r="AO6418">
        <v>1</v>
      </c>
      <c r="AY6418">
        <f t="shared" si="200"/>
        <v>43</v>
      </c>
      <c r="AZ6418">
        <f t="shared" si="201"/>
        <v>3</v>
      </c>
    </row>
    <row r="6419" spans="1:52" ht="55.2">
      <c r="A6419" s="3" t="s">
        <v>6463</v>
      </c>
      <c r="E6419">
        <v>8</v>
      </c>
      <c r="AO6419">
        <v>1</v>
      </c>
      <c r="AY6419">
        <f t="shared" si="200"/>
        <v>43</v>
      </c>
      <c r="AZ6419">
        <f t="shared" si="201"/>
        <v>3</v>
      </c>
    </row>
    <row r="6420" spans="1:52" ht="55.2">
      <c r="A6420" s="3" t="s">
        <v>6464</v>
      </c>
      <c r="E6420">
        <v>8</v>
      </c>
      <c r="AO6420">
        <v>1</v>
      </c>
      <c r="AY6420">
        <f t="shared" si="200"/>
        <v>43</v>
      </c>
      <c r="AZ6420">
        <f t="shared" si="201"/>
        <v>3</v>
      </c>
    </row>
    <row r="6421" spans="1:52" ht="55.2">
      <c r="A6421" s="3" t="s">
        <v>6465</v>
      </c>
      <c r="E6421">
        <v>8</v>
      </c>
      <c r="AO6421">
        <v>1</v>
      </c>
      <c r="AY6421">
        <f t="shared" si="200"/>
        <v>43</v>
      </c>
      <c r="AZ6421">
        <f t="shared" si="201"/>
        <v>3</v>
      </c>
    </row>
    <row r="6422" spans="1:52" ht="55.2">
      <c r="A6422" s="3" t="s">
        <v>6466</v>
      </c>
      <c r="E6422">
        <v>8</v>
      </c>
      <c r="AO6422">
        <v>1</v>
      </c>
      <c r="AY6422">
        <f t="shared" si="200"/>
        <v>43</v>
      </c>
      <c r="AZ6422">
        <f t="shared" si="201"/>
        <v>3</v>
      </c>
    </row>
    <row r="6423" spans="1:52" ht="55.2">
      <c r="A6423" s="3" t="s">
        <v>6467</v>
      </c>
      <c r="E6423">
        <v>8</v>
      </c>
      <c r="AO6423">
        <v>1</v>
      </c>
      <c r="AY6423">
        <f t="shared" si="200"/>
        <v>43</v>
      </c>
      <c r="AZ6423">
        <f t="shared" si="201"/>
        <v>3</v>
      </c>
    </row>
    <row r="6424" spans="1:52" ht="55.2">
      <c r="A6424" s="3" t="s">
        <v>6468</v>
      </c>
      <c r="E6424">
        <v>8</v>
      </c>
      <c r="AO6424">
        <v>1</v>
      </c>
      <c r="AY6424">
        <f t="shared" si="200"/>
        <v>43</v>
      </c>
      <c r="AZ6424">
        <f t="shared" si="201"/>
        <v>3</v>
      </c>
    </row>
    <row r="6425" spans="1:52" ht="55.2">
      <c r="A6425" s="3" t="s">
        <v>6469</v>
      </c>
      <c r="E6425">
        <v>8</v>
      </c>
      <c r="AO6425">
        <v>1</v>
      </c>
      <c r="AY6425">
        <f t="shared" si="200"/>
        <v>43</v>
      </c>
      <c r="AZ6425">
        <f t="shared" si="201"/>
        <v>3</v>
      </c>
    </row>
    <row r="6426" spans="1:52" ht="55.2">
      <c r="A6426" s="3" t="s">
        <v>6470</v>
      </c>
      <c r="E6426">
        <v>8</v>
      </c>
      <c r="AO6426">
        <v>1</v>
      </c>
      <c r="AY6426">
        <f t="shared" si="200"/>
        <v>43</v>
      </c>
      <c r="AZ6426">
        <f t="shared" si="201"/>
        <v>3</v>
      </c>
    </row>
    <row r="6427" spans="1:52" ht="55.2">
      <c r="A6427" s="3" t="s">
        <v>6471</v>
      </c>
      <c r="E6427">
        <v>8</v>
      </c>
      <c r="AO6427">
        <v>1</v>
      </c>
      <c r="AY6427">
        <f t="shared" si="200"/>
        <v>43</v>
      </c>
      <c r="AZ6427">
        <f t="shared" si="201"/>
        <v>3</v>
      </c>
    </row>
    <row r="6428" spans="1:52" ht="55.2">
      <c r="A6428" s="3" t="s">
        <v>6472</v>
      </c>
      <c r="E6428">
        <v>8</v>
      </c>
      <c r="AO6428">
        <v>1</v>
      </c>
      <c r="AY6428">
        <f t="shared" si="200"/>
        <v>43</v>
      </c>
      <c r="AZ6428">
        <f t="shared" si="201"/>
        <v>3</v>
      </c>
    </row>
    <row r="6429" spans="1:52" ht="55.2">
      <c r="A6429" s="3" t="s">
        <v>6473</v>
      </c>
      <c r="E6429">
        <v>8</v>
      </c>
      <c r="AO6429">
        <v>1</v>
      </c>
      <c r="AY6429">
        <f t="shared" si="200"/>
        <v>43</v>
      </c>
      <c r="AZ6429">
        <f t="shared" si="201"/>
        <v>3</v>
      </c>
    </row>
    <row r="6430" spans="1:52" ht="55.2">
      <c r="A6430" s="3" t="s">
        <v>6474</v>
      </c>
      <c r="E6430">
        <v>8</v>
      </c>
      <c r="AO6430">
        <v>1</v>
      </c>
      <c r="AY6430">
        <f t="shared" si="200"/>
        <v>43</v>
      </c>
      <c r="AZ6430">
        <f t="shared" si="201"/>
        <v>3</v>
      </c>
    </row>
    <row r="6431" spans="1:52" ht="55.2">
      <c r="A6431" s="3" t="s">
        <v>6475</v>
      </c>
      <c r="E6431">
        <v>8</v>
      </c>
      <c r="AO6431">
        <v>1</v>
      </c>
      <c r="AY6431">
        <f t="shared" si="200"/>
        <v>43</v>
      </c>
      <c r="AZ6431">
        <f t="shared" si="201"/>
        <v>3</v>
      </c>
    </row>
    <row r="6432" spans="1:52" ht="55.2">
      <c r="A6432" s="3" t="s">
        <v>6476</v>
      </c>
      <c r="E6432">
        <v>8</v>
      </c>
      <c r="AO6432">
        <v>1</v>
      </c>
      <c r="AY6432">
        <f t="shared" si="200"/>
        <v>43</v>
      </c>
      <c r="AZ6432">
        <f t="shared" si="201"/>
        <v>3</v>
      </c>
    </row>
    <row r="6433" spans="1:52" ht="55.2">
      <c r="A6433" s="3" t="s">
        <v>6477</v>
      </c>
      <c r="E6433">
        <v>8</v>
      </c>
      <c r="AO6433">
        <v>1</v>
      </c>
      <c r="AY6433">
        <f t="shared" ref="AY6433:AY6496" si="202">COUNTBLANK(F6433:AW6433)</f>
        <v>43</v>
      </c>
      <c r="AZ6433">
        <f t="shared" ref="AZ6433:AZ6496" si="203">COUNTBLANK(B6433:E6433)</f>
        <v>3</v>
      </c>
    </row>
    <row r="6434" spans="1:52" ht="55.2">
      <c r="A6434" s="3" t="s">
        <v>6478</v>
      </c>
      <c r="E6434">
        <v>8</v>
      </c>
      <c r="AO6434">
        <v>1</v>
      </c>
      <c r="AY6434">
        <f t="shared" si="202"/>
        <v>43</v>
      </c>
      <c r="AZ6434">
        <f t="shared" si="203"/>
        <v>3</v>
      </c>
    </row>
    <row r="6435" spans="1:52" ht="55.2">
      <c r="A6435" s="3" t="s">
        <v>6479</v>
      </c>
      <c r="E6435">
        <v>8</v>
      </c>
      <c r="AO6435">
        <v>1</v>
      </c>
      <c r="AY6435">
        <f t="shared" si="202"/>
        <v>43</v>
      </c>
      <c r="AZ6435">
        <f t="shared" si="203"/>
        <v>3</v>
      </c>
    </row>
    <row r="6436" spans="1:52" ht="55.2">
      <c r="A6436" s="3" t="s">
        <v>6480</v>
      </c>
      <c r="E6436">
        <v>8</v>
      </c>
      <c r="AO6436">
        <v>1</v>
      </c>
      <c r="AY6436">
        <f t="shared" si="202"/>
        <v>43</v>
      </c>
      <c r="AZ6436">
        <f t="shared" si="203"/>
        <v>3</v>
      </c>
    </row>
    <row r="6437" spans="1:52" ht="55.2">
      <c r="A6437" s="3" t="s">
        <v>6481</v>
      </c>
      <c r="E6437">
        <v>8</v>
      </c>
      <c r="AO6437">
        <v>1</v>
      </c>
      <c r="AY6437">
        <f t="shared" si="202"/>
        <v>43</v>
      </c>
      <c r="AZ6437">
        <f t="shared" si="203"/>
        <v>3</v>
      </c>
    </row>
    <row r="6438" spans="1:52" ht="55.2">
      <c r="A6438" s="3" t="s">
        <v>6482</v>
      </c>
      <c r="E6438">
        <v>8</v>
      </c>
      <c r="AO6438">
        <v>1</v>
      </c>
      <c r="AY6438">
        <f t="shared" si="202"/>
        <v>43</v>
      </c>
      <c r="AZ6438">
        <f t="shared" si="203"/>
        <v>3</v>
      </c>
    </row>
    <row r="6439" spans="1:52" ht="55.2">
      <c r="A6439" s="3" t="s">
        <v>6483</v>
      </c>
      <c r="E6439">
        <v>8</v>
      </c>
      <c r="AO6439">
        <v>1</v>
      </c>
      <c r="AY6439">
        <f t="shared" si="202"/>
        <v>43</v>
      </c>
      <c r="AZ6439">
        <f t="shared" si="203"/>
        <v>3</v>
      </c>
    </row>
    <row r="6440" spans="1:52" ht="55.2">
      <c r="A6440" s="3" t="s">
        <v>6484</v>
      </c>
      <c r="E6440">
        <v>8</v>
      </c>
      <c r="AO6440">
        <v>1</v>
      </c>
      <c r="AY6440">
        <f t="shared" si="202"/>
        <v>43</v>
      </c>
      <c r="AZ6440">
        <f t="shared" si="203"/>
        <v>3</v>
      </c>
    </row>
    <row r="6441" spans="1:52" ht="55.2">
      <c r="A6441" s="3" t="s">
        <v>6485</v>
      </c>
      <c r="E6441">
        <v>8</v>
      </c>
      <c r="AO6441">
        <v>1</v>
      </c>
      <c r="AY6441">
        <f t="shared" si="202"/>
        <v>43</v>
      </c>
      <c r="AZ6441">
        <f t="shared" si="203"/>
        <v>3</v>
      </c>
    </row>
    <row r="6442" spans="1:52" ht="55.2">
      <c r="A6442" s="3" t="s">
        <v>6486</v>
      </c>
      <c r="E6442">
        <v>8</v>
      </c>
      <c r="AO6442">
        <v>1</v>
      </c>
      <c r="AY6442">
        <f t="shared" si="202"/>
        <v>43</v>
      </c>
      <c r="AZ6442">
        <f t="shared" si="203"/>
        <v>3</v>
      </c>
    </row>
    <row r="6443" spans="1:52" ht="55.2">
      <c r="A6443" s="3" t="s">
        <v>6487</v>
      </c>
      <c r="E6443">
        <v>8</v>
      </c>
      <c r="AO6443">
        <v>1</v>
      </c>
      <c r="AY6443">
        <f t="shared" si="202"/>
        <v>43</v>
      </c>
      <c r="AZ6443">
        <f t="shared" si="203"/>
        <v>3</v>
      </c>
    </row>
    <row r="6444" spans="1:52" ht="55.2">
      <c r="A6444" s="3" t="s">
        <v>6488</v>
      </c>
      <c r="E6444">
        <v>8</v>
      </c>
      <c r="AO6444">
        <v>1</v>
      </c>
      <c r="AY6444">
        <f t="shared" si="202"/>
        <v>43</v>
      </c>
      <c r="AZ6444">
        <f t="shared" si="203"/>
        <v>3</v>
      </c>
    </row>
    <row r="6445" spans="1:52" ht="55.2">
      <c r="A6445" s="3" t="s">
        <v>6489</v>
      </c>
      <c r="E6445">
        <v>8</v>
      </c>
      <c r="AO6445">
        <v>1</v>
      </c>
      <c r="AY6445">
        <f t="shared" si="202"/>
        <v>43</v>
      </c>
      <c r="AZ6445">
        <f t="shared" si="203"/>
        <v>3</v>
      </c>
    </row>
    <row r="6446" spans="1:52" ht="55.2">
      <c r="A6446" s="3" t="s">
        <v>6490</v>
      </c>
      <c r="E6446">
        <v>8</v>
      </c>
      <c r="AO6446">
        <v>1</v>
      </c>
      <c r="AY6446">
        <f t="shared" si="202"/>
        <v>43</v>
      </c>
      <c r="AZ6446">
        <f t="shared" si="203"/>
        <v>3</v>
      </c>
    </row>
    <row r="6447" spans="1:52" ht="55.2">
      <c r="A6447" s="3" t="s">
        <v>6491</v>
      </c>
      <c r="E6447">
        <v>8</v>
      </c>
      <c r="AO6447">
        <v>1</v>
      </c>
      <c r="AY6447">
        <f t="shared" si="202"/>
        <v>43</v>
      </c>
      <c r="AZ6447">
        <f t="shared" si="203"/>
        <v>3</v>
      </c>
    </row>
    <row r="6448" spans="1:52" ht="55.2">
      <c r="A6448" s="3" t="s">
        <v>6492</v>
      </c>
      <c r="E6448">
        <v>8</v>
      </c>
      <c r="AO6448">
        <v>1</v>
      </c>
      <c r="AY6448">
        <f t="shared" si="202"/>
        <v>43</v>
      </c>
      <c r="AZ6448">
        <f t="shared" si="203"/>
        <v>3</v>
      </c>
    </row>
    <row r="6449" spans="1:52" ht="55.2">
      <c r="A6449" s="3" t="s">
        <v>6493</v>
      </c>
      <c r="E6449">
        <v>8</v>
      </c>
      <c r="AO6449">
        <v>1</v>
      </c>
      <c r="AY6449">
        <f t="shared" si="202"/>
        <v>43</v>
      </c>
      <c r="AZ6449">
        <f t="shared" si="203"/>
        <v>3</v>
      </c>
    </row>
    <row r="6450" spans="1:52" ht="55.2">
      <c r="A6450" s="3" t="s">
        <v>6494</v>
      </c>
      <c r="E6450">
        <v>8</v>
      </c>
      <c r="AO6450">
        <v>1</v>
      </c>
      <c r="AY6450">
        <f t="shared" si="202"/>
        <v>43</v>
      </c>
      <c r="AZ6450">
        <f t="shared" si="203"/>
        <v>3</v>
      </c>
    </row>
    <row r="6451" spans="1:52" ht="55.2">
      <c r="A6451" s="3" t="s">
        <v>6495</v>
      </c>
      <c r="E6451">
        <v>8</v>
      </c>
      <c r="AO6451">
        <v>1</v>
      </c>
      <c r="AY6451">
        <f t="shared" si="202"/>
        <v>43</v>
      </c>
      <c r="AZ6451">
        <f t="shared" si="203"/>
        <v>3</v>
      </c>
    </row>
    <row r="6452" spans="1:52" ht="55.2">
      <c r="A6452" s="3" t="s">
        <v>6496</v>
      </c>
      <c r="E6452">
        <v>8</v>
      </c>
      <c r="J6452">
        <v>66</v>
      </c>
      <c r="AY6452">
        <f t="shared" si="202"/>
        <v>43</v>
      </c>
      <c r="AZ6452">
        <f t="shared" si="203"/>
        <v>3</v>
      </c>
    </row>
    <row r="6453" spans="1:52" ht="55.2">
      <c r="A6453" s="3" t="s">
        <v>6497</v>
      </c>
      <c r="E6453">
        <v>8</v>
      </c>
      <c r="J6453">
        <v>66</v>
      </c>
      <c r="AY6453">
        <f t="shared" si="202"/>
        <v>43</v>
      </c>
      <c r="AZ6453">
        <f t="shared" si="203"/>
        <v>3</v>
      </c>
    </row>
    <row r="6454" spans="1:52" ht="55.2">
      <c r="A6454" s="3" t="s">
        <v>6498</v>
      </c>
      <c r="E6454">
        <v>8</v>
      </c>
      <c r="J6454">
        <v>66</v>
      </c>
      <c r="AY6454">
        <f t="shared" si="202"/>
        <v>43</v>
      </c>
      <c r="AZ6454">
        <f t="shared" si="203"/>
        <v>3</v>
      </c>
    </row>
    <row r="6455" spans="1:52" ht="55.2">
      <c r="A6455" s="3" t="s">
        <v>6499</v>
      </c>
      <c r="E6455">
        <v>8</v>
      </c>
      <c r="J6455">
        <v>66</v>
      </c>
      <c r="AY6455">
        <f t="shared" si="202"/>
        <v>43</v>
      </c>
      <c r="AZ6455">
        <f t="shared" si="203"/>
        <v>3</v>
      </c>
    </row>
    <row r="6456" spans="1:52" ht="55.2">
      <c r="A6456" s="3" t="s">
        <v>6500</v>
      </c>
      <c r="E6456">
        <v>8</v>
      </c>
      <c r="AN6456">
        <v>5</v>
      </c>
      <c r="AY6456">
        <f t="shared" si="202"/>
        <v>43</v>
      </c>
      <c r="AZ6456">
        <f t="shared" si="203"/>
        <v>3</v>
      </c>
    </row>
    <row r="6457" spans="1:52" ht="55.2">
      <c r="A6457" s="3" t="s">
        <v>6501</v>
      </c>
      <c r="E6457">
        <v>8</v>
      </c>
      <c r="AN6457">
        <v>5</v>
      </c>
      <c r="AY6457">
        <f t="shared" si="202"/>
        <v>43</v>
      </c>
      <c r="AZ6457">
        <f t="shared" si="203"/>
        <v>3</v>
      </c>
    </row>
    <row r="6458" spans="1:52" ht="55.2">
      <c r="A6458" s="3" t="s">
        <v>6502</v>
      </c>
      <c r="E6458">
        <v>8</v>
      </c>
      <c r="AN6458">
        <v>5</v>
      </c>
      <c r="AY6458">
        <f t="shared" si="202"/>
        <v>43</v>
      </c>
      <c r="AZ6458">
        <f t="shared" si="203"/>
        <v>3</v>
      </c>
    </row>
    <row r="6459" spans="1:52" ht="55.2">
      <c r="A6459" s="3" t="s">
        <v>6503</v>
      </c>
      <c r="E6459">
        <v>8</v>
      </c>
      <c r="AN6459">
        <v>5</v>
      </c>
      <c r="AY6459">
        <f t="shared" si="202"/>
        <v>43</v>
      </c>
      <c r="AZ6459">
        <f t="shared" si="203"/>
        <v>3</v>
      </c>
    </row>
    <row r="6460" spans="1:52" ht="55.2">
      <c r="A6460" s="3" t="s">
        <v>6504</v>
      </c>
      <c r="E6460">
        <v>8</v>
      </c>
      <c r="AN6460">
        <v>5</v>
      </c>
      <c r="AY6460">
        <f t="shared" si="202"/>
        <v>43</v>
      </c>
      <c r="AZ6460">
        <f t="shared" si="203"/>
        <v>3</v>
      </c>
    </row>
    <row r="6461" spans="1:52" ht="55.2">
      <c r="A6461" s="3" t="s">
        <v>6505</v>
      </c>
      <c r="E6461">
        <v>8</v>
      </c>
      <c r="AN6461">
        <v>5</v>
      </c>
      <c r="AY6461">
        <f t="shared" si="202"/>
        <v>43</v>
      </c>
      <c r="AZ6461">
        <f t="shared" si="203"/>
        <v>3</v>
      </c>
    </row>
    <row r="6462" spans="1:52" ht="55.2">
      <c r="A6462" s="3" t="s">
        <v>6506</v>
      </c>
      <c r="E6462">
        <v>8</v>
      </c>
      <c r="AN6462">
        <v>5</v>
      </c>
      <c r="AY6462">
        <f t="shared" si="202"/>
        <v>43</v>
      </c>
      <c r="AZ6462">
        <f t="shared" si="203"/>
        <v>3</v>
      </c>
    </row>
    <row r="6463" spans="1:52" ht="55.2">
      <c r="A6463" s="3" t="s">
        <v>6507</v>
      </c>
      <c r="E6463">
        <v>8</v>
      </c>
      <c r="AN6463">
        <v>5</v>
      </c>
      <c r="AY6463">
        <f t="shared" si="202"/>
        <v>43</v>
      </c>
      <c r="AZ6463">
        <f t="shared" si="203"/>
        <v>3</v>
      </c>
    </row>
    <row r="6464" spans="1:52" ht="55.2">
      <c r="A6464" s="3" t="s">
        <v>6508</v>
      </c>
      <c r="E6464">
        <v>8</v>
      </c>
      <c r="AN6464">
        <v>5</v>
      </c>
      <c r="AY6464">
        <f t="shared" si="202"/>
        <v>43</v>
      </c>
      <c r="AZ6464">
        <f t="shared" si="203"/>
        <v>3</v>
      </c>
    </row>
    <row r="6465" spans="1:52" ht="55.2">
      <c r="A6465" s="3" t="s">
        <v>6509</v>
      </c>
      <c r="E6465">
        <v>8</v>
      </c>
      <c r="AN6465">
        <v>5</v>
      </c>
      <c r="AY6465">
        <f t="shared" si="202"/>
        <v>43</v>
      </c>
      <c r="AZ6465">
        <f t="shared" si="203"/>
        <v>3</v>
      </c>
    </row>
    <row r="6466" spans="1:52" ht="55.2">
      <c r="A6466" s="3" t="s">
        <v>6510</v>
      </c>
      <c r="E6466">
        <v>8</v>
      </c>
      <c r="AN6466">
        <v>5</v>
      </c>
      <c r="AY6466">
        <f t="shared" si="202"/>
        <v>43</v>
      </c>
      <c r="AZ6466">
        <f t="shared" si="203"/>
        <v>3</v>
      </c>
    </row>
    <row r="6467" spans="1:52" ht="55.2">
      <c r="A6467" s="3" t="s">
        <v>6511</v>
      </c>
      <c r="E6467">
        <v>8</v>
      </c>
      <c r="AN6467">
        <v>5</v>
      </c>
      <c r="AY6467">
        <f t="shared" si="202"/>
        <v>43</v>
      </c>
      <c r="AZ6467">
        <f t="shared" si="203"/>
        <v>3</v>
      </c>
    </row>
    <row r="6468" spans="1:52" ht="55.2">
      <c r="A6468" s="3" t="s">
        <v>6512</v>
      </c>
      <c r="E6468">
        <v>8</v>
      </c>
      <c r="AN6468">
        <v>5</v>
      </c>
      <c r="AY6468">
        <f t="shared" si="202"/>
        <v>43</v>
      </c>
      <c r="AZ6468">
        <f t="shared" si="203"/>
        <v>3</v>
      </c>
    </row>
    <row r="6469" spans="1:52" ht="55.2">
      <c r="A6469" s="3" t="s">
        <v>6513</v>
      </c>
      <c r="E6469">
        <v>8</v>
      </c>
      <c r="AN6469">
        <v>5</v>
      </c>
      <c r="AY6469">
        <f t="shared" si="202"/>
        <v>43</v>
      </c>
      <c r="AZ6469">
        <f t="shared" si="203"/>
        <v>3</v>
      </c>
    </row>
    <row r="6470" spans="1:52" ht="55.2">
      <c r="A6470" s="3" t="s">
        <v>6514</v>
      </c>
      <c r="E6470">
        <v>8</v>
      </c>
      <c r="AN6470">
        <v>5</v>
      </c>
      <c r="AY6470">
        <f t="shared" si="202"/>
        <v>43</v>
      </c>
      <c r="AZ6470">
        <f t="shared" si="203"/>
        <v>3</v>
      </c>
    </row>
    <row r="6471" spans="1:52" ht="55.2">
      <c r="A6471" s="3" t="s">
        <v>6515</v>
      </c>
      <c r="E6471">
        <v>8</v>
      </c>
      <c r="AN6471">
        <v>5</v>
      </c>
      <c r="AY6471">
        <f t="shared" si="202"/>
        <v>43</v>
      </c>
      <c r="AZ6471">
        <f t="shared" si="203"/>
        <v>3</v>
      </c>
    </row>
    <row r="6472" spans="1:52" ht="55.2">
      <c r="A6472" s="3" t="s">
        <v>6516</v>
      </c>
      <c r="E6472">
        <v>8</v>
      </c>
      <c r="AN6472">
        <v>5</v>
      </c>
      <c r="AY6472">
        <f t="shared" si="202"/>
        <v>43</v>
      </c>
      <c r="AZ6472">
        <f t="shared" si="203"/>
        <v>3</v>
      </c>
    </row>
    <row r="6473" spans="1:52" ht="55.2">
      <c r="A6473" s="3" t="s">
        <v>6517</v>
      </c>
      <c r="E6473">
        <v>8</v>
      </c>
      <c r="AN6473">
        <v>5</v>
      </c>
      <c r="AY6473">
        <f t="shared" si="202"/>
        <v>43</v>
      </c>
      <c r="AZ6473">
        <f t="shared" si="203"/>
        <v>3</v>
      </c>
    </row>
    <row r="6474" spans="1:52" ht="55.2">
      <c r="A6474" s="3" t="s">
        <v>6518</v>
      </c>
      <c r="E6474">
        <v>8</v>
      </c>
      <c r="AN6474">
        <v>5</v>
      </c>
      <c r="AY6474">
        <f t="shared" si="202"/>
        <v>43</v>
      </c>
      <c r="AZ6474">
        <f t="shared" si="203"/>
        <v>3</v>
      </c>
    </row>
    <row r="6475" spans="1:52" ht="55.2">
      <c r="A6475" s="3" t="s">
        <v>6519</v>
      </c>
      <c r="E6475">
        <v>8</v>
      </c>
      <c r="AN6475">
        <v>5</v>
      </c>
      <c r="AY6475">
        <f t="shared" si="202"/>
        <v>43</v>
      </c>
      <c r="AZ6475">
        <f t="shared" si="203"/>
        <v>3</v>
      </c>
    </row>
    <row r="6476" spans="1:52" ht="55.2">
      <c r="A6476" s="3" t="s">
        <v>6520</v>
      </c>
      <c r="E6476">
        <v>8</v>
      </c>
      <c r="AN6476">
        <v>5</v>
      </c>
      <c r="AY6476">
        <f t="shared" si="202"/>
        <v>43</v>
      </c>
      <c r="AZ6476">
        <f t="shared" si="203"/>
        <v>3</v>
      </c>
    </row>
    <row r="6477" spans="1:52" ht="55.2">
      <c r="A6477" s="3" t="s">
        <v>6521</v>
      </c>
      <c r="E6477">
        <v>8</v>
      </c>
      <c r="AN6477">
        <v>5</v>
      </c>
      <c r="AY6477">
        <f t="shared" si="202"/>
        <v>43</v>
      </c>
      <c r="AZ6477">
        <f t="shared" si="203"/>
        <v>3</v>
      </c>
    </row>
    <row r="6478" spans="1:52" ht="55.2">
      <c r="A6478" s="3" t="s">
        <v>6522</v>
      </c>
      <c r="E6478">
        <v>8</v>
      </c>
      <c r="AN6478">
        <v>5</v>
      </c>
      <c r="AY6478">
        <f t="shared" si="202"/>
        <v>43</v>
      </c>
      <c r="AZ6478">
        <f t="shared" si="203"/>
        <v>3</v>
      </c>
    </row>
    <row r="6479" spans="1:52" ht="55.2">
      <c r="A6479" s="3" t="s">
        <v>6523</v>
      </c>
      <c r="E6479">
        <v>8</v>
      </c>
      <c r="AN6479">
        <v>5</v>
      </c>
      <c r="AY6479">
        <f t="shared" si="202"/>
        <v>43</v>
      </c>
      <c r="AZ6479">
        <f t="shared" si="203"/>
        <v>3</v>
      </c>
    </row>
    <row r="6480" spans="1:52" ht="55.2">
      <c r="A6480" s="3" t="s">
        <v>6524</v>
      </c>
      <c r="E6480">
        <v>8</v>
      </c>
      <c r="AN6480">
        <v>5</v>
      </c>
      <c r="AY6480">
        <f t="shared" si="202"/>
        <v>43</v>
      </c>
      <c r="AZ6480">
        <f t="shared" si="203"/>
        <v>3</v>
      </c>
    </row>
    <row r="6481" spans="1:52" ht="55.2">
      <c r="A6481" s="3" t="s">
        <v>6525</v>
      </c>
      <c r="E6481">
        <v>8</v>
      </c>
      <c r="AN6481">
        <v>5</v>
      </c>
      <c r="AY6481">
        <f t="shared" si="202"/>
        <v>43</v>
      </c>
      <c r="AZ6481">
        <f t="shared" si="203"/>
        <v>3</v>
      </c>
    </row>
    <row r="6482" spans="1:52" ht="55.2">
      <c r="A6482" s="3" t="s">
        <v>6526</v>
      </c>
      <c r="E6482">
        <v>8</v>
      </c>
      <c r="AN6482">
        <v>5</v>
      </c>
      <c r="AY6482">
        <f t="shared" si="202"/>
        <v>43</v>
      </c>
      <c r="AZ6482">
        <f t="shared" si="203"/>
        <v>3</v>
      </c>
    </row>
    <row r="6483" spans="1:52" ht="55.2">
      <c r="A6483" s="3" t="s">
        <v>6527</v>
      </c>
      <c r="E6483">
        <v>8</v>
      </c>
      <c r="AN6483">
        <v>5</v>
      </c>
      <c r="AY6483">
        <f t="shared" si="202"/>
        <v>43</v>
      </c>
      <c r="AZ6483">
        <f t="shared" si="203"/>
        <v>3</v>
      </c>
    </row>
    <row r="6484" spans="1:52" ht="55.2">
      <c r="A6484" s="3" t="s">
        <v>6528</v>
      </c>
      <c r="E6484">
        <v>8</v>
      </c>
      <c r="AN6484">
        <v>5</v>
      </c>
      <c r="AY6484">
        <f t="shared" si="202"/>
        <v>43</v>
      </c>
      <c r="AZ6484">
        <f t="shared" si="203"/>
        <v>3</v>
      </c>
    </row>
    <row r="6485" spans="1:52" ht="55.2">
      <c r="A6485" s="3" t="s">
        <v>6529</v>
      </c>
      <c r="E6485">
        <v>8</v>
      </c>
      <c r="AN6485">
        <v>5</v>
      </c>
      <c r="AY6485">
        <f t="shared" si="202"/>
        <v>43</v>
      </c>
      <c r="AZ6485">
        <f t="shared" si="203"/>
        <v>3</v>
      </c>
    </row>
    <row r="6486" spans="1:52" ht="55.2">
      <c r="A6486" s="3" t="s">
        <v>6530</v>
      </c>
      <c r="E6486">
        <v>8</v>
      </c>
      <c r="AN6486">
        <v>5</v>
      </c>
      <c r="AY6486">
        <f t="shared" si="202"/>
        <v>43</v>
      </c>
      <c r="AZ6486">
        <f t="shared" si="203"/>
        <v>3</v>
      </c>
    </row>
    <row r="6487" spans="1:52" ht="55.2">
      <c r="A6487" s="3" t="s">
        <v>6531</v>
      </c>
      <c r="E6487">
        <v>8</v>
      </c>
      <c r="AN6487">
        <v>5</v>
      </c>
      <c r="AY6487">
        <f t="shared" si="202"/>
        <v>43</v>
      </c>
      <c r="AZ6487">
        <f t="shared" si="203"/>
        <v>3</v>
      </c>
    </row>
    <row r="6488" spans="1:52" ht="55.2">
      <c r="A6488" s="3" t="s">
        <v>6532</v>
      </c>
      <c r="E6488">
        <v>8</v>
      </c>
      <c r="AN6488">
        <v>5</v>
      </c>
      <c r="AY6488">
        <f t="shared" si="202"/>
        <v>43</v>
      </c>
      <c r="AZ6488">
        <f t="shared" si="203"/>
        <v>3</v>
      </c>
    </row>
    <row r="6489" spans="1:52" ht="55.2">
      <c r="A6489" s="3" t="s">
        <v>6533</v>
      </c>
      <c r="E6489">
        <v>8</v>
      </c>
      <c r="AN6489">
        <v>5</v>
      </c>
      <c r="AY6489">
        <f t="shared" si="202"/>
        <v>43</v>
      </c>
      <c r="AZ6489">
        <f t="shared" si="203"/>
        <v>3</v>
      </c>
    </row>
    <row r="6490" spans="1:52" ht="55.2">
      <c r="A6490" s="3" t="s">
        <v>6534</v>
      </c>
      <c r="E6490">
        <v>8</v>
      </c>
      <c r="AN6490">
        <v>5</v>
      </c>
      <c r="AY6490">
        <f t="shared" si="202"/>
        <v>43</v>
      </c>
      <c r="AZ6490">
        <f t="shared" si="203"/>
        <v>3</v>
      </c>
    </row>
    <row r="6491" spans="1:52" ht="55.2">
      <c r="A6491" s="3" t="s">
        <v>6535</v>
      </c>
      <c r="E6491">
        <v>8</v>
      </c>
      <c r="AN6491">
        <v>5</v>
      </c>
      <c r="AY6491">
        <f t="shared" si="202"/>
        <v>43</v>
      </c>
      <c r="AZ6491">
        <f t="shared" si="203"/>
        <v>3</v>
      </c>
    </row>
    <row r="6492" spans="1:52" ht="55.2">
      <c r="A6492" s="3" t="s">
        <v>6536</v>
      </c>
      <c r="E6492">
        <v>8</v>
      </c>
      <c r="AN6492">
        <v>5</v>
      </c>
      <c r="AY6492">
        <f t="shared" si="202"/>
        <v>43</v>
      </c>
      <c r="AZ6492">
        <f t="shared" si="203"/>
        <v>3</v>
      </c>
    </row>
    <row r="6493" spans="1:52" ht="55.2">
      <c r="A6493" s="3" t="s">
        <v>6537</v>
      </c>
      <c r="E6493">
        <v>8</v>
      </c>
      <c r="AN6493">
        <v>5</v>
      </c>
      <c r="AY6493">
        <f t="shared" si="202"/>
        <v>43</v>
      </c>
      <c r="AZ6493">
        <f t="shared" si="203"/>
        <v>3</v>
      </c>
    </row>
    <row r="6494" spans="1:52" ht="55.2">
      <c r="A6494" s="3" t="s">
        <v>6538</v>
      </c>
      <c r="E6494">
        <v>8</v>
      </c>
      <c r="AN6494">
        <v>5</v>
      </c>
      <c r="AY6494">
        <f t="shared" si="202"/>
        <v>43</v>
      </c>
      <c r="AZ6494">
        <f t="shared" si="203"/>
        <v>3</v>
      </c>
    </row>
    <row r="6495" spans="1:52" ht="55.2">
      <c r="A6495" s="3" t="s">
        <v>6539</v>
      </c>
      <c r="E6495">
        <v>8</v>
      </c>
      <c r="AW6495">
        <v>23</v>
      </c>
      <c r="AY6495">
        <f t="shared" si="202"/>
        <v>43</v>
      </c>
      <c r="AZ6495">
        <f t="shared" si="203"/>
        <v>3</v>
      </c>
    </row>
    <row r="6496" spans="1:52" ht="55.2">
      <c r="A6496" s="3" t="s">
        <v>6540</v>
      </c>
      <c r="E6496">
        <v>8</v>
      </c>
      <c r="J6496">
        <v>67</v>
      </c>
      <c r="AY6496">
        <f t="shared" si="202"/>
        <v>43</v>
      </c>
      <c r="AZ6496">
        <f t="shared" si="203"/>
        <v>3</v>
      </c>
    </row>
    <row r="6497" spans="1:52" ht="55.2">
      <c r="A6497" s="3" t="s">
        <v>6541</v>
      </c>
      <c r="E6497">
        <v>8</v>
      </c>
      <c r="J6497">
        <v>67</v>
      </c>
      <c r="AY6497">
        <f t="shared" ref="AY6497:AY6560" si="204">COUNTBLANK(F6497:AW6497)</f>
        <v>43</v>
      </c>
      <c r="AZ6497">
        <f t="shared" ref="AZ6497:AZ6560" si="205">COUNTBLANK(B6497:E6497)</f>
        <v>3</v>
      </c>
    </row>
    <row r="6498" spans="1:52" ht="55.2">
      <c r="A6498" s="3" t="s">
        <v>6542</v>
      </c>
      <c r="E6498">
        <v>8</v>
      </c>
      <c r="J6498">
        <v>67</v>
      </c>
      <c r="AY6498">
        <f t="shared" si="204"/>
        <v>43</v>
      </c>
      <c r="AZ6498">
        <f t="shared" si="205"/>
        <v>3</v>
      </c>
    </row>
    <row r="6499" spans="1:52" ht="55.2">
      <c r="A6499" s="3" t="s">
        <v>6543</v>
      </c>
      <c r="E6499">
        <v>8</v>
      </c>
      <c r="J6499">
        <v>67</v>
      </c>
      <c r="AY6499">
        <f t="shared" si="204"/>
        <v>43</v>
      </c>
      <c r="AZ6499">
        <f t="shared" si="205"/>
        <v>3</v>
      </c>
    </row>
    <row r="6500" spans="1:52" ht="55.2">
      <c r="A6500" s="3" t="s">
        <v>6544</v>
      </c>
      <c r="E6500">
        <v>8</v>
      </c>
      <c r="J6500">
        <v>67</v>
      </c>
      <c r="AY6500">
        <f t="shared" si="204"/>
        <v>43</v>
      </c>
      <c r="AZ6500">
        <f t="shared" si="205"/>
        <v>3</v>
      </c>
    </row>
    <row r="6501" spans="1:52" ht="55.2">
      <c r="A6501" s="3" t="s">
        <v>6545</v>
      </c>
      <c r="E6501">
        <v>8</v>
      </c>
      <c r="J6501">
        <v>67</v>
      </c>
      <c r="AY6501">
        <f t="shared" si="204"/>
        <v>43</v>
      </c>
      <c r="AZ6501">
        <f t="shared" si="205"/>
        <v>3</v>
      </c>
    </row>
    <row r="6502" spans="1:52" ht="55.2">
      <c r="A6502" s="3" t="s">
        <v>6546</v>
      </c>
      <c r="E6502">
        <v>8</v>
      </c>
      <c r="J6502">
        <v>67</v>
      </c>
      <c r="AY6502">
        <f t="shared" si="204"/>
        <v>43</v>
      </c>
      <c r="AZ6502">
        <f t="shared" si="205"/>
        <v>3</v>
      </c>
    </row>
    <row r="6503" spans="1:52" ht="55.2">
      <c r="A6503" s="3" t="s">
        <v>6547</v>
      </c>
      <c r="E6503">
        <v>8</v>
      </c>
      <c r="J6503">
        <v>67</v>
      </c>
      <c r="AY6503">
        <f t="shared" si="204"/>
        <v>43</v>
      </c>
      <c r="AZ6503">
        <f t="shared" si="205"/>
        <v>3</v>
      </c>
    </row>
    <row r="6504" spans="1:52" ht="55.2">
      <c r="A6504" s="3" t="s">
        <v>6548</v>
      </c>
      <c r="E6504">
        <v>8</v>
      </c>
      <c r="J6504">
        <v>67</v>
      </c>
      <c r="AY6504">
        <f t="shared" si="204"/>
        <v>43</v>
      </c>
      <c r="AZ6504">
        <f t="shared" si="205"/>
        <v>3</v>
      </c>
    </row>
    <row r="6505" spans="1:52" ht="55.2">
      <c r="A6505" s="3" t="s">
        <v>6549</v>
      </c>
      <c r="E6505">
        <v>8</v>
      </c>
      <c r="J6505">
        <v>67</v>
      </c>
      <c r="AY6505">
        <f t="shared" si="204"/>
        <v>43</v>
      </c>
      <c r="AZ6505">
        <f t="shared" si="205"/>
        <v>3</v>
      </c>
    </row>
    <row r="6506" spans="1:52" ht="55.2">
      <c r="A6506" s="3" t="s">
        <v>6550</v>
      </c>
      <c r="E6506">
        <v>8</v>
      </c>
      <c r="J6506">
        <v>67</v>
      </c>
      <c r="AY6506">
        <f t="shared" si="204"/>
        <v>43</v>
      </c>
      <c r="AZ6506">
        <f t="shared" si="205"/>
        <v>3</v>
      </c>
    </row>
    <row r="6507" spans="1:52" ht="55.2">
      <c r="A6507" s="3" t="s">
        <v>6551</v>
      </c>
      <c r="E6507">
        <v>8</v>
      </c>
      <c r="J6507">
        <v>67</v>
      </c>
      <c r="AY6507">
        <f t="shared" si="204"/>
        <v>43</v>
      </c>
      <c r="AZ6507">
        <f t="shared" si="205"/>
        <v>3</v>
      </c>
    </row>
    <row r="6508" spans="1:52" ht="55.2">
      <c r="A6508" s="3" t="s">
        <v>6552</v>
      </c>
      <c r="E6508">
        <v>8</v>
      </c>
      <c r="J6508">
        <v>67</v>
      </c>
      <c r="AY6508">
        <f t="shared" si="204"/>
        <v>43</v>
      </c>
      <c r="AZ6508">
        <f t="shared" si="205"/>
        <v>3</v>
      </c>
    </row>
    <row r="6509" spans="1:52" ht="55.2">
      <c r="A6509" s="3" t="s">
        <v>6553</v>
      </c>
      <c r="E6509">
        <v>8</v>
      </c>
      <c r="J6509">
        <v>67</v>
      </c>
      <c r="AY6509">
        <f t="shared" si="204"/>
        <v>43</v>
      </c>
      <c r="AZ6509">
        <f t="shared" si="205"/>
        <v>3</v>
      </c>
    </row>
    <row r="6510" spans="1:52" ht="55.2">
      <c r="A6510" s="3" t="s">
        <v>6554</v>
      </c>
      <c r="E6510">
        <v>8</v>
      </c>
      <c r="J6510">
        <v>67</v>
      </c>
      <c r="AY6510">
        <f t="shared" si="204"/>
        <v>43</v>
      </c>
      <c r="AZ6510">
        <f t="shared" si="205"/>
        <v>3</v>
      </c>
    </row>
    <row r="6511" spans="1:52" ht="55.2">
      <c r="A6511" s="3" t="s">
        <v>6555</v>
      </c>
      <c r="E6511">
        <v>8</v>
      </c>
      <c r="J6511">
        <v>67</v>
      </c>
      <c r="AY6511">
        <f t="shared" si="204"/>
        <v>43</v>
      </c>
      <c r="AZ6511">
        <f t="shared" si="205"/>
        <v>3</v>
      </c>
    </row>
    <row r="6512" spans="1:52" ht="55.2">
      <c r="A6512" s="3" t="s">
        <v>6556</v>
      </c>
      <c r="E6512">
        <v>8</v>
      </c>
      <c r="J6512">
        <v>67</v>
      </c>
      <c r="AY6512">
        <f t="shared" si="204"/>
        <v>43</v>
      </c>
      <c r="AZ6512">
        <f t="shared" si="205"/>
        <v>3</v>
      </c>
    </row>
    <row r="6513" spans="1:52" ht="55.2">
      <c r="A6513" s="3" t="s">
        <v>6557</v>
      </c>
      <c r="E6513">
        <v>8</v>
      </c>
      <c r="J6513">
        <v>67</v>
      </c>
      <c r="AY6513">
        <f t="shared" si="204"/>
        <v>43</v>
      </c>
      <c r="AZ6513">
        <f t="shared" si="205"/>
        <v>3</v>
      </c>
    </row>
    <row r="6514" spans="1:52" ht="55.2">
      <c r="A6514" s="3" t="s">
        <v>6558</v>
      </c>
      <c r="E6514">
        <v>8</v>
      </c>
      <c r="J6514">
        <v>67</v>
      </c>
      <c r="AY6514">
        <f t="shared" si="204"/>
        <v>43</v>
      </c>
      <c r="AZ6514">
        <f t="shared" si="205"/>
        <v>3</v>
      </c>
    </row>
    <row r="6515" spans="1:52" ht="55.2">
      <c r="A6515" s="3" t="s">
        <v>6559</v>
      </c>
      <c r="E6515">
        <v>8</v>
      </c>
      <c r="J6515">
        <v>67</v>
      </c>
      <c r="AY6515">
        <f t="shared" si="204"/>
        <v>43</v>
      </c>
      <c r="AZ6515">
        <f t="shared" si="205"/>
        <v>3</v>
      </c>
    </row>
    <row r="6516" spans="1:52" ht="55.2">
      <c r="A6516" s="3" t="s">
        <v>6560</v>
      </c>
      <c r="E6516">
        <v>8</v>
      </c>
      <c r="J6516">
        <v>67</v>
      </c>
      <c r="AY6516">
        <f t="shared" si="204"/>
        <v>43</v>
      </c>
      <c r="AZ6516">
        <f t="shared" si="205"/>
        <v>3</v>
      </c>
    </row>
    <row r="6517" spans="1:52" ht="55.2">
      <c r="A6517" s="3" t="s">
        <v>6561</v>
      </c>
      <c r="E6517">
        <v>8</v>
      </c>
      <c r="J6517">
        <v>67</v>
      </c>
      <c r="AY6517">
        <f t="shared" si="204"/>
        <v>43</v>
      </c>
      <c r="AZ6517">
        <f t="shared" si="205"/>
        <v>3</v>
      </c>
    </row>
    <row r="6518" spans="1:52" ht="55.2">
      <c r="A6518" s="3" t="s">
        <v>6562</v>
      </c>
      <c r="E6518">
        <v>8</v>
      </c>
      <c r="J6518">
        <v>67</v>
      </c>
      <c r="AY6518">
        <f t="shared" si="204"/>
        <v>43</v>
      </c>
      <c r="AZ6518">
        <f t="shared" si="205"/>
        <v>3</v>
      </c>
    </row>
    <row r="6519" spans="1:52" ht="55.2">
      <c r="A6519" s="3" t="s">
        <v>6563</v>
      </c>
      <c r="E6519">
        <v>8</v>
      </c>
      <c r="J6519">
        <v>67</v>
      </c>
      <c r="AY6519">
        <f t="shared" si="204"/>
        <v>43</v>
      </c>
      <c r="AZ6519">
        <f t="shared" si="205"/>
        <v>3</v>
      </c>
    </row>
    <row r="6520" spans="1:52" ht="55.2">
      <c r="A6520" s="3" t="s">
        <v>6564</v>
      </c>
      <c r="E6520">
        <v>8</v>
      </c>
      <c r="J6520">
        <v>67</v>
      </c>
      <c r="AY6520">
        <f t="shared" si="204"/>
        <v>43</v>
      </c>
      <c r="AZ6520">
        <f t="shared" si="205"/>
        <v>3</v>
      </c>
    </row>
    <row r="6521" spans="1:52" ht="55.2">
      <c r="A6521" s="3" t="s">
        <v>6565</v>
      </c>
      <c r="E6521">
        <v>8</v>
      </c>
      <c r="J6521">
        <v>67</v>
      </c>
      <c r="AY6521">
        <f t="shared" si="204"/>
        <v>43</v>
      </c>
      <c r="AZ6521">
        <f t="shared" si="205"/>
        <v>3</v>
      </c>
    </row>
    <row r="6522" spans="1:52" ht="55.2">
      <c r="A6522" s="3" t="s">
        <v>6566</v>
      </c>
      <c r="E6522">
        <v>8</v>
      </c>
      <c r="J6522">
        <v>67</v>
      </c>
      <c r="AY6522">
        <f t="shared" si="204"/>
        <v>43</v>
      </c>
      <c r="AZ6522">
        <f t="shared" si="205"/>
        <v>3</v>
      </c>
    </row>
    <row r="6523" spans="1:52" ht="55.2">
      <c r="A6523" s="3" t="s">
        <v>6567</v>
      </c>
      <c r="E6523">
        <v>8</v>
      </c>
      <c r="AJ6523">
        <v>3</v>
      </c>
      <c r="AY6523">
        <f t="shared" si="204"/>
        <v>43</v>
      </c>
      <c r="AZ6523">
        <f t="shared" si="205"/>
        <v>3</v>
      </c>
    </row>
    <row r="6524" spans="1:52" ht="55.2">
      <c r="A6524" s="3" t="s">
        <v>6568</v>
      </c>
      <c r="E6524">
        <v>8</v>
      </c>
      <c r="AJ6524">
        <v>3</v>
      </c>
      <c r="AY6524">
        <f t="shared" si="204"/>
        <v>43</v>
      </c>
      <c r="AZ6524">
        <f t="shared" si="205"/>
        <v>3</v>
      </c>
    </row>
    <row r="6525" spans="1:52" ht="55.2">
      <c r="A6525" s="3" t="s">
        <v>6569</v>
      </c>
      <c r="E6525">
        <v>8</v>
      </c>
      <c r="AJ6525">
        <v>3</v>
      </c>
      <c r="AY6525">
        <f t="shared" si="204"/>
        <v>43</v>
      </c>
      <c r="AZ6525">
        <f t="shared" si="205"/>
        <v>3</v>
      </c>
    </row>
    <row r="6526" spans="1:52" ht="55.2">
      <c r="A6526" s="3" t="s">
        <v>6570</v>
      </c>
      <c r="E6526">
        <v>8</v>
      </c>
      <c r="AJ6526">
        <v>3</v>
      </c>
      <c r="AY6526">
        <f t="shared" si="204"/>
        <v>43</v>
      </c>
      <c r="AZ6526">
        <f t="shared" si="205"/>
        <v>3</v>
      </c>
    </row>
    <row r="6527" spans="1:52" ht="55.2">
      <c r="A6527" s="3" t="s">
        <v>6571</v>
      </c>
      <c r="E6527">
        <v>8</v>
      </c>
      <c r="AJ6527">
        <v>3</v>
      </c>
      <c r="AY6527">
        <f t="shared" si="204"/>
        <v>43</v>
      </c>
      <c r="AZ6527">
        <f t="shared" si="205"/>
        <v>3</v>
      </c>
    </row>
    <row r="6528" spans="1:52" ht="55.2">
      <c r="A6528" s="3" t="s">
        <v>6572</v>
      </c>
      <c r="E6528">
        <v>8</v>
      </c>
      <c r="AJ6528">
        <v>3</v>
      </c>
      <c r="AY6528">
        <f t="shared" si="204"/>
        <v>43</v>
      </c>
      <c r="AZ6528">
        <f t="shared" si="205"/>
        <v>3</v>
      </c>
    </row>
    <row r="6529" spans="1:52" ht="55.2">
      <c r="A6529" s="3" t="s">
        <v>6573</v>
      </c>
      <c r="E6529">
        <v>8</v>
      </c>
      <c r="AJ6529">
        <v>3</v>
      </c>
      <c r="AY6529">
        <f t="shared" si="204"/>
        <v>43</v>
      </c>
      <c r="AZ6529">
        <f t="shared" si="205"/>
        <v>3</v>
      </c>
    </row>
    <row r="6530" spans="1:52" ht="55.2">
      <c r="A6530" s="3" t="s">
        <v>6574</v>
      </c>
      <c r="E6530">
        <v>8</v>
      </c>
      <c r="AJ6530">
        <v>3</v>
      </c>
      <c r="AY6530">
        <f t="shared" si="204"/>
        <v>43</v>
      </c>
      <c r="AZ6530">
        <f t="shared" si="205"/>
        <v>3</v>
      </c>
    </row>
    <row r="6531" spans="1:52" ht="55.2">
      <c r="A6531" s="3" t="s">
        <v>6575</v>
      </c>
      <c r="E6531">
        <v>8</v>
      </c>
      <c r="AJ6531">
        <v>3</v>
      </c>
      <c r="AY6531">
        <f t="shared" si="204"/>
        <v>43</v>
      </c>
      <c r="AZ6531">
        <f t="shared" si="205"/>
        <v>3</v>
      </c>
    </row>
    <row r="6532" spans="1:52" ht="55.2">
      <c r="A6532" s="3" t="s">
        <v>6576</v>
      </c>
      <c r="E6532">
        <v>8</v>
      </c>
      <c r="AJ6532">
        <v>3</v>
      </c>
      <c r="AY6532">
        <f t="shared" si="204"/>
        <v>43</v>
      </c>
      <c r="AZ6532">
        <f t="shared" si="205"/>
        <v>3</v>
      </c>
    </row>
    <row r="6533" spans="1:52" ht="55.2">
      <c r="A6533" s="3" t="s">
        <v>6577</v>
      </c>
      <c r="E6533">
        <v>8</v>
      </c>
      <c r="AJ6533">
        <v>3</v>
      </c>
      <c r="AY6533">
        <f t="shared" si="204"/>
        <v>43</v>
      </c>
      <c r="AZ6533">
        <f t="shared" si="205"/>
        <v>3</v>
      </c>
    </row>
    <row r="6534" spans="1:52" ht="55.2">
      <c r="A6534" s="3" t="s">
        <v>6578</v>
      </c>
      <c r="E6534">
        <v>8</v>
      </c>
      <c r="AJ6534">
        <v>3</v>
      </c>
      <c r="AY6534">
        <f t="shared" si="204"/>
        <v>43</v>
      </c>
      <c r="AZ6534">
        <f t="shared" si="205"/>
        <v>3</v>
      </c>
    </row>
    <row r="6535" spans="1:52" ht="55.2">
      <c r="A6535" s="3" t="s">
        <v>6579</v>
      </c>
      <c r="E6535">
        <v>8</v>
      </c>
      <c r="AJ6535">
        <v>3</v>
      </c>
      <c r="AY6535">
        <f t="shared" si="204"/>
        <v>43</v>
      </c>
      <c r="AZ6535">
        <f t="shared" si="205"/>
        <v>3</v>
      </c>
    </row>
    <row r="6536" spans="1:52" ht="55.2">
      <c r="A6536" s="3" t="s">
        <v>6580</v>
      </c>
      <c r="E6536">
        <v>8</v>
      </c>
      <c r="AJ6536">
        <v>3</v>
      </c>
      <c r="AY6536">
        <f t="shared" si="204"/>
        <v>43</v>
      </c>
      <c r="AZ6536">
        <f t="shared" si="205"/>
        <v>3</v>
      </c>
    </row>
    <row r="6537" spans="1:52" ht="55.2">
      <c r="A6537" s="3" t="s">
        <v>6581</v>
      </c>
      <c r="E6537">
        <v>8</v>
      </c>
      <c r="AJ6537">
        <v>3</v>
      </c>
      <c r="AY6537">
        <f t="shared" si="204"/>
        <v>43</v>
      </c>
      <c r="AZ6537">
        <f t="shared" si="205"/>
        <v>3</v>
      </c>
    </row>
    <row r="6538" spans="1:52" ht="55.2">
      <c r="A6538" s="3" t="s">
        <v>6582</v>
      </c>
      <c r="E6538">
        <v>8</v>
      </c>
      <c r="AJ6538">
        <v>3</v>
      </c>
      <c r="AY6538">
        <f t="shared" si="204"/>
        <v>43</v>
      </c>
      <c r="AZ6538">
        <f t="shared" si="205"/>
        <v>3</v>
      </c>
    </row>
    <row r="6539" spans="1:52" ht="55.2">
      <c r="A6539" s="3" t="s">
        <v>6583</v>
      </c>
      <c r="E6539">
        <v>8</v>
      </c>
      <c r="AJ6539">
        <v>3</v>
      </c>
      <c r="AY6539">
        <f t="shared" si="204"/>
        <v>43</v>
      </c>
      <c r="AZ6539">
        <f t="shared" si="205"/>
        <v>3</v>
      </c>
    </row>
    <row r="6540" spans="1:52" ht="55.2">
      <c r="A6540" s="3" t="s">
        <v>6584</v>
      </c>
      <c r="E6540">
        <v>8</v>
      </c>
      <c r="AJ6540">
        <v>3</v>
      </c>
      <c r="AY6540">
        <f t="shared" si="204"/>
        <v>43</v>
      </c>
      <c r="AZ6540">
        <f t="shared" si="205"/>
        <v>3</v>
      </c>
    </row>
    <row r="6541" spans="1:52" ht="55.2">
      <c r="A6541" s="3" t="s">
        <v>6585</v>
      </c>
      <c r="E6541">
        <v>8</v>
      </c>
      <c r="AJ6541">
        <v>3</v>
      </c>
      <c r="AY6541">
        <f t="shared" si="204"/>
        <v>43</v>
      </c>
      <c r="AZ6541">
        <f t="shared" si="205"/>
        <v>3</v>
      </c>
    </row>
    <row r="6542" spans="1:52" ht="55.2">
      <c r="A6542" s="3" t="s">
        <v>6586</v>
      </c>
      <c r="E6542">
        <v>8</v>
      </c>
      <c r="AJ6542">
        <v>3</v>
      </c>
      <c r="AY6542">
        <f t="shared" si="204"/>
        <v>43</v>
      </c>
      <c r="AZ6542">
        <f t="shared" si="205"/>
        <v>3</v>
      </c>
    </row>
    <row r="6543" spans="1:52" ht="55.2">
      <c r="A6543" s="3" t="s">
        <v>6587</v>
      </c>
      <c r="E6543">
        <v>8</v>
      </c>
      <c r="AK6543">
        <v>1</v>
      </c>
      <c r="AY6543">
        <f t="shared" si="204"/>
        <v>43</v>
      </c>
      <c r="AZ6543">
        <f t="shared" si="205"/>
        <v>3</v>
      </c>
    </row>
    <row r="6544" spans="1:52" ht="55.2">
      <c r="A6544" s="3" t="s">
        <v>6588</v>
      </c>
      <c r="E6544">
        <v>8</v>
      </c>
      <c r="AK6544">
        <v>1</v>
      </c>
      <c r="AY6544">
        <f t="shared" si="204"/>
        <v>43</v>
      </c>
      <c r="AZ6544">
        <f t="shared" si="205"/>
        <v>3</v>
      </c>
    </row>
    <row r="6545" spans="1:52" ht="55.2">
      <c r="A6545" s="3" t="s">
        <v>6589</v>
      </c>
      <c r="E6545">
        <v>8</v>
      </c>
      <c r="AK6545">
        <v>1</v>
      </c>
      <c r="AY6545">
        <f t="shared" si="204"/>
        <v>43</v>
      </c>
      <c r="AZ6545">
        <f t="shared" si="205"/>
        <v>3</v>
      </c>
    </row>
    <row r="6546" spans="1:52" ht="55.2">
      <c r="A6546" s="3" t="s">
        <v>6590</v>
      </c>
      <c r="E6546">
        <v>8</v>
      </c>
      <c r="AK6546">
        <v>1</v>
      </c>
      <c r="AY6546">
        <f t="shared" si="204"/>
        <v>43</v>
      </c>
      <c r="AZ6546">
        <f t="shared" si="205"/>
        <v>3</v>
      </c>
    </row>
    <row r="6547" spans="1:52" ht="55.2">
      <c r="A6547" s="3" t="s">
        <v>6591</v>
      </c>
      <c r="E6547">
        <v>8</v>
      </c>
      <c r="AK6547">
        <v>1</v>
      </c>
      <c r="AY6547">
        <f t="shared" si="204"/>
        <v>43</v>
      </c>
      <c r="AZ6547">
        <f t="shared" si="205"/>
        <v>3</v>
      </c>
    </row>
    <row r="6548" spans="1:52" ht="55.2">
      <c r="A6548" s="3" t="s">
        <v>6592</v>
      </c>
      <c r="E6548">
        <v>8</v>
      </c>
      <c r="AK6548">
        <v>1</v>
      </c>
      <c r="AY6548">
        <f t="shared" si="204"/>
        <v>43</v>
      </c>
      <c r="AZ6548">
        <f t="shared" si="205"/>
        <v>3</v>
      </c>
    </row>
    <row r="6549" spans="1:52" ht="55.2">
      <c r="A6549" s="3" t="s">
        <v>6593</v>
      </c>
      <c r="E6549">
        <v>8</v>
      </c>
      <c r="AK6549">
        <v>1</v>
      </c>
      <c r="AY6549">
        <f t="shared" si="204"/>
        <v>43</v>
      </c>
      <c r="AZ6549">
        <f t="shared" si="205"/>
        <v>3</v>
      </c>
    </row>
    <row r="6550" spans="1:52" ht="55.2">
      <c r="A6550" s="3" t="s">
        <v>6594</v>
      </c>
      <c r="E6550">
        <v>8</v>
      </c>
      <c r="AK6550">
        <v>1</v>
      </c>
      <c r="AY6550">
        <f t="shared" si="204"/>
        <v>43</v>
      </c>
      <c r="AZ6550">
        <f t="shared" si="205"/>
        <v>3</v>
      </c>
    </row>
    <row r="6551" spans="1:52" ht="55.2">
      <c r="A6551" s="3" t="s">
        <v>6595</v>
      </c>
      <c r="E6551">
        <v>8</v>
      </c>
      <c r="AK6551">
        <v>1</v>
      </c>
      <c r="AY6551">
        <f t="shared" si="204"/>
        <v>43</v>
      </c>
      <c r="AZ6551">
        <f t="shared" si="205"/>
        <v>3</v>
      </c>
    </row>
    <row r="6552" spans="1:52" ht="55.2">
      <c r="A6552" s="3" t="s">
        <v>6596</v>
      </c>
      <c r="E6552">
        <v>8</v>
      </c>
      <c r="AK6552">
        <v>1</v>
      </c>
      <c r="AY6552">
        <f t="shared" si="204"/>
        <v>43</v>
      </c>
      <c r="AZ6552">
        <f t="shared" si="205"/>
        <v>3</v>
      </c>
    </row>
    <row r="6553" spans="1:52" ht="55.2">
      <c r="A6553" s="3" t="s">
        <v>6597</v>
      </c>
      <c r="E6553">
        <v>8</v>
      </c>
      <c r="AK6553">
        <v>1</v>
      </c>
      <c r="AY6553">
        <f t="shared" si="204"/>
        <v>43</v>
      </c>
      <c r="AZ6553">
        <f t="shared" si="205"/>
        <v>3</v>
      </c>
    </row>
    <row r="6554" spans="1:52" ht="55.2">
      <c r="A6554" s="3" t="s">
        <v>6598</v>
      </c>
      <c r="E6554">
        <v>8</v>
      </c>
      <c r="AK6554">
        <v>1</v>
      </c>
      <c r="AY6554">
        <f t="shared" si="204"/>
        <v>43</v>
      </c>
      <c r="AZ6554">
        <f t="shared" si="205"/>
        <v>3</v>
      </c>
    </row>
    <row r="6555" spans="1:52" ht="55.2">
      <c r="A6555" s="3" t="s">
        <v>6599</v>
      </c>
      <c r="E6555">
        <v>8</v>
      </c>
      <c r="AK6555">
        <v>1</v>
      </c>
      <c r="AY6555">
        <f t="shared" si="204"/>
        <v>43</v>
      </c>
      <c r="AZ6555">
        <f t="shared" si="205"/>
        <v>3</v>
      </c>
    </row>
    <row r="6556" spans="1:52" ht="55.2">
      <c r="A6556" s="3" t="s">
        <v>6600</v>
      </c>
      <c r="E6556">
        <v>8</v>
      </c>
      <c r="AK6556">
        <v>1</v>
      </c>
      <c r="AY6556">
        <f t="shared" si="204"/>
        <v>43</v>
      </c>
      <c r="AZ6556">
        <f t="shared" si="205"/>
        <v>3</v>
      </c>
    </row>
    <row r="6557" spans="1:52" ht="55.2">
      <c r="A6557" s="3" t="s">
        <v>6601</v>
      </c>
      <c r="E6557">
        <v>8</v>
      </c>
      <c r="AK6557">
        <v>1</v>
      </c>
      <c r="AY6557">
        <f t="shared" si="204"/>
        <v>43</v>
      </c>
      <c r="AZ6557">
        <f t="shared" si="205"/>
        <v>3</v>
      </c>
    </row>
    <row r="6558" spans="1:52" ht="55.2">
      <c r="A6558" s="3" t="s">
        <v>6602</v>
      </c>
      <c r="E6558">
        <v>8</v>
      </c>
      <c r="AK6558">
        <v>1</v>
      </c>
      <c r="AY6558">
        <f t="shared" si="204"/>
        <v>43</v>
      </c>
      <c r="AZ6558">
        <f t="shared" si="205"/>
        <v>3</v>
      </c>
    </row>
    <row r="6559" spans="1:52" ht="55.2">
      <c r="A6559" s="3" t="s">
        <v>6603</v>
      </c>
      <c r="E6559">
        <v>8</v>
      </c>
      <c r="AK6559">
        <v>1</v>
      </c>
      <c r="AY6559">
        <f t="shared" si="204"/>
        <v>43</v>
      </c>
      <c r="AZ6559">
        <f t="shared" si="205"/>
        <v>3</v>
      </c>
    </row>
    <row r="6560" spans="1:52" ht="55.2">
      <c r="A6560" s="3" t="s">
        <v>6604</v>
      </c>
      <c r="E6560">
        <v>8</v>
      </c>
      <c r="AK6560">
        <v>1</v>
      </c>
      <c r="AY6560">
        <f t="shared" si="204"/>
        <v>43</v>
      </c>
      <c r="AZ6560">
        <f t="shared" si="205"/>
        <v>3</v>
      </c>
    </row>
    <row r="6561" spans="1:52" ht="55.2">
      <c r="A6561" s="3" t="s">
        <v>6605</v>
      </c>
      <c r="E6561">
        <v>8</v>
      </c>
      <c r="AK6561">
        <v>1</v>
      </c>
      <c r="AY6561">
        <f t="shared" ref="AY6561:AY6624" si="206">COUNTBLANK(F6561:AW6561)</f>
        <v>43</v>
      </c>
      <c r="AZ6561">
        <f t="shared" ref="AZ6561:AZ6624" si="207">COUNTBLANK(B6561:E6561)</f>
        <v>3</v>
      </c>
    </row>
    <row r="6562" spans="1:52" ht="55.2">
      <c r="A6562" s="3" t="s">
        <v>6606</v>
      </c>
      <c r="E6562">
        <v>8</v>
      </c>
      <c r="AK6562">
        <v>1</v>
      </c>
      <c r="AY6562">
        <f t="shared" si="206"/>
        <v>43</v>
      </c>
      <c r="AZ6562">
        <f t="shared" si="207"/>
        <v>3</v>
      </c>
    </row>
    <row r="6563" spans="1:52" ht="55.2">
      <c r="A6563" s="3" t="s">
        <v>6607</v>
      </c>
      <c r="E6563">
        <v>8</v>
      </c>
      <c r="AK6563">
        <v>1</v>
      </c>
      <c r="AY6563">
        <f t="shared" si="206"/>
        <v>43</v>
      </c>
      <c r="AZ6563">
        <f t="shared" si="207"/>
        <v>3</v>
      </c>
    </row>
    <row r="6564" spans="1:52" ht="55.2">
      <c r="A6564" s="3" t="s">
        <v>6608</v>
      </c>
      <c r="E6564">
        <v>8</v>
      </c>
      <c r="AK6564">
        <v>1</v>
      </c>
      <c r="AY6564">
        <f t="shared" si="206"/>
        <v>43</v>
      </c>
      <c r="AZ6564">
        <f t="shared" si="207"/>
        <v>3</v>
      </c>
    </row>
    <row r="6565" spans="1:52" ht="55.2">
      <c r="A6565" s="3" t="s">
        <v>6609</v>
      </c>
      <c r="E6565">
        <v>8</v>
      </c>
      <c r="AK6565">
        <v>1</v>
      </c>
      <c r="AY6565">
        <f t="shared" si="206"/>
        <v>43</v>
      </c>
      <c r="AZ6565">
        <f t="shared" si="207"/>
        <v>3</v>
      </c>
    </row>
    <row r="6566" spans="1:52" ht="55.2">
      <c r="A6566" s="3" t="s">
        <v>6610</v>
      </c>
      <c r="E6566">
        <v>8</v>
      </c>
      <c r="AK6566">
        <v>1</v>
      </c>
      <c r="AY6566">
        <f t="shared" si="206"/>
        <v>43</v>
      </c>
      <c r="AZ6566">
        <f t="shared" si="207"/>
        <v>3</v>
      </c>
    </row>
    <row r="6567" spans="1:52" ht="55.2">
      <c r="A6567" s="3" t="s">
        <v>6611</v>
      </c>
      <c r="E6567">
        <v>8</v>
      </c>
      <c r="AK6567">
        <v>1</v>
      </c>
      <c r="AY6567">
        <f t="shared" si="206"/>
        <v>43</v>
      </c>
      <c r="AZ6567">
        <f t="shared" si="207"/>
        <v>3</v>
      </c>
    </row>
    <row r="6568" spans="1:52" ht="55.2">
      <c r="A6568" s="3" t="s">
        <v>6612</v>
      </c>
      <c r="E6568">
        <v>8</v>
      </c>
      <c r="AK6568">
        <v>1</v>
      </c>
      <c r="AY6568">
        <f t="shared" si="206"/>
        <v>43</v>
      </c>
      <c r="AZ6568">
        <f t="shared" si="207"/>
        <v>3</v>
      </c>
    </row>
    <row r="6569" spans="1:52" ht="55.2">
      <c r="A6569" s="3" t="s">
        <v>6613</v>
      </c>
      <c r="E6569">
        <v>8</v>
      </c>
      <c r="AK6569">
        <v>1</v>
      </c>
      <c r="AY6569">
        <f t="shared" si="206"/>
        <v>43</v>
      </c>
      <c r="AZ6569">
        <f t="shared" si="207"/>
        <v>3</v>
      </c>
    </row>
    <row r="6570" spans="1:52" ht="55.2">
      <c r="A6570" s="3" t="s">
        <v>6614</v>
      </c>
      <c r="E6570">
        <v>8</v>
      </c>
      <c r="AK6570">
        <v>1</v>
      </c>
      <c r="AY6570">
        <f t="shared" si="206"/>
        <v>43</v>
      </c>
      <c r="AZ6570">
        <f t="shared" si="207"/>
        <v>3</v>
      </c>
    </row>
    <row r="6571" spans="1:52" ht="55.2">
      <c r="A6571" s="3" t="s">
        <v>6615</v>
      </c>
      <c r="E6571">
        <v>8</v>
      </c>
      <c r="AK6571">
        <v>1</v>
      </c>
      <c r="AY6571">
        <f t="shared" si="206"/>
        <v>43</v>
      </c>
      <c r="AZ6571">
        <f t="shared" si="207"/>
        <v>3</v>
      </c>
    </row>
    <row r="6572" spans="1:52" ht="55.2">
      <c r="A6572" s="3" t="s">
        <v>6616</v>
      </c>
      <c r="E6572">
        <v>8</v>
      </c>
      <c r="AK6572">
        <v>1</v>
      </c>
      <c r="AY6572">
        <f t="shared" si="206"/>
        <v>43</v>
      </c>
      <c r="AZ6572">
        <f t="shared" si="207"/>
        <v>3</v>
      </c>
    </row>
    <row r="6573" spans="1:52" ht="55.2">
      <c r="A6573" s="3" t="s">
        <v>6617</v>
      </c>
      <c r="E6573">
        <v>8</v>
      </c>
      <c r="AK6573">
        <v>1</v>
      </c>
      <c r="AY6573">
        <f t="shared" si="206"/>
        <v>43</v>
      </c>
      <c r="AZ6573">
        <f t="shared" si="207"/>
        <v>3</v>
      </c>
    </row>
    <row r="6574" spans="1:52" ht="55.2">
      <c r="A6574" s="3" t="s">
        <v>6618</v>
      </c>
      <c r="E6574">
        <v>8</v>
      </c>
      <c r="AK6574">
        <v>1</v>
      </c>
      <c r="AY6574">
        <f t="shared" si="206"/>
        <v>43</v>
      </c>
      <c r="AZ6574">
        <f t="shared" si="207"/>
        <v>3</v>
      </c>
    </row>
    <row r="6575" spans="1:52" ht="55.2">
      <c r="A6575" s="3" t="s">
        <v>6619</v>
      </c>
      <c r="E6575">
        <v>8</v>
      </c>
      <c r="AK6575">
        <v>1</v>
      </c>
      <c r="AY6575">
        <f t="shared" si="206"/>
        <v>43</v>
      </c>
      <c r="AZ6575">
        <f t="shared" si="207"/>
        <v>3</v>
      </c>
    </row>
    <row r="6576" spans="1:52" ht="55.2">
      <c r="A6576" s="3" t="s">
        <v>6620</v>
      </c>
      <c r="E6576">
        <v>8</v>
      </c>
      <c r="AK6576">
        <v>1</v>
      </c>
      <c r="AY6576">
        <f t="shared" si="206"/>
        <v>43</v>
      </c>
      <c r="AZ6576">
        <f t="shared" si="207"/>
        <v>3</v>
      </c>
    </row>
    <row r="6577" spans="1:52" ht="55.2">
      <c r="A6577" s="3" t="s">
        <v>6621</v>
      </c>
      <c r="E6577">
        <v>8</v>
      </c>
      <c r="AK6577">
        <v>1</v>
      </c>
      <c r="AY6577">
        <f t="shared" si="206"/>
        <v>43</v>
      </c>
      <c r="AZ6577">
        <f t="shared" si="207"/>
        <v>3</v>
      </c>
    </row>
    <row r="6578" spans="1:52" ht="55.2">
      <c r="A6578" s="3" t="s">
        <v>6622</v>
      </c>
      <c r="E6578">
        <v>8</v>
      </c>
      <c r="AK6578">
        <v>1</v>
      </c>
      <c r="AY6578">
        <f t="shared" si="206"/>
        <v>43</v>
      </c>
      <c r="AZ6578">
        <f t="shared" si="207"/>
        <v>3</v>
      </c>
    </row>
    <row r="6579" spans="1:52" ht="55.2">
      <c r="A6579" s="3" t="s">
        <v>6623</v>
      </c>
      <c r="E6579">
        <v>8</v>
      </c>
      <c r="AK6579">
        <v>1</v>
      </c>
      <c r="AY6579">
        <f t="shared" si="206"/>
        <v>43</v>
      </c>
      <c r="AZ6579">
        <f t="shared" si="207"/>
        <v>3</v>
      </c>
    </row>
    <row r="6580" spans="1:52" ht="55.2">
      <c r="A6580" s="3" t="s">
        <v>6624</v>
      </c>
      <c r="E6580">
        <v>8</v>
      </c>
      <c r="AK6580">
        <v>1</v>
      </c>
      <c r="AY6580">
        <f t="shared" si="206"/>
        <v>43</v>
      </c>
      <c r="AZ6580">
        <f t="shared" si="207"/>
        <v>3</v>
      </c>
    </row>
    <row r="6581" spans="1:52" ht="55.2">
      <c r="A6581" s="3" t="s">
        <v>6625</v>
      </c>
      <c r="E6581">
        <v>8</v>
      </c>
      <c r="AK6581">
        <v>1</v>
      </c>
      <c r="AY6581">
        <f t="shared" si="206"/>
        <v>43</v>
      </c>
      <c r="AZ6581">
        <f t="shared" si="207"/>
        <v>3</v>
      </c>
    </row>
    <row r="6582" spans="1:52" ht="55.2">
      <c r="A6582" s="3" t="s">
        <v>6626</v>
      </c>
      <c r="E6582">
        <v>8</v>
      </c>
      <c r="AK6582">
        <v>1</v>
      </c>
      <c r="AY6582">
        <f t="shared" si="206"/>
        <v>43</v>
      </c>
      <c r="AZ6582">
        <f t="shared" si="207"/>
        <v>3</v>
      </c>
    </row>
    <row r="6583" spans="1:52" ht="55.2">
      <c r="A6583" s="3" t="s">
        <v>6627</v>
      </c>
      <c r="E6583">
        <v>8</v>
      </c>
      <c r="AK6583">
        <v>1</v>
      </c>
      <c r="AY6583">
        <f t="shared" si="206"/>
        <v>43</v>
      </c>
      <c r="AZ6583">
        <f t="shared" si="207"/>
        <v>3</v>
      </c>
    </row>
    <row r="6584" spans="1:52" ht="55.2">
      <c r="A6584" s="3" t="s">
        <v>6628</v>
      </c>
      <c r="E6584">
        <v>8</v>
      </c>
      <c r="AK6584">
        <v>1</v>
      </c>
      <c r="AY6584">
        <f t="shared" si="206"/>
        <v>43</v>
      </c>
      <c r="AZ6584">
        <f t="shared" si="207"/>
        <v>3</v>
      </c>
    </row>
    <row r="6585" spans="1:52" ht="55.2">
      <c r="A6585" s="3" t="s">
        <v>6629</v>
      </c>
      <c r="E6585">
        <v>8</v>
      </c>
      <c r="AK6585">
        <v>1</v>
      </c>
      <c r="AY6585">
        <f t="shared" si="206"/>
        <v>43</v>
      </c>
      <c r="AZ6585">
        <f t="shared" si="207"/>
        <v>3</v>
      </c>
    </row>
    <row r="6586" spans="1:52" ht="55.2">
      <c r="A6586" s="3" t="s">
        <v>6630</v>
      </c>
      <c r="E6586">
        <v>8</v>
      </c>
      <c r="AK6586">
        <v>1</v>
      </c>
      <c r="AY6586">
        <f t="shared" si="206"/>
        <v>43</v>
      </c>
      <c r="AZ6586">
        <f t="shared" si="207"/>
        <v>3</v>
      </c>
    </row>
    <row r="6587" spans="1:52" ht="55.2">
      <c r="A6587" s="3" t="s">
        <v>6631</v>
      </c>
      <c r="E6587">
        <v>8</v>
      </c>
      <c r="AK6587">
        <v>1</v>
      </c>
      <c r="AY6587">
        <f t="shared" si="206"/>
        <v>43</v>
      </c>
      <c r="AZ6587">
        <f t="shared" si="207"/>
        <v>3</v>
      </c>
    </row>
    <row r="6588" spans="1:52" ht="55.2">
      <c r="A6588" s="3" t="s">
        <v>6632</v>
      </c>
      <c r="E6588">
        <v>8</v>
      </c>
      <c r="AJ6588">
        <v>4</v>
      </c>
      <c r="AY6588">
        <f t="shared" si="206"/>
        <v>43</v>
      </c>
      <c r="AZ6588">
        <f t="shared" si="207"/>
        <v>3</v>
      </c>
    </row>
    <row r="6589" spans="1:52" ht="55.2">
      <c r="A6589" s="3" t="s">
        <v>6633</v>
      </c>
      <c r="E6589">
        <v>8</v>
      </c>
      <c r="AJ6589">
        <v>4</v>
      </c>
      <c r="AY6589">
        <f t="shared" si="206"/>
        <v>43</v>
      </c>
      <c r="AZ6589">
        <f t="shared" si="207"/>
        <v>3</v>
      </c>
    </row>
    <row r="6590" spans="1:52" ht="55.2">
      <c r="A6590" s="3" t="s">
        <v>6634</v>
      </c>
      <c r="E6590">
        <v>8</v>
      </c>
      <c r="AJ6590">
        <v>4</v>
      </c>
      <c r="AY6590">
        <f t="shared" si="206"/>
        <v>43</v>
      </c>
      <c r="AZ6590">
        <f t="shared" si="207"/>
        <v>3</v>
      </c>
    </row>
    <row r="6591" spans="1:52" ht="55.2">
      <c r="A6591" s="3" t="s">
        <v>6635</v>
      </c>
      <c r="E6591">
        <v>8</v>
      </c>
      <c r="AJ6591">
        <v>4</v>
      </c>
      <c r="AY6591">
        <f t="shared" si="206"/>
        <v>43</v>
      </c>
      <c r="AZ6591">
        <f t="shared" si="207"/>
        <v>3</v>
      </c>
    </row>
    <row r="6592" spans="1:52" ht="55.2">
      <c r="A6592" s="3" t="s">
        <v>6636</v>
      </c>
      <c r="E6592">
        <v>8</v>
      </c>
      <c r="AJ6592">
        <v>4</v>
      </c>
      <c r="AY6592">
        <f t="shared" si="206"/>
        <v>43</v>
      </c>
      <c r="AZ6592">
        <f t="shared" si="207"/>
        <v>3</v>
      </c>
    </row>
    <row r="6593" spans="1:52" ht="55.2">
      <c r="A6593" s="3" t="s">
        <v>6637</v>
      </c>
      <c r="E6593">
        <v>8</v>
      </c>
      <c r="AJ6593">
        <v>4</v>
      </c>
      <c r="AY6593">
        <f t="shared" si="206"/>
        <v>43</v>
      </c>
      <c r="AZ6593">
        <f t="shared" si="207"/>
        <v>3</v>
      </c>
    </row>
    <row r="6594" spans="1:52" ht="55.2">
      <c r="A6594" s="3" t="s">
        <v>6638</v>
      </c>
      <c r="E6594">
        <v>8</v>
      </c>
      <c r="AJ6594">
        <v>4</v>
      </c>
      <c r="AY6594">
        <f t="shared" si="206"/>
        <v>43</v>
      </c>
      <c r="AZ6594">
        <f t="shared" si="207"/>
        <v>3</v>
      </c>
    </row>
    <row r="6595" spans="1:52" ht="55.2">
      <c r="A6595" s="3" t="s">
        <v>6639</v>
      </c>
      <c r="E6595">
        <v>8</v>
      </c>
      <c r="AJ6595">
        <v>4</v>
      </c>
      <c r="AY6595">
        <f t="shared" si="206"/>
        <v>43</v>
      </c>
      <c r="AZ6595">
        <f t="shared" si="207"/>
        <v>3</v>
      </c>
    </row>
    <row r="6596" spans="1:52" ht="55.2">
      <c r="A6596" s="3" t="s">
        <v>6640</v>
      </c>
      <c r="E6596">
        <v>8</v>
      </c>
      <c r="AJ6596">
        <v>4</v>
      </c>
      <c r="AY6596">
        <f t="shared" si="206"/>
        <v>43</v>
      </c>
      <c r="AZ6596">
        <f t="shared" si="207"/>
        <v>3</v>
      </c>
    </row>
    <row r="6597" spans="1:52" ht="55.2">
      <c r="A6597" s="3" t="s">
        <v>6641</v>
      </c>
      <c r="E6597">
        <v>8</v>
      </c>
      <c r="AJ6597">
        <v>4</v>
      </c>
      <c r="AY6597">
        <f t="shared" si="206"/>
        <v>43</v>
      </c>
      <c r="AZ6597">
        <f t="shared" si="207"/>
        <v>3</v>
      </c>
    </row>
    <row r="6598" spans="1:52" ht="55.2">
      <c r="A6598" s="3" t="s">
        <v>6642</v>
      </c>
      <c r="E6598">
        <v>8</v>
      </c>
      <c r="AJ6598">
        <v>4</v>
      </c>
      <c r="AY6598">
        <f t="shared" si="206"/>
        <v>43</v>
      </c>
      <c r="AZ6598">
        <f t="shared" si="207"/>
        <v>3</v>
      </c>
    </row>
    <row r="6599" spans="1:52" ht="55.2">
      <c r="A6599" s="3" t="s">
        <v>6643</v>
      </c>
      <c r="E6599">
        <v>8</v>
      </c>
      <c r="AJ6599">
        <v>4</v>
      </c>
      <c r="AY6599">
        <f t="shared" si="206"/>
        <v>43</v>
      </c>
      <c r="AZ6599">
        <f t="shared" si="207"/>
        <v>3</v>
      </c>
    </row>
    <row r="6600" spans="1:52" ht="55.2">
      <c r="A6600" s="3" t="s">
        <v>6644</v>
      </c>
      <c r="E6600">
        <v>8</v>
      </c>
      <c r="AJ6600">
        <v>4</v>
      </c>
      <c r="AY6600">
        <f t="shared" si="206"/>
        <v>43</v>
      </c>
      <c r="AZ6600">
        <f t="shared" si="207"/>
        <v>3</v>
      </c>
    </row>
    <row r="6601" spans="1:52" ht="55.2">
      <c r="A6601" s="3" t="s">
        <v>6645</v>
      </c>
      <c r="E6601">
        <v>8</v>
      </c>
      <c r="AJ6601">
        <v>4</v>
      </c>
      <c r="AY6601">
        <f t="shared" si="206"/>
        <v>43</v>
      </c>
      <c r="AZ6601">
        <f t="shared" si="207"/>
        <v>3</v>
      </c>
    </row>
    <row r="6602" spans="1:52" ht="55.2">
      <c r="A6602" s="3" t="s">
        <v>6646</v>
      </c>
      <c r="E6602">
        <v>8</v>
      </c>
      <c r="AJ6602">
        <v>4</v>
      </c>
      <c r="AY6602">
        <f t="shared" si="206"/>
        <v>43</v>
      </c>
      <c r="AZ6602">
        <f t="shared" si="207"/>
        <v>3</v>
      </c>
    </row>
    <row r="6603" spans="1:52" ht="55.2">
      <c r="A6603" s="3" t="s">
        <v>6647</v>
      </c>
      <c r="E6603">
        <v>8</v>
      </c>
      <c r="AJ6603">
        <v>4</v>
      </c>
      <c r="AY6603">
        <f t="shared" si="206"/>
        <v>43</v>
      </c>
      <c r="AZ6603">
        <f t="shared" si="207"/>
        <v>3</v>
      </c>
    </row>
    <row r="6604" spans="1:52" ht="55.2">
      <c r="A6604" s="3" t="s">
        <v>6648</v>
      </c>
      <c r="E6604">
        <v>8</v>
      </c>
      <c r="AJ6604">
        <v>4</v>
      </c>
      <c r="AY6604">
        <f t="shared" si="206"/>
        <v>43</v>
      </c>
      <c r="AZ6604">
        <f t="shared" si="207"/>
        <v>3</v>
      </c>
    </row>
    <row r="6605" spans="1:52" ht="55.2">
      <c r="A6605" s="3" t="s">
        <v>6649</v>
      </c>
      <c r="E6605">
        <v>8</v>
      </c>
      <c r="AJ6605">
        <v>4</v>
      </c>
      <c r="AY6605">
        <f t="shared" si="206"/>
        <v>43</v>
      </c>
      <c r="AZ6605">
        <f t="shared" si="207"/>
        <v>3</v>
      </c>
    </row>
    <row r="6606" spans="1:52" ht="55.2">
      <c r="A6606" s="3" t="s">
        <v>6650</v>
      </c>
      <c r="E6606">
        <v>8</v>
      </c>
      <c r="AJ6606">
        <v>4</v>
      </c>
      <c r="AY6606">
        <f t="shared" si="206"/>
        <v>43</v>
      </c>
      <c r="AZ6606">
        <f t="shared" si="207"/>
        <v>3</v>
      </c>
    </row>
    <row r="6607" spans="1:52" ht="55.2">
      <c r="A6607" s="3" t="s">
        <v>6651</v>
      </c>
      <c r="E6607">
        <v>8</v>
      </c>
      <c r="AJ6607">
        <v>4</v>
      </c>
      <c r="AY6607">
        <f t="shared" si="206"/>
        <v>43</v>
      </c>
      <c r="AZ6607">
        <f t="shared" si="207"/>
        <v>3</v>
      </c>
    </row>
    <row r="6608" spans="1:52" ht="55.2">
      <c r="A6608" s="3" t="s">
        <v>6652</v>
      </c>
      <c r="E6608">
        <v>8</v>
      </c>
      <c r="AJ6608">
        <v>4</v>
      </c>
      <c r="AY6608">
        <f t="shared" si="206"/>
        <v>43</v>
      </c>
      <c r="AZ6608">
        <f t="shared" si="207"/>
        <v>3</v>
      </c>
    </row>
    <row r="6609" spans="1:52" ht="55.2">
      <c r="A6609" s="3" t="s">
        <v>6653</v>
      </c>
      <c r="E6609">
        <v>8</v>
      </c>
      <c r="AJ6609">
        <v>4</v>
      </c>
      <c r="AY6609">
        <f t="shared" si="206"/>
        <v>43</v>
      </c>
      <c r="AZ6609">
        <f t="shared" si="207"/>
        <v>3</v>
      </c>
    </row>
    <row r="6610" spans="1:52" ht="55.2">
      <c r="A6610" s="3" t="s">
        <v>6654</v>
      </c>
      <c r="E6610">
        <v>8</v>
      </c>
      <c r="AJ6610">
        <v>4</v>
      </c>
      <c r="AY6610">
        <f t="shared" si="206"/>
        <v>43</v>
      </c>
      <c r="AZ6610">
        <f t="shared" si="207"/>
        <v>3</v>
      </c>
    </row>
    <row r="6611" spans="1:52" ht="55.2">
      <c r="A6611" s="3" t="s">
        <v>6655</v>
      </c>
      <c r="E6611">
        <v>8</v>
      </c>
      <c r="AJ6611">
        <v>4</v>
      </c>
      <c r="AY6611">
        <f t="shared" si="206"/>
        <v>43</v>
      </c>
      <c r="AZ6611">
        <f t="shared" si="207"/>
        <v>3</v>
      </c>
    </row>
    <row r="6612" spans="1:52" ht="55.2">
      <c r="A6612" s="3" t="s">
        <v>6656</v>
      </c>
      <c r="E6612">
        <v>8</v>
      </c>
      <c r="K6612">
        <v>20</v>
      </c>
      <c r="AY6612">
        <f t="shared" si="206"/>
        <v>43</v>
      </c>
      <c r="AZ6612">
        <f t="shared" si="207"/>
        <v>3</v>
      </c>
    </row>
    <row r="6613" spans="1:52" ht="55.2">
      <c r="A6613" s="3" t="s">
        <v>6657</v>
      </c>
      <c r="E6613">
        <v>8</v>
      </c>
      <c r="K6613">
        <v>20</v>
      </c>
      <c r="AY6613">
        <f t="shared" si="206"/>
        <v>43</v>
      </c>
      <c r="AZ6613">
        <f t="shared" si="207"/>
        <v>3</v>
      </c>
    </row>
    <row r="6614" spans="1:52" ht="55.2">
      <c r="A6614" s="3" t="s">
        <v>6658</v>
      </c>
      <c r="E6614">
        <v>8</v>
      </c>
      <c r="K6614">
        <v>20</v>
      </c>
      <c r="AY6614">
        <f t="shared" si="206"/>
        <v>43</v>
      </c>
      <c r="AZ6614">
        <f t="shared" si="207"/>
        <v>3</v>
      </c>
    </row>
    <row r="6615" spans="1:52" ht="55.2">
      <c r="A6615" s="3" t="s">
        <v>6659</v>
      </c>
      <c r="E6615">
        <v>8</v>
      </c>
      <c r="K6615">
        <v>20</v>
      </c>
      <c r="AY6615">
        <f t="shared" si="206"/>
        <v>43</v>
      </c>
      <c r="AZ6615">
        <f t="shared" si="207"/>
        <v>3</v>
      </c>
    </row>
    <row r="6616" spans="1:52" ht="55.2">
      <c r="A6616" s="3" t="s">
        <v>6660</v>
      </c>
      <c r="E6616">
        <v>8</v>
      </c>
      <c r="K6616">
        <v>20</v>
      </c>
      <c r="AY6616">
        <f t="shared" si="206"/>
        <v>43</v>
      </c>
      <c r="AZ6616">
        <f t="shared" si="207"/>
        <v>3</v>
      </c>
    </row>
    <row r="6617" spans="1:52" ht="55.2">
      <c r="A6617" s="3" t="s">
        <v>6661</v>
      </c>
      <c r="E6617">
        <v>8</v>
      </c>
      <c r="K6617">
        <v>20</v>
      </c>
      <c r="AY6617">
        <f t="shared" si="206"/>
        <v>43</v>
      </c>
      <c r="AZ6617">
        <f t="shared" si="207"/>
        <v>3</v>
      </c>
    </row>
    <row r="6618" spans="1:52" ht="55.2">
      <c r="A6618" s="3" t="s">
        <v>6662</v>
      </c>
      <c r="E6618">
        <v>8</v>
      </c>
      <c r="K6618">
        <v>20</v>
      </c>
      <c r="AY6618">
        <f t="shared" si="206"/>
        <v>43</v>
      </c>
      <c r="AZ6618">
        <f t="shared" si="207"/>
        <v>3</v>
      </c>
    </row>
    <row r="6619" spans="1:52" ht="55.2">
      <c r="A6619" s="3" t="s">
        <v>6663</v>
      </c>
      <c r="E6619">
        <v>8</v>
      </c>
      <c r="K6619">
        <v>20</v>
      </c>
      <c r="AY6619">
        <f t="shared" si="206"/>
        <v>43</v>
      </c>
      <c r="AZ6619">
        <f t="shared" si="207"/>
        <v>3</v>
      </c>
    </row>
    <row r="6620" spans="1:52" ht="55.2">
      <c r="A6620" s="3" t="s">
        <v>6664</v>
      </c>
      <c r="E6620">
        <v>8</v>
      </c>
      <c r="K6620">
        <v>20</v>
      </c>
      <c r="AY6620">
        <f t="shared" si="206"/>
        <v>43</v>
      </c>
      <c r="AZ6620">
        <f t="shared" si="207"/>
        <v>3</v>
      </c>
    </row>
    <row r="6621" spans="1:52" ht="55.2">
      <c r="A6621" s="3" t="s">
        <v>6665</v>
      </c>
      <c r="E6621">
        <v>8</v>
      </c>
      <c r="K6621">
        <v>20</v>
      </c>
      <c r="AY6621">
        <f t="shared" si="206"/>
        <v>43</v>
      </c>
      <c r="AZ6621">
        <f t="shared" si="207"/>
        <v>3</v>
      </c>
    </row>
    <row r="6622" spans="1:52" ht="55.2">
      <c r="A6622" s="3" t="s">
        <v>6666</v>
      </c>
      <c r="E6622">
        <v>8</v>
      </c>
      <c r="J6622">
        <v>68</v>
      </c>
      <c r="AY6622">
        <f t="shared" si="206"/>
        <v>43</v>
      </c>
      <c r="AZ6622">
        <f t="shared" si="207"/>
        <v>3</v>
      </c>
    </row>
    <row r="6623" spans="1:52" ht="55.2">
      <c r="A6623" s="3" t="s">
        <v>6667</v>
      </c>
      <c r="E6623">
        <v>8</v>
      </c>
      <c r="J6623">
        <v>68</v>
      </c>
      <c r="AY6623">
        <f t="shared" si="206"/>
        <v>43</v>
      </c>
      <c r="AZ6623">
        <f t="shared" si="207"/>
        <v>3</v>
      </c>
    </row>
    <row r="6624" spans="1:52" ht="55.2">
      <c r="A6624" s="3" t="s">
        <v>6668</v>
      </c>
      <c r="E6624">
        <v>8</v>
      </c>
      <c r="J6624">
        <v>68</v>
      </c>
      <c r="AY6624">
        <f t="shared" si="206"/>
        <v>43</v>
      </c>
      <c r="AZ6624">
        <f t="shared" si="207"/>
        <v>3</v>
      </c>
    </row>
    <row r="6625" spans="1:52" ht="55.2">
      <c r="A6625" s="3" t="s">
        <v>6669</v>
      </c>
      <c r="E6625">
        <v>8</v>
      </c>
      <c r="J6625">
        <v>68</v>
      </c>
      <c r="AY6625">
        <f t="shared" ref="AY6625:AY6688" si="208">COUNTBLANK(F6625:AW6625)</f>
        <v>43</v>
      </c>
      <c r="AZ6625">
        <f t="shared" ref="AZ6625:AZ6688" si="209">COUNTBLANK(B6625:E6625)</f>
        <v>3</v>
      </c>
    </row>
    <row r="6626" spans="1:52" ht="55.2">
      <c r="A6626" s="3" t="s">
        <v>6670</v>
      </c>
      <c r="E6626">
        <v>8</v>
      </c>
      <c r="J6626">
        <v>68</v>
      </c>
      <c r="AY6626">
        <f t="shared" si="208"/>
        <v>43</v>
      </c>
      <c r="AZ6626">
        <f t="shared" si="209"/>
        <v>3</v>
      </c>
    </row>
    <row r="6627" spans="1:52" ht="55.2">
      <c r="A6627" s="3" t="s">
        <v>6671</v>
      </c>
      <c r="E6627">
        <v>8</v>
      </c>
      <c r="J6627">
        <v>68</v>
      </c>
      <c r="AY6627">
        <f t="shared" si="208"/>
        <v>43</v>
      </c>
      <c r="AZ6627">
        <f t="shared" si="209"/>
        <v>3</v>
      </c>
    </row>
    <row r="6628" spans="1:52" ht="55.2">
      <c r="A6628" s="3" t="s">
        <v>6672</v>
      </c>
      <c r="E6628">
        <v>8</v>
      </c>
      <c r="J6628">
        <v>68</v>
      </c>
      <c r="AY6628">
        <f t="shared" si="208"/>
        <v>43</v>
      </c>
      <c r="AZ6628">
        <f t="shared" si="209"/>
        <v>3</v>
      </c>
    </row>
    <row r="6629" spans="1:52" ht="55.2">
      <c r="A6629" s="3" t="s">
        <v>6673</v>
      </c>
      <c r="E6629">
        <v>8</v>
      </c>
      <c r="J6629">
        <v>68</v>
      </c>
      <c r="AY6629">
        <f t="shared" si="208"/>
        <v>43</v>
      </c>
      <c r="AZ6629">
        <f t="shared" si="209"/>
        <v>3</v>
      </c>
    </row>
    <row r="6630" spans="1:52" ht="55.2">
      <c r="A6630" s="3" t="s">
        <v>6674</v>
      </c>
      <c r="E6630">
        <v>8</v>
      </c>
      <c r="J6630">
        <v>68</v>
      </c>
      <c r="AY6630">
        <f t="shared" si="208"/>
        <v>43</v>
      </c>
      <c r="AZ6630">
        <f t="shared" si="209"/>
        <v>3</v>
      </c>
    </row>
    <row r="6631" spans="1:52" ht="55.2">
      <c r="A6631" s="3" t="s">
        <v>6675</v>
      </c>
      <c r="E6631">
        <v>8</v>
      </c>
      <c r="J6631">
        <v>68</v>
      </c>
      <c r="AY6631">
        <f t="shared" si="208"/>
        <v>43</v>
      </c>
      <c r="AZ6631">
        <f t="shared" si="209"/>
        <v>3</v>
      </c>
    </row>
    <row r="6632" spans="1:52" ht="55.2">
      <c r="A6632" s="3" t="s">
        <v>6676</v>
      </c>
      <c r="E6632">
        <v>8</v>
      </c>
      <c r="J6632">
        <v>68</v>
      </c>
      <c r="AY6632">
        <f t="shared" si="208"/>
        <v>43</v>
      </c>
      <c r="AZ6632">
        <f t="shared" si="209"/>
        <v>3</v>
      </c>
    </row>
    <row r="6633" spans="1:52" ht="55.2">
      <c r="A6633" s="3" t="s">
        <v>6677</v>
      </c>
      <c r="E6633">
        <v>8</v>
      </c>
      <c r="J6633">
        <v>68</v>
      </c>
      <c r="AY6633">
        <f t="shared" si="208"/>
        <v>43</v>
      </c>
      <c r="AZ6633">
        <f t="shared" si="209"/>
        <v>3</v>
      </c>
    </row>
    <row r="6634" spans="1:52" ht="55.2">
      <c r="A6634" s="3" t="s">
        <v>6678</v>
      </c>
      <c r="E6634">
        <v>8</v>
      </c>
      <c r="J6634">
        <v>68</v>
      </c>
      <c r="AY6634">
        <f t="shared" si="208"/>
        <v>43</v>
      </c>
      <c r="AZ6634">
        <f t="shared" si="209"/>
        <v>3</v>
      </c>
    </row>
    <row r="6635" spans="1:52" ht="55.2">
      <c r="A6635" s="3" t="s">
        <v>6679</v>
      </c>
      <c r="E6635">
        <v>8</v>
      </c>
      <c r="J6635">
        <v>68</v>
      </c>
      <c r="AY6635">
        <f t="shared" si="208"/>
        <v>43</v>
      </c>
      <c r="AZ6635">
        <f t="shared" si="209"/>
        <v>3</v>
      </c>
    </row>
    <row r="6636" spans="1:52" ht="55.2">
      <c r="A6636" s="3" t="s">
        <v>6680</v>
      </c>
      <c r="E6636">
        <v>8</v>
      </c>
      <c r="J6636">
        <v>68</v>
      </c>
      <c r="AY6636">
        <f t="shared" si="208"/>
        <v>43</v>
      </c>
      <c r="AZ6636">
        <f t="shared" si="209"/>
        <v>3</v>
      </c>
    </row>
    <row r="6637" spans="1:52" ht="55.2">
      <c r="A6637" s="3" t="s">
        <v>6681</v>
      </c>
      <c r="E6637">
        <v>8</v>
      </c>
      <c r="J6637">
        <v>68</v>
      </c>
      <c r="AY6637">
        <f t="shared" si="208"/>
        <v>43</v>
      </c>
      <c r="AZ6637">
        <f t="shared" si="209"/>
        <v>3</v>
      </c>
    </row>
    <row r="6638" spans="1:52" ht="55.2">
      <c r="A6638" s="3" t="s">
        <v>6682</v>
      </c>
      <c r="E6638">
        <v>8</v>
      </c>
      <c r="J6638">
        <v>68</v>
      </c>
      <c r="AY6638">
        <f t="shared" si="208"/>
        <v>43</v>
      </c>
      <c r="AZ6638">
        <f t="shared" si="209"/>
        <v>3</v>
      </c>
    </row>
    <row r="6639" spans="1:52" ht="55.2">
      <c r="A6639" s="3" t="s">
        <v>6683</v>
      </c>
      <c r="E6639">
        <v>8</v>
      </c>
      <c r="J6639">
        <v>68</v>
      </c>
      <c r="AY6639">
        <f t="shared" si="208"/>
        <v>43</v>
      </c>
      <c r="AZ6639">
        <f t="shared" si="209"/>
        <v>3</v>
      </c>
    </row>
    <row r="6640" spans="1:52" ht="55.2">
      <c r="A6640" s="3" t="s">
        <v>6684</v>
      </c>
      <c r="E6640">
        <v>8</v>
      </c>
      <c r="J6640">
        <v>68</v>
      </c>
      <c r="AY6640">
        <f t="shared" si="208"/>
        <v>43</v>
      </c>
      <c r="AZ6640">
        <f t="shared" si="209"/>
        <v>3</v>
      </c>
    </row>
    <row r="6641" spans="1:52" ht="55.2">
      <c r="A6641" s="3" t="s">
        <v>6685</v>
      </c>
      <c r="E6641">
        <v>8</v>
      </c>
      <c r="J6641">
        <v>68</v>
      </c>
      <c r="AY6641">
        <f t="shared" si="208"/>
        <v>43</v>
      </c>
      <c r="AZ6641">
        <f t="shared" si="209"/>
        <v>3</v>
      </c>
    </row>
    <row r="6642" spans="1:52" ht="55.2">
      <c r="A6642" s="3" t="s">
        <v>6686</v>
      </c>
      <c r="E6642">
        <v>8</v>
      </c>
      <c r="J6642">
        <v>68</v>
      </c>
      <c r="AY6642">
        <f t="shared" si="208"/>
        <v>43</v>
      </c>
      <c r="AZ6642">
        <f t="shared" si="209"/>
        <v>3</v>
      </c>
    </row>
    <row r="6643" spans="1:52" ht="55.2">
      <c r="A6643" s="3" t="s">
        <v>6687</v>
      </c>
      <c r="E6643">
        <v>8</v>
      </c>
      <c r="J6643">
        <v>68</v>
      </c>
      <c r="AY6643">
        <f t="shared" si="208"/>
        <v>43</v>
      </c>
      <c r="AZ6643">
        <f t="shared" si="209"/>
        <v>3</v>
      </c>
    </row>
    <row r="6644" spans="1:52" ht="55.2">
      <c r="A6644" s="3" t="s">
        <v>6688</v>
      </c>
      <c r="E6644">
        <v>8</v>
      </c>
      <c r="J6644">
        <v>68</v>
      </c>
      <c r="AY6644">
        <f t="shared" si="208"/>
        <v>43</v>
      </c>
      <c r="AZ6644">
        <f t="shared" si="209"/>
        <v>3</v>
      </c>
    </row>
    <row r="6645" spans="1:52" ht="55.2">
      <c r="A6645" s="3" t="s">
        <v>6689</v>
      </c>
      <c r="D6645">
        <v>7</v>
      </c>
      <c r="E6645">
        <v>8</v>
      </c>
      <c r="J6645">
        <v>68</v>
      </c>
      <c r="AY6645">
        <f t="shared" si="208"/>
        <v>43</v>
      </c>
      <c r="AZ6645">
        <f t="shared" si="209"/>
        <v>2</v>
      </c>
    </row>
    <row r="6646" spans="1:52" ht="55.2">
      <c r="A6646" s="3" t="s">
        <v>6690</v>
      </c>
      <c r="D6646">
        <v>7</v>
      </c>
      <c r="E6646">
        <v>8</v>
      </c>
      <c r="J6646">
        <v>68</v>
      </c>
      <c r="AY6646">
        <f t="shared" si="208"/>
        <v>43</v>
      </c>
      <c r="AZ6646">
        <f t="shared" si="209"/>
        <v>2</v>
      </c>
    </row>
    <row r="6647" spans="1:52" ht="55.2">
      <c r="A6647" s="3" t="s">
        <v>6691</v>
      </c>
      <c r="D6647">
        <v>7</v>
      </c>
      <c r="E6647">
        <v>8</v>
      </c>
      <c r="J6647">
        <v>68</v>
      </c>
      <c r="AY6647">
        <f t="shared" si="208"/>
        <v>43</v>
      </c>
      <c r="AZ6647">
        <f t="shared" si="209"/>
        <v>2</v>
      </c>
    </row>
    <row r="6648" spans="1:52" ht="55.2">
      <c r="A6648" s="3" t="s">
        <v>6692</v>
      </c>
      <c r="D6648">
        <v>7</v>
      </c>
      <c r="E6648">
        <v>8</v>
      </c>
      <c r="J6648">
        <v>68</v>
      </c>
      <c r="AY6648">
        <f t="shared" si="208"/>
        <v>43</v>
      </c>
      <c r="AZ6648">
        <f t="shared" si="209"/>
        <v>2</v>
      </c>
    </row>
    <row r="6649" spans="1:52" ht="55.2">
      <c r="A6649" s="3" t="s">
        <v>6693</v>
      </c>
      <c r="D6649">
        <v>7</v>
      </c>
      <c r="E6649">
        <v>8</v>
      </c>
      <c r="J6649">
        <v>68</v>
      </c>
      <c r="AY6649">
        <f t="shared" si="208"/>
        <v>43</v>
      </c>
      <c r="AZ6649">
        <f t="shared" si="209"/>
        <v>2</v>
      </c>
    </row>
    <row r="6650" spans="1:52" ht="55.2">
      <c r="A6650" s="3" t="s">
        <v>6694</v>
      </c>
      <c r="D6650">
        <v>7</v>
      </c>
      <c r="J6650">
        <v>68</v>
      </c>
      <c r="AY6650">
        <f t="shared" si="208"/>
        <v>43</v>
      </c>
      <c r="AZ6650">
        <f t="shared" si="209"/>
        <v>3</v>
      </c>
    </row>
    <row r="6651" spans="1:52" ht="55.2">
      <c r="A6651" s="3" t="s">
        <v>6695</v>
      </c>
      <c r="D6651">
        <v>7</v>
      </c>
      <c r="J6651">
        <v>68</v>
      </c>
      <c r="AY6651">
        <f t="shared" si="208"/>
        <v>43</v>
      </c>
      <c r="AZ6651">
        <f t="shared" si="209"/>
        <v>3</v>
      </c>
    </row>
    <row r="6652" spans="1:52" ht="55.2">
      <c r="A6652" s="3" t="s">
        <v>6696</v>
      </c>
      <c r="D6652">
        <v>7</v>
      </c>
      <c r="J6652">
        <v>68</v>
      </c>
      <c r="AY6652">
        <f t="shared" si="208"/>
        <v>43</v>
      </c>
      <c r="AZ6652">
        <f t="shared" si="209"/>
        <v>3</v>
      </c>
    </row>
    <row r="6653" spans="1:52" ht="55.2">
      <c r="A6653" s="3" t="s">
        <v>6697</v>
      </c>
      <c r="D6653">
        <v>7</v>
      </c>
      <c r="J6653">
        <v>68</v>
      </c>
      <c r="AY6653">
        <f t="shared" si="208"/>
        <v>43</v>
      </c>
      <c r="AZ6653">
        <f t="shared" si="209"/>
        <v>3</v>
      </c>
    </row>
    <row r="6654" spans="1:52" ht="55.2">
      <c r="A6654" s="3" t="s">
        <v>6698</v>
      </c>
      <c r="D6654">
        <v>7</v>
      </c>
      <c r="AF6654">
        <v>4</v>
      </c>
      <c r="AY6654">
        <f t="shared" si="208"/>
        <v>43</v>
      </c>
      <c r="AZ6654">
        <f t="shared" si="209"/>
        <v>3</v>
      </c>
    </row>
    <row r="6655" spans="1:52" ht="55.2">
      <c r="A6655" s="3" t="s">
        <v>6699</v>
      </c>
      <c r="D6655">
        <v>7</v>
      </c>
      <c r="AF6655">
        <v>4</v>
      </c>
      <c r="AY6655">
        <f t="shared" si="208"/>
        <v>43</v>
      </c>
      <c r="AZ6655">
        <f t="shared" si="209"/>
        <v>3</v>
      </c>
    </row>
    <row r="6656" spans="1:52" ht="55.2">
      <c r="A6656" s="3" t="s">
        <v>6700</v>
      </c>
      <c r="D6656">
        <v>7</v>
      </c>
      <c r="AF6656">
        <v>4</v>
      </c>
      <c r="AY6656">
        <f t="shared" si="208"/>
        <v>43</v>
      </c>
      <c r="AZ6656">
        <f t="shared" si="209"/>
        <v>3</v>
      </c>
    </row>
    <row r="6657" spans="1:52" ht="55.2">
      <c r="A6657" s="3" t="s">
        <v>6701</v>
      </c>
      <c r="D6657">
        <v>7</v>
      </c>
      <c r="AF6657">
        <v>4</v>
      </c>
      <c r="AY6657">
        <f t="shared" si="208"/>
        <v>43</v>
      </c>
      <c r="AZ6657">
        <f t="shared" si="209"/>
        <v>3</v>
      </c>
    </row>
    <row r="6658" spans="1:52" ht="55.2">
      <c r="A6658" s="3" t="s">
        <v>6702</v>
      </c>
      <c r="D6658">
        <v>7</v>
      </c>
      <c r="AF6658">
        <v>4</v>
      </c>
      <c r="AY6658">
        <f t="shared" si="208"/>
        <v>43</v>
      </c>
      <c r="AZ6658">
        <f t="shared" si="209"/>
        <v>3</v>
      </c>
    </row>
    <row r="6659" spans="1:52" ht="55.2">
      <c r="A6659" s="3" t="s">
        <v>6703</v>
      </c>
      <c r="D6659">
        <v>7</v>
      </c>
      <c r="AF6659">
        <v>4</v>
      </c>
      <c r="AY6659">
        <f t="shared" si="208"/>
        <v>43</v>
      </c>
      <c r="AZ6659">
        <f t="shared" si="209"/>
        <v>3</v>
      </c>
    </row>
    <row r="6660" spans="1:52" ht="55.2">
      <c r="A6660" s="3" t="s">
        <v>6704</v>
      </c>
      <c r="D6660">
        <v>7</v>
      </c>
      <c r="AF6660">
        <v>4</v>
      </c>
      <c r="AY6660">
        <f t="shared" si="208"/>
        <v>43</v>
      </c>
      <c r="AZ6660">
        <f t="shared" si="209"/>
        <v>3</v>
      </c>
    </row>
    <row r="6661" spans="1:52" ht="55.2">
      <c r="A6661" s="3" t="s">
        <v>6705</v>
      </c>
      <c r="D6661">
        <v>7</v>
      </c>
      <c r="AF6661">
        <v>4</v>
      </c>
      <c r="AY6661">
        <f t="shared" si="208"/>
        <v>43</v>
      </c>
      <c r="AZ6661">
        <f t="shared" si="209"/>
        <v>3</v>
      </c>
    </row>
    <row r="6662" spans="1:52" ht="55.2">
      <c r="A6662" s="3" t="s">
        <v>6706</v>
      </c>
      <c r="D6662">
        <v>7</v>
      </c>
      <c r="AF6662">
        <v>4</v>
      </c>
      <c r="AY6662">
        <f t="shared" si="208"/>
        <v>43</v>
      </c>
      <c r="AZ6662">
        <f t="shared" si="209"/>
        <v>3</v>
      </c>
    </row>
    <row r="6663" spans="1:52" ht="55.2">
      <c r="A6663" s="3" t="s">
        <v>6707</v>
      </c>
      <c r="D6663">
        <v>7</v>
      </c>
      <c r="AF6663">
        <v>4</v>
      </c>
      <c r="AY6663">
        <f t="shared" si="208"/>
        <v>43</v>
      </c>
      <c r="AZ6663">
        <f t="shared" si="209"/>
        <v>3</v>
      </c>
    </row>
    <row r="6664" spans="1:52" ht="55.2">
      <c r="A6664" s="3" t="s">
        <v>6708</v>
      </c>
      <c r="D6664">
        <v>7</v>
      </c>
      <c r="AF6664">
        <v>4</v>
      </c>
      <c r="AY6664">
        <f t="shared" si="208"/>
        <v>43</v>
      </c>
      <c r="AZ6664">
        <f t="shared" si="209"/>
        <v>3</v>
      </c>
    </row>
    <row r="6665" spans="1:52" ht="55.2">
      <c r="A6665" s="3" t="s">
        <v>6709</v>
      </c>
      <c r="D6665">
        <v>7</v>
      </c>
      <c r="AF6665">
        <v>4</v>
      </c>
      <c r="AY6665">
        <f t="shared" si="208"/>
        <v>43</v>
      </c>
      <c r="AZ6665">
        <f t="shared" si="209"/>
        <v>3</v>
      </c>
    </row>
    <row r="6666" spans="1:52" ht="55.2">
      <c r="A6666" s="3" t="s">
        <v>6710</v>
      </c>
      <c r="D6666">
        <v>7</v>
      </c>
      <c r="AF6666">
        <v>4</v>
      </c>
      <c r="AY6666">
        <f t="shared" si="208"/>
        <v>43</v>
      </c>
      <c r="AZ6666">
        <f t="shared" si="209"/>
        <v>3</v>
      </c>
    </row>
    <row r="6667" spans="1:52" ht="55.2">
      <c r="A6667" s="3" t="s">
        <v>6711</v>
      </c>
      <c r="D6667">
        <v>7</v>
      </c>
      <c r="AF6667">
        <v>4</v>
      </c>
      <c r="AY6667">
        <f t="shared" si="208"/>
        <v>43</v>
      </c>
      <c r="AZ6667">
        <f t="shared" si="209"/>
        <v>3</v>
      </c>
    </row>
    <row r="6668" spans="1:52" ht="55.2">
      <c r="A6668" s="3" t="s">
        <v>6712</v>
      </c>
      <c r="D6668">
        <v>7</v>
      </c>
      <c r="AF6668">
        <v>4</v>
      </c>
      <c r="AY6668">
        <f t="shared" si="208"/>
        <v>43</v>
      </c>
      <c r="AZ6668">
        <f t="shared" si="209"/>
        <v>3</v>
      </c>
    </row>
    <row r="6669" spans="1:52" ht="55.2">
      <c r="A6669" s="3" t="s">
        <v>6713</v>
      </c>
      <c r="D6669">
        <v>7</v>
      </c>
      <c r="AF6669">
        <v>4</v>
      </c>
      <c r="AY6669">
        <f t="shared" si="208"/>
        <v>43</v>
      </c>
      <c r="AZ6669">
        <f t="shared" si="209"/>
        <v>3</v>
      </c>
    </row>
    <row r="6670" spans="1:52" ht="55.2">
      <c r="A6670" s="3" t="s">
        <v>6714</v>
      </c>
      <c r="D6670">
        <v>7</v>
      </c>
      <c r="AF6670">
        <v>4</v>
      </c>
      <c r="AY6670">
        <f t="shared" si="208"/>
        <v>43</v>
      </c>
      <c r="AZ6670">
        <f t="shared" si="209"/>
        <v>3</v>
      </c>
    </row>
    <row r="6671" spans="1:52" ht="55.2">
      <c r="A6671" s="3" t="s">
        <v>6715</v>
      </c>
      <c r="D6671">
        <v>7</v>
      </c>
      <c r="AF6671">
        <v>4</v>
      </c>
      <c r="AY6671">
        <f t="shared" si="208"/>
        <v>43</v>
      </c>
      <c r="AZ6671">
        <f t="shared" si="209"/>
        <v>3</v>
      </c>
    </row>
    <row r="6672" spans="1:52" ht="55.2">
      <c r="A6672" s="3" t="s">
        <v>6716</v>
      </c>
      <c r="D6672">
        <v>7</v>
      </c>
      <c r="AF6672">
        <v>4</v>
      </c>
      <c r="AY6672">
        <f t="shared" si="208"/>
        <v>43</v>
      </c>
      <c r="AZ6672">
        <f t="shared" si="209"/>
        <v>3</v>
      </c>
    </row>
    <row r="6673" spans="1:52" ht="55.2">
      <c r="A6673" s="3" t="s">
        <v>6717</v>
      </c>
      <c r="D6673">
        <v>7</v>
      </c>
      <c r="AF6673">
        <v>4</v>
      </c>
      <c r="AY6673">
        <f t="shared" si="208"/>
        <v>43</v>
      </c>
      <c r="AZ6673">
        <f t="shared" si="209"/>
        <v>3</v>
      </c>
    </row>
    <row r="6674" spans="1:52" ht="55.2">
      <c r="A6674" s="3" t="s">
        <v>6718</v>
      </c>
      <c r="D6674">
        <v>7</v>
      </c>
      <c r="AF6674">
        <v>4</v>
      </c>
      <c r="AY6674">
        <f t="shared" si="208"/>
        <v>43</v>
      </c>
      <c r="AZ6674">
        <f t="shared" si="209"/>
        <v>3</v>
      </c>
    </row>
    <row r="6675" spans="1:52" ht="55.2">
      <c r="A6675" s="3" t="s">
        <v>6719</v>
      </c>
      <c r="D6675">
        <v>7</v>
      </c>
      <c r="AF6675">
        <v>4</v>
      </c>
      <c r="AY6675">
        <f t="shared" si="208"/>
        <v>43</v>
      </c>
      <c r="AZ6675">
        <f t="shared" si="209"/>
        <v>3</v>
      </c>
    </row>
    <row r="6676" spans="1:52" ht="55.2">
      <c r="A6676" s="3" t="s">
        <v>6720</v>
      </c>
      <c r="D6676">
        <v>7</v>
      </c>
      <c r="AF6676">
        <v>4</v>
      </c>
      <c r="AY6676">
        <f t="shared" si="208"/>
        <v>43</v>
      </c>
      <c r="AZ6676">
        <f t="shared" si="209"/>
        <v>3</v>
      </c>
    </row>
    <row r="6677" spans="1:52" ht="55.2">
      <c r="A6677" s="3" t="s">
        <v>6721</v>
      </c>
      <c r="D6677">
        <v>7</v>
      </c>
      <c r="AF6677">
        <v>4</v>
      </c>
      <c r="AY6677">
        <f t="shared" si="208"/>
        <v>43</v>
      </c>
      <c r="AZ6677">
        <f t="shared" si="209"/>
        <v>3</v>
      </c>
    </row>
    <row r="6678" spans="1:52" ht="55.2">
      <c r="A6678" s="3" t="s">
        <v>6722</v>
      </c>
      <c r="D6678">
        <v>7</v>
      </c>
      <c r="AF6678">
        <v>4</v>
      </c>
      <c r="AY6678">
        <f t="shared" si="208"/>
        <v>43</v>
      </c>
      <c r="AZ6678">
        <f t="shared" si="209"/>
        <v>3</v>
      </c>
    </row>
    <row r="6679" spans="1:52" ht="55.2">
      <c r="A6679" s="3" t="s">
        <v>6723</v>
      </c>
      <c r="D6679">
        <v>7</v>
      </c>
      <c r="AF6679">
        <v>4</v>
      </c>
      <c r="AY6679">
        <f t="shared" si="208"/>
        <v>43</v>
      </c>
      <c r="AZ6679">
        <f t="shared" si="209"/>
        <v>3</v>
      </c>
    </row>
    <row r="6680" spans="1:52" ht="55.2">
      <c r="A6680" s="3" t="s">
        <v>6724</v>
      </c>
      <c r="D6680">
        <v>7</v>
      </c>
      <c r="AF6680">
        <v>4</v>
      </c>
      <c r="AY6680">
        <f t="shared" si="208"/>
        <v>43</v>
      </c>
      <c r="AZ6680">
        <f t="shared" si="209"/>
        <v>3</v>
      </c>
    </row>
    <row r="6681" spans="1:52" ht="55.2">
      <c r="A6681" s="3" t="s">
        <v>6725</v>
      </c>
      <c r="D6681">
        <v>7</v>
      </c>
      <c r="AF6681">
        <v>4</v>
      </c>
      <c r="AY6681">
        <f t="shared" si="208"/>
        <v>43</v>
      </c>
      <c r="AZ6681">
        <f t="shared" si="209"/>
        <v>3</v>
      </c>
    </row>
    <row r="6682" spans="1:52" ht="55.2">
      <c r="A6682" s="3" t="s">
        <v>6726</v>
      </c>
      <c r="D6682">
        <v>7</v>
      </c>
      <c r="AF6682">
        <v>4</v>
      </c>
      <c r="AY6682">
        <f t="shared" si="208"/>
        <v>43</v>
      </c>
      <c r="AZ6682">
        <f t="shared" si="209"/>
        <v>3</v>
      </c>
    </row>
    <row r="6683" spans="1:52" ht="55.2">
      <c r="A6683" s="3" t="s">
        <v>6727</v>
      </c>
      <c r="D6683">
        <v>7</v>
      </c>
      <c r="K6683">
        <v>21</v>
      </c>
      <c r="AY6683">
        <f t="shared" si="208"/>
        <v>43</v>
      </c>
      <c r="AZ6683">
        <f t="shared" si="209"/>
        <v>3</v>
      </c>
    </row>
    <row r="6684" spans="1:52" ht="55.2">
      <c r="A6684" s="3" t="s">
        <v>6728</v>
      </c>
      <c r="D6684">
        <v>7</v>
      </c>
      <c r="K6684">
        <v>21</v>
      </c>
      <c r="AY6684">
        <f t="shared" si="208"/>
        <v>43</v>
      </c>
      <c r="AZ6684">
        <f t="shared" si="209"/>
        <v>3</v>
      </c>
    </row>
    <row r="6685" spans="1:52" ht="55.2">
      <c r="A6685" s="3" t="s">
        <v>6729</v>
      </c>
      <c r="D6685">
        <v>7</v>
      </c>
      <c r="K6685">
        <v>21</v>
      </c>
      <c r="AY6685">
        <f t="shared" si="208"/>
        <v>43</v>
      </c>
      <c r="AZ6685">
        <f t="shared" si="209"/>
        <v>3</v>
      </c>
    </row>
    <row r="6686" spans="1:52" ht="55.2">
      <c r="A6686" s="3" t="s">
        <v>6730</v>
      </c>
      <c r="D6686">
        <v>7</v>
      </c>
      <c r="K6686">
        <v>21</v>
      </c>
      <c r="AY6686">
        <f t="shared" si="208"/>
        <v>43</v>
      </c>
      <c r="AZ6686">
        <f t="shared" si="209"/>
        <v>3</v>
      </c>
    </row>
    <row r="6687" spans="1:52" ht="55.2">
      <c r="A6687" s="3" t="s">
        <v>6731</v>
      </c>
      <c r="D6687">
        <v>7</v>
      </c>
      <c r="K6687">
        <v>21</v>
      </c>
      <c r="AY6687">
        <f t="shared" si="208"/>
        <v>43</v>
      </c>
      <c r="AZ6687">
        <f t="shared" si="209"/>
        <v>3</v>
      </c>
    </row>
    <row r="6688" spans="1:52" ht="55.2">
      <c r="A6688" s="3" t="s">
        <v>6732</v>
      </c>
      <c r="D6688">
        <v>7</v>
      </c>
      <c r="K6688">
        <v>21</v>
      </c>
      <c r="AY6688">
        <f t="shared" si="208"/>
        <v>43</v>
      </c>
      <c r="AZ6688">
        <f t="shared" si="209"/>
        <v>3</v>
      </c>
    </row>
    <row r="6689" spans="1:52" ht="55.2">
      <c r="A6689" s="3" t="s">
        <v>6733</v>
      </c>
      <c r="D6689">
        <v>7</v>
      </c>
      <c r="K6689">
        <v>21</v>
      </c>
      <c r="AY6689">
        <f t="shared" ref="AY6689:AY6752" si="210">COUNTBLANK(F6689:AW6689)</f>
        <v>43</v>
      </c>
      <c r="AZ6689">
        <f t="shared" ref="AZ6689:AZ6752" si="211">COUNTBLANK(B6689:E6689)</f>
        <v>3</v>
      </c>
    </row>
    <row r="6690" spans="1:52" ht="55.2">
      <c r="A6690" s="3" t="s">
        <v>6734</v>
      </c>
      <c r="D6690">
        <v>7</v>
      </c>
      <c r="J6690">
        <v>69</v>
      </c>
      <c r="AY6690">
        <f t="shared" si="210"/>
        <v>43</v>
      </c>
      <c r="AZ6690">
        <f t="shared" si="211"/>
        <v>3</v>
      </c>
    </row>
    <row r="6691" spans="1:52" ht="55.2">
      <c r="A6691" s="3" t="s">
        <v>6735</v>
      </c>
      <c r="D6691">
        <v>7</v>
      </c>
      <c r="J6691">
        <v>69</v>
      </c>
      <c r="AY6691">
        <f t="shared" si="210"/>
        <v>43</v>
      </c>
      <c r="AZ6691">
        <f t="shared" si="211"/>
        <v>3</v>
      </c>
    </row>
    <row r="6692" spans="1:52" ht="55.2">
      <c r="A6692" s="3" t="s">
        <v>6736</v>
      </c>
      <c r="D6692">
        <v>7</v>
      </c>
      <c r="J6692">
        <v>69</v>
      </c>
      <c r="AY6692">
        <f t="shared" si="210"/>
        <v>43</v>
      </c>
      <c r="AZ6692">
        <f t="shared" si="211"/>
        <v>3</v>
      </c>
    </row>
    <row r="6693" spans="1:52" ht="55.2">
      <c r="A6693" s="3" t="s">
        <v>6737</v>
      </c>
      <c r="D6693">
        <v>7</v>
      </c>
      <c r="J6693">
        <v>69</v>
      </c>
      <c r="AY6693">
        <f t="shared" si="210"/>
        <v>43</v>
      </c>
      <c r="AZ6693">
        <f t="shared" si="211"/>
        <v>3</v>
      </c>
    </row>
    <row r="6694" spans="1:52" ht="55.2">
      <c r="A6694" s="3" t="s">
        <v>6738</v>
      </c>
      <c r="D6694">
        <v>7</v>
      </c>
      <c r="J6694">
        <v>69</v>
      </c>
      <c r="AY6694">
        <f t="shared" si="210"/>
        <v>43</v>
      </c>
      <c r="AZ6694">
        <f t="shared" si="211"/>
        <v>3</v>
      </c>
    </row>
    <row r="6695" spans="1:52" ht="55.2">
      <c r="A6695" s="3" t="s">
        <v>6739</v>
      </c>
      <c r="D6695">
        <v>7</v>
      </c>
      <c r="J6695">
        <v>69</v>
      </c>
      <c r="AY6695">
        <f t="shared" si="210"/>
        <v>43</v>
      </c>
      <c r="AZ6695">
        <f t="shared" si="211"/>
        <v>3</v>
      </c>
    </row>
    <row r="6696" spans="1:52" ht="55.2">
      <c r="A6696" s="3" t="s">
        <v>6740</v>
      </c>
      <c r="D6696">
        <v>7</v>
      </c>
      <c r="J6696">
        <v>69</v>
      </c>
      <c r="AY6696">
        <f t="shared" si="210"/>
        <v>43</v>
      </c>
      <c r="AZ6696">
        <f t="shared" si="211"/>
        <v>3</v>
      </c>
    </row>
    <row r="6697" spans="1:52" ht="55.2">
      <c r="A6697" s="3" t="s">
        <v>6741</v>
      </c>
      <c r="D6697">
        <v>7</v>
      </c>
      <c r="J6697">
        <v>69</v>
      </c>
      <c r="AY6697">
        <f t="shared" si="210"/>
        <v>43</v>
      </c>
      <c r="AZ6697">
        <f t="shared" si="211"/>
        <v>3</v>
      </c>
    </row>
    <row r="6698" spans="1:52" ht="55.2">
      <c r="A6698" s="3" t="s">
        <v>6742</v>
      </c>
      <c r="D6698">
        <v>7</v>
      </c>
      <c r="J6698">
        <v>69</v>
      </c>
      <c r="AY6698">
        <f t="shared" si="210"/>
        <v>43</v>
      </c>
      <c r="AZ6698">
        <f t="shared" si="211"/>
        <v>3</v>
      </c>
    </row>
    <row r="6699" spans="1:52" ht="55.2">
      <c r="A6699" s="3" t="s">
        <v>6743</v>
      </c>
      <c r="D6699">
        <v>7</v>
      </c>
      <c r="J6699">
        <v>69</v>
      </c>
      <c r="AY6699">
        <f t="shared" si="210"/>
        <v>43</v>
      </c>
      <c r="AZ6699">
        <f t="shared" si="211"/>
        <v>3</v>
      </c>
    </row>
    <row r="6700" spans="1:52" ht="55.2">
      <c r="A6700" s="3" t="s">
        <v>6744</v>
      </c>
      <c r="D6700">
        <v>7</v>
      </c>
      <c r="J6700">
        <v>69</v>
      </c>
      <c r="AY6700">
        <f t="shared" si="210"/>
        <v>43</v>
      </c>
      <c r="AZ6700">
        <f t="shared" si="211"/>
        <v>3</v>
      </c>
    </row>
    <row r="6701" spans="1:52" ht="55.2">
      <c r="A6701" s="3" t="s">
        <v>6745</v>
      </c>
      <c r="D6701">
        <v>7</v>
      </c>
      <c r="J6701">
        <v>69</v>
      </c>
      <c r="AY6701">
        <f t="shared" si="210"/>
        <v>43</v>
      </c>
      <c r="AZ6701">
        <f t="shared" si="211"/>
        <v>3</v>
      </c>
    </row>
    <row r="6702" spans="1:52" ht="55.2">
      <c r="A6702" s="3" t="s">
        <v>6746</v>
      </c>
      <c r="D6702">
        <v>7</v>
      </c>
      <c r="J6702">
        <v>69</v>
      </c>
      <c r="AY6702">
        <f t="shared" si="210"/>
        <v>43</v>
      </c>
      <c r="AZ6702">
        <f t="shared" si="211"/>
        <v>3</v>
      </c>
    </row>
    <row r="6703" spans="1:52" ht="55.2">
      <c r="A6703" s="3" t="s">
        <v>6747</v>
      </c>
      <c r="D6703">
        <v>7</v>
      </c>
      <c r="J6703">
        <v>69</v>
      </c>
      <c r="AY6703">
        <f t="shared" si="210"/>
        <v>43</v>
      </c>
      <c r="AZ6703">
        <f t="shared" si="211"/>
        <v>3</v>
      </c>
    </row>
    <row r="6704" spans="1:52" ht="55.2">
      <c r="A6704" s="3" t="s">
        <v>6748</v>
      </c>
      <c r="D6704">
        <v>7</v>
      </c>
      <c r="J6704">
        <v>69</v>
      </c>
      <c r="AY6704">
        <f t="shared" si="210"/>
        <v>43</v>
      </c>
      <c r="AZ6704">
        <f t="shared" si="211"/>
        <v>3</v>
      </c>
    </row>
    <row r="6705" spans="1:52" ht="55.2">
      <c r="A6705" s="3" t="s">
        <v>6749</v>
      </c>
      <c r="D6705">
        <v>7</v>
      </c>
      <c r="J6705">
        <v>69</v>
      </c>
      <c r="AY6705">
        <f t="shared" si="210"/>
        <v>43</v>
      </c>
      <c r="AZ6705">
        <f t="shared" si="211"/>
        <v>3</v>
      </c>
    </row>
    <row r="6706" spans="1:52" ht="55.2">
      <c r="A6706" s="3" t="s">
        <v>6750</v>
      </c>
      <c r="D6706">
        <v>7</v>
      </c>
      <c r="J6706">
        <v>69</v>
      </c>
      <c r="AY6706">
        <f t="shared" si="210"/>
        <v>43</v>
      </c>
      <c r="AZ6706">
        <f t="shared" si="211"/>
        <v>3</v>
      </c>
    </row>
    <row r="6707" spans="1:52" ht="55.2">
      <c r="A6707" s="3" t="s">
        <v>6751</v>
      </c>
      <c r="D6707">
        <v>7</v>
      </c>
      <c r="J6707">
        <v>69</v>
      </c>
      <c r="AY6707">
        <f t="shared" si="210"/>
        <v>43</v>
      </c>
      <c r="AZ6707">
        <f t="shared" si="211"/>
        <v>3</v>
      </c>
    </row>
    <row r="6708" spans="1:52" ht="55.2">
      <c r="A6708" s="3" t="s">
        <v>6752</v>
      </c>
      <c r="D6708">
        <v>7</v>
      </c>
      <c r="AB6708">
        <v>4</v>
      </c>
      <c r="AY6708">
        <f t="shared" si="210"/>
        <v>43</v>
      </c>
      <c r="AZ6708">
        <f t="shared" si="211"/>
        <v>3</v>
      </c>
    </row>
    <row r="6709" spans="1:52" ht="55.2">
      <c r="A6709" s="3" t="s">
        <v>6753</v>
      </c>
      <c r="D6709">
        <v>7</v>
      </c>
      <c r="AB6709">
        <v>4</v>
      </c>
      <c r="AY6709">
        <f t="shared" si="210"/>
        <v>43</v>
      </c>
      <c r="AZ6709">
        <f t="shared" si="211"/>
        <v>3</v>
      </c>
    </row>
    <row r="6710" spans="1:52" ht="55.2">
      <c r="A6710" s="3" t="s">
        <v>6754</v>
      </c>
      <c r="D6710">
        <v>7</v>
      </c>
      <c r="AB6710">
        <v>4</v>
      </c>
      <c r="AY6710">
        <f t="shared" si="210"/>
        <v>43</v>
      </c>
      <c r="AZ6710">
        <f t="shared" si="211"/>
        <v>3</v>
      </c>
    </row>
    <row r="6711" spans="1:52" ht="55.2">
      <c r="A6711" s="3" t="s">
        <v>6755</v>
      </c>
      <c r="D6711">
        <v>7</v>
      </c>
      <c r="AB6711">
        <v>4</v>
      </c>
      <c r="AY6711">
        <f t="shared" si="210"/>
        <v>43</v>
      </c>
      <c r="AZ6711">
        <f t="shared" si="211"/>
        <v>3</v>
      </c>
    </row>
    <row r="6712" spans="1:52" ht="55.2">
      <c r="A6712" s="3" t="s">
        <v>6756</v>
      </c>
      <c r="D6712">
        <v>7</v>
      </c>
      <c r="AB6712">
        <v>4</v>
      </c>
      <c r="AY6712">
        <f t="shared" si="210"/>
        <v>43</v>
      </c>
      <c r="AZ6712">
        <f t="shared" si="211"/>
        <v>3</v>
      </c>
    </row>
    <row r="6713" spans="1:52" ht="55.2">
      <c r="A6713" s="3" t="s">
        <v>6757</v>
      </c>
      <c r="D6713">
        <v>7</v>
      </c>
      <c r="AB6713">
        <v>4</v>
      </c>
      <c r="AY6713">
        <f t="shared" si="210"/>
        <v>43</v>
      </c>
      <c r="AZ6713">
        <f t="shared" si="211"/>
        <v>3</v>
      </c>
    </row>
    <row r="6714" spans="1:52" ht="55.2">
      <c r="A6714" s="3" t="s">
        <v>6758</v>
      </c>
      <c r="D6714">
        <v>7</v>
      </c>
      <c r="AB6714">
        <v>4</v>
      </c>
      <c r="AY6714">
        <f t="shared" si="210"/>
        <v>43</v>
      </c>
      <c r="AZ6714">
        <f t="shared" si="211"/>
        <v>3</v>
      </c>
    </row>
    <row r="6715" spans="1:52" ht="55.2">
      <c r="A6715" s="3" t="s">
        <v>6759</v>
      </c>
      <c r="D6715">
        <v>7</v>
      </c>
      <c r="AB6715">
        <v>4</v>
      </c>
      <c r="AY6715">
        <f t="shared" si="210"/>
        <v>43</v>
      </c>
      <c r="AZ6715">
        <f t="shared" si="211"/>
        <v>3</v>
      </c>
    </row>
    <row r="6716" spans="1:52" ht="55.2">
      <c r="A6716" s="3" t="s">
        <v>6760</v>
      </c>
      <c r="D6716">
        <v>7</v>
      </c>
      <c r="AB6716">
        <v>4</v>
      </c>
      <c r="AY6716">
        <f t="shared" si="210"/>
        <v>43</v>
      </c>
      <c r="AZ6716">
        <f t="shared" si="211"/>
        <v>3</v>
      </c>
    </row>
    <row r="6717" spans="1:52" ht="55.2">
      <c r="A6717" s="3" t="s">
        <v>6761</v>
      </c>
      <c r="D6717">
        <v>7</v>
      </c>
      <c r="AB6717">
        <v>4</v>
      </c>
      <c r="AY6717">
        <f t="shared" si="210"/>
        <v>43</v>
      </c>
      <c r="AZ6717">
        <f t="shared" si="211"/>
        <v>3</v>
      </c>
    </row>
    <row r="6718" spans="1:52" ht="55.2">
      <c r="A6718" s="3" t="s">
        <v>6762</v>
      </c>
      <c r="D6718">
        <v>7</v>
      </c>
      <c r="AB6718">
        <v>4</v>
      </c>
      <c r="AY6718">
        <f t="shared" si="210"/>
        <v>43</v>
      </c>
      <c r="AZ6718">
        <f t="shared" si="211"/>
        <v>3</v>
      </c>
    </row>
    <row r="6719" spans="1:52" ht="55.2">
      <c r="A6719" s="3" t="s">
        <v>6763</v>
      </c>
      <c r="D6719">
        <v>7</v>
      </c>
      <c r="AB6719">
        <v>4</v>
      </c>
      <c r="AY6719">
        <f t="shared" si="210"/>
        <v>43</v>
      </c>
      <c r="AZ6719">
        <f t="shared" si="211"/>
        <v>3</v>
      </c>
    </row>
    <row r="6720" spans="1:52" ht="55.2">
      <c r="A6720" s="3" t="s">
        <v>6764</v>
      </c>
      <c r="D6720">
        <v>7</v>
      </c>
      <c r="AW6720">
        <v>24</v>
      </c>
      <c r="AY6720">
        <f t="shared" si="210"/>
        <v>43</v>
      </c>
      <c r="AZ6720">
        <f t="shared" si="211"/>
        <v>3</v>
      </c>
    </row>
    <row r="6721" spans="1:52" ht="55.2">
      <c r="A6721" s="3" t="s">
        <v>6765</v>
      </c>
      <c r="D6721">
        <v>7</v>
      </c>
      <c r="J6721">
        <v>70</v>
      </c>
      <c r="AY6721">
        <f t="shared" si="210"/>
        <v>43</v>
      </c>
      <c r="AZ6721">
        <f t="shared" si="211"/>
        <v>3</v>
      </c>
    </row>
    <row r="6722" spans="1:52" ht="55.2">
      <c r="A6722" s="3" t="s">
        <v>6766</v>
      </c>
      <c r="D6722">
        <v>7</v>
      </c>
      <c r="J6722">
        <v>70</v>
      </c>
      <c r="AY6722">
        <f t="shared" si="210"/>
        <v>43</v>
      </c>
      <c r="AZ6722">
        <f t="shared" si="211"/>
        <v>3</v>
      </c>
    </row>
    <row r="6723" spans="1:52" ht="55.2">
      <c r="A6723" s="3" t="s">
        <v>6767</v>
      </c>
      <c r="D6723">
        <v>7</v>
      </c>
      <c r="J6723">
        <v>70</v>
      </c>
      <c r="AY6723">
        <f t="shared" si="210"/>
        <v>43</v>
      </c>
      <c r="AZ6723">
        <f t="shared" si="211"/>
        <v>3</v>
      </c>
    </row>
    <row r="6724" spans="1:52" ht="55.2">
      <c r="A6724" s="3" t="s">
        <v>6768</v>
      </c>
      <c r="D6724">
        <v>7</v>
      </c>
      <c r="J6724">
        <v>70</v>
      </c>
      <c r="AY6724">
        <f t="shared" si="210"/>
        <v>43</v>
      </c>
      <c r="AZ6724">
        <f t="shared" si="211"/>
        <v>3</v>
      </c>
    </row>
    <row r="6725" spans="1:52" ht="55.2">
      <c r="A6725" s="3" t="s">
        <v>6769</v>
      </c>
      <c r="D6725">
        <v>7</v>
      </c>
      <c r="J6725">
        <v>70</v>
      </c>
      <c r="AY6725">
        <f t="shared" si="210"/>
        <v>43</v>
      </c>
      <c r="AZ6725">
        <f t="shared" si="211"/>
        <v>3</v>
      </c>
    </row>
    <row r="6726" spans="1:52" ht="55.2">
      <c r="A6726" s="3" t="s">
        <v>6770</v>
      </c>
      <c r="D6726">
        <v>7</v>
      </c>
      <c r="J6726">
        <v>70</v>
      </c>
      <c r="AY6726">
        <f t="shared" si="210"/>
        <v>43</v>
      </c>
      <c r="AZ6726">
        <f t="shared" si="211"/>
        <v>3</v>
      </c>
    </row>
    <row r="6727" spans="1:52" ht="55.2">
      <c r="A6727" s="3" t="s">
        <v>6771</v>
      </c>
      <c r="D6727">
        <v>7</v>
      </c>
      <c r="J6727">
        <v>70</v>
      </c>
      <c r="AY6727">
        <f t="shared" si="210"/>
        <v>43</v>
      </c>
      <c r="AZ6727">
        <f t="shared" si="211"/>
        <v>3</v>
      </c>
    </row>
    <row r="6728" spans="1:52" ht="55.2">
      <c r="A6728" s="3" t="s">
        <v>6772</v>
      </c>
      <c r="D6728">
        <v>7</v>
      </c>
      <c r="J6728">
        <v>70</v>
      </c>
      <c r="AY6728">
        <f t="shared" si="210"/>
        <v>43</v>
      </c>
      <c r="AZ6728">
        <f t="shared" si="211"/>
        <v>3</v>
      </c>
    </row>
    <row r="6729" spans="1:52" ht="55.2">
      <c r="A6729" s="3" t="s">
        <v>6773</v>
      </c>
      <c r="D6729">
        <v>7</v>
      </c>
      <c r="J6729">
        <v>70</v>
      </c>
      <c r="AY6729">
        <f t="shared" si="210"/>
        <v>43</v>
      </c>
      <c r="AZ6729">
        <f t="shared" si="211"/>
        <v>3</v>
      </c>
    </row>
    <row r="6730" spans="1:52" ht="55.2">
      <c r="A6730" s="3" t="s">
        <v>6774</v>
      </c>
      <c r="C6730">
        <v>8</v>
      </c>
      <c r="D6730">
        <v>7</v>
      </c>
      <c r="J6730">
        <v>70</v>
      </c>
      <c r="AY6730">
        <f t="shared" si="210"/>
        <v>43</v>
      </c>
      <c r="AZ6730">
        <f t="shared" si="211"/>
        <v>2</v>
      </c>
    </row>
    <row r="6731" spans="1:52" ht="55.2">
      <c r="A6731" s="3" t="s">
        <v>6775</v>
      </c>
      <c r="C6731">
        <v>8</v>
      </c>
      <c r="D6731">
        <v>7</v>
      </c>
      <c r="J6731">
        <v>70</v>
      </c>
      <c r="AY6731">
        <f t="shared" si="210"/>
        <v>43</v>
      </c>
      <c r="AZ6731">
        <f t="shared" si="211"/>
        <v>2</v>
      </c>
    </row>
    <row r="6732" spans="1:52" ht="55.2">
      <c r="A6732" s="3" t="s">
        <v>6776</v>
      </c>
      <c r="C6732">
        <v>8</v>
      </c>
      <c r="D6732">
        <v>7</v>
      </c>
      <c r="J6732">
        <v>70</v>
      </c>
      <c r="AY6732">
        <f t="shared" si="210"/>
        <v>43</v>
      </c>
      <c r="AZ6732">
        <f t="shared" si="211"/>
        <v>2</v>
      </c>
    </row>
    <row r="6733" spans="1:52" ht="55.2">
      <c r="A6733" s="3" t="s">
        <v>6777</v>
      </c>
      <c r="C6733">
        <v>8</v>
      </c>
      <c r="D6733">
        <v>7</v>
      </c>
      <c r="J6733">
        <v>70</v>
      </c>
      <c r="AY6733">
        <f t="shared" si="210"/>
        <v>43</v>
      </c>
      <c r="AZ6733">
        <f t="shared" si="211"/>
        <v>2</v>
      </c>
    </row>
    <row r="6734" spans="1:52" ht="55.2">
      <c r="A6734" s="3" t="s">
        <v>6778</v>
      </c>
      <c r="C6734">
        <v>8</v>
      </c>
      <c r="D6734">
        <v>7</v>
      </c>
      <c r="J6734">
        <v>70</v>
      </c>
      <c r="AY6734">
        <f t="shared" si="210"/>
        <v>43</v>
      </c>
      <c r="AZ6734">
        <f t="shared" si="211"/>
        <v>2</v>
      </c>
    </row>
    <row r="6735" spans="1:52" ht="55.2">
      <c r="A6735" s="3" t="s">
        <v>6779</v>
      </c>
      <c r="C6735">
        <v>8</v>
      </c>
      <c r="D6735">
        <v>7</v>
      </c>
      <c r="K6735">
        <v>22</v>
      </c>
      <c r="AY6735">
        <f t="shared" si="210"/>
        <v>43</v>
      </c>
      <c r="AZ6735">
        <f t="shared" si="211"/>
        <v>2</v>
      </c>
    </row>
    <row r="6736" spans="1:52" ht="55.2">
      <c r="A6736" s="3" t="s">
        <v>6780</v>
      </c>
      <c r="C6736">
        <v>8</v>
      </c>
      <c r="D6736">
        <v>7</v>
      </c>
      <c r="K6736">
        <v>22</v>
      </c>
      <c r="AY6736">
        <f t="shared" si="210"/>
        <v>43</v>
      </c>
      <c r="AZ6736">
        <f t="shared" si="211"/>
        <v>2</v>
      </c>
    </row>
    <row r="6737" spans="1:52" ht="55.2">
      <c r="A6737" s="3" t="s">
        <v>6781</v>
      </c>
      <c r="C6737">
        <v>8</v>
      </c>
      <c r="D6737">
        <v>7</v>
      </c>
      <c r="K6737">
        <v>22</v>
      </c>
      <c r="AY6737">
        <f t="shared" si="210"/>
        <v>43</v>
      </c>
      <c r="AZ6737">
        <f t="shared" si="211"/>
        <v>2</v>
      </c>
    </row>
    <row r="6738" spans="1:52" ht="55.2">
      <c r="A6738" s="3" t="s">
        <v>6782</v>
      </c>
      <c r="C6738">
        <v>8</v>
      </c>
      <c r="D6738">
        <v>7</v>
      </c>
      <c r="K6738">
        <v>22</v>
      </c>
      <c r="AY6738">
        <f t="shared" si="210"/>
        <v>43</v>
      </c>
      <c r="AZ6738">
        <f t="shared" si="211"/>
        <v>2</v>
      </c>
    </row>
    <row r="6739" spans="1:52" ht="55.2">
      <c r="A6739" s="3" t="s">
        <v>6783</v>
      </c>
      <c r="C6739">
        <v>8</v>
      </c>
      <c r="D6739">
        <v>7</v>
      </c>
      <c r="K6739">
        <v>22</v>
      </c>
      <c r="AY6739">
        <f t="shared" si="210"/>
        <v>43</v>
      </c>
      <c r="AZ6739">
        <f t="shared" si="211"/>
        <v>2</v>
      </c>
    </row>
    <row r="6740" spans="1:52" ht="55.2">
      <c r="A6740" s="3" t="s">
        <v>6784</v>
      </c>
      <c r="C6740">
        <v>8</v>
      </c>
      <c r="D6740">
        <v>7</v>
      </c>
      <c r="K6740">
        <v>22</v>
      </c>
      <c r="AY6740">
        <f t="shared" si="210"/>
        <v>43</v>
      </c>
      <c r="AZ6740">
        <f t="shared" si="211"/>
        <v>2</v>
      </c>
    </row>
    <row r="6741" spans="1:52" ht="55.2">
      <c r="A6741" s="3" t="s">
        <v>6785</v>
      </c>
      <c r="C6741">
        <v>8</v>
      </c>
      <c r="D6741">
        <v>7</v>
      </c>
      <c r="K6741">
        <v>22</v>
      </c>
      <c r="AY6741">
        <f t="shared" si="210"/>
        <v>43</v>
      </c>
      <c r="AZ6741">
        <f t="shared" si="211"/>
        <v>2</v>
      </c>
    </row>
    <row r="6742" spans="1:52" ht="55.2">
      <c r="A6742" s="3" t="s">
        <v>6786</v>
      </c>
      <c r="C6742">
        <v>8</v>
      </c>
      <c r="D6742">
        <v>7</v>
      </c>
      <c r="K6742">
        <v>22</v>
      </c>
      <c r="AY6742">
        <f t="shared" si="210"/>
        <v>43</v>
      </c>
      <c r="AZ6742">
        <f t="shared" si="211"/>
        <v>2</v>
      </c>
    </row>
    <row r="6743" spans="1:52" ht="55.2">
      <c r="A6743" s="3" t="s">
        <v>6787</v>
      </c>
      <c r="C6743">
        <v>8</v>
      </c>
      <c r="D6743">
        <v>7</v>
      </c>
      <c r="K6743">
        <v>22</v>
      </c>
      <c r="AY6743">
        <f t="shared" si="210"/>
        <v>43</v>
      </c>
      <c r="AZ6743">
        <f t="shared" si="211"/>
        <v>2</v>
      </c>
    </row>
    <row r="6744" spans="1:52" ht="55.2">
      <c r="A6744" s="3" t="s">
        <v>6788</v>
      </c>
      <c r="C6744">
        <v>8</v>
      </c>
      <c r="D6744">
        <v>7</v>
      </c>
      <c r="K6744">
        <v>22</v>
      </c>
      <c r="AY6744">
        <f t="shared" si="210"/>
        <v>43</v>
      </c>
      <c r="AZ6744">
        <f t="shared" si="211"/>
        <v>2</v>
      </c>
    </row>
    <row r="6745" spans="1:52" ht="55.2">
      <c r="A6745" s="3" t="s">
        <v>6789</v>
      </c>
      <c r="C6745">
        <v>8</v>
      </c>
      <c r="D6745">
        <v>7</v>
      </c>
      <c r="K6745">
        <v>22</v>
      </c>
      <c r="AY6745">
        <f t="shared" si="210"/>
        <v>43</v>
      </c>
      <c r="AZ6745">
        <f t="shared" si="211"/>
        <v>2</v>
      </c>
    </row>
    <row r="6746" spans="1:52" ht="55.2">
      <c r="A6746" s="3" t="s">
        <v>6790</v>
      </c>
      <c r="C6746">
        <v>8</v>
      </c>
      <c r="D6746">
        <v>7</v>
      </c>
      <c r="K6746">
        <v>22</v>
      </c>
      <c r="AY6746">
        <f t="shared" si="210"/>
        <v>43</v>
      </c>
      <c r="AZ6746">
        <f t="shared" si="211"/>
        <v>2</v>
      </c>
    </row>
    <row r="6747" spans="1:52" ht="55.2">
      <c r="A6747" s="3" t="s">
        <v>6791</v>
      </c>
      <c r="C6747">
        <v>8</v>
      </c>
      <c r="D6747">
        <v>7</v>
      </c>
      <c r="K6747">
        <v>22</v>
      </c>
      <c r="AY6747">
        <f t="shared" si="210"/>
        <v>43</v>
      </c>
      <c r="AZ6747">
        <f t="shared" si="211"/>
        <v>2</v>
      </c>
    </row>
    <row r="6748" spans="1:52" ht="55.2">
      <c r="A6748" s="3" t="s">
        <v>6792</v>
      </c>
      <c r="C6748">
        <v>8</v>
      </c>
      <c r="D6748">
        <v>7</v>
      </c>
      <c r="K6748">
        <v>22</v>
      </c>
      <c r="AY6748">
        <f t="shared" si="210"/>
        <v>43</v>
      </c>
      <c r="AZ6748">
        <f t="shared" si="211"/>
        <v>2</v>
      </c>
    </row>
    <row r="6749" spans="1:52" ht="55.2">
      <c r="A6749" s="3" t="s">
        <v>6793</v>
      </c>
      <c r="C6749">
        <v>8</v>
      </c>
      <c r="D6749">
        <v>7</v>
      </c>
      <c r="K6749">
        <v>22</v>
      </c>
      <c r="AY6749">
        <f t="shared" si="210"/>
        <v>43</v>
      </c>
      <c r="AZ6749">
        <f t="shared" si="211"/>
        <v>2</v>
      </c>
    </row>
    <row r="6750" spans="1:52" ht="55.2">
      <c r="A6750" s="3" t="s">
        <v>6794</v>
      </c>
      <c r="C6750">
        <v>8</v>
      </c>
      <c r="D6750">
        <v>7</v>
      </c>
      <c r="K6750">
        <v>22</v>
      </c>
      <c r="AY6750">
        <f t="shared" si="210"/>
        <v>43</v>
      </c>
      <c r="AZ6750">
        <f t="shared" si="211"/>
        <v>2</v>
      </c>
    </row>
    <row r="6751" spans="1:52" ht="55.2">
      <c r="A6751" s="3" t="s">
        <v>6795</v>
      </c>
      <c r="C6751">
        <v>8</v>
      </c>
      <c r="D6751">
        <v>7</v>
      </c>
      <c r="K6751">
        <v>22</v>
      </c>
      <c r="AY6751">
        <f t="shared" si="210"/>
        <v>43</v>
      </c>
      <c r="AZ6751">
        <f t="shared" si="211"/>
        <v>2</v>
      </c>
    </row>
    <row r="6752" spans="1:52" ht="55.2">
      <c r="A6752" s="3" t="s">
        <v>6796</v>
      </c>
      <c r="C6752">
        <v>8</v>
      </c>
      <c r="D6752">
        <v>7</v>
      </c>
      <c r="K6752">
        <v>22</v>
      </c>
      <c r="AY6752">
        <f t="shared" si="210"/>
        <v>43</v>
      </c>
      <c r="AZ6752">
        <f t="shared" si="211"/>
        <v>2</v>
      </c>
    </row>
    <row r="6753" spans="1:52" ht="55.2">
      <c r="A6753" s="3" t="s">
        <v>6797</v>
      </c>
      <c r="C6753">
        <v>8</v>
      </c>
      <c r="D6753">
        <v>7</v>
      </c>
      <c r="K6753">
        <v>22</v>
      </c>
      <c r="AY6753">
        <f t="shared" ref="AY6753:AY6816" si="212">COUNTBLANK(F6753:AW6753)</f>
        <v>43</v>
      </c>
      <c r="AZ6753">
        <f t="shared" ref="AZ6753:AZ6816" si="213">COUNTBLANK(B6753:E6753)</f>
        <v>2</v>
      </c>
    </row>
    <row r="6754" spans="1:52" ht="55.2">
      <c r="A6754" s="3" t="s">
        <v>6798</v>
      </c>
      <c r="C6754">
        <v>8</v>
      </c>
      <c r="D6754">
        <v>7</v>
      </c>
      <c r="K6754">
        <v>22</v>
      </c>
      <c r="AY6754">
        <f t="shared" si="212"/>
        <v>43</v>
      </c>
      <c r="AZ6754">
        <f t="shared" si="213"/>
        <v>2</v>
      </c>
    </row>
    <row r="6755" spans="1:52" ht="55.2">
      <c r="A6755" s="3" t="s">
        <v>6799</v>
      </c>
      <c r="C6755">
        <v>8</v>
      </c>
      <c r="D6755">
        <v>7</v>
      </c>
      <c r="K6755">
        <v>22</v>
      </c>
      <c r="AY6755">
        <f t="shared" si="212"/>
        <v>43</v>
      </c>
      <c r="AZ6755">
        <f t="shared" si="213"/>
        <v>2</v>
      </c>
    </row>
    <row r="6756" spans="1:52" ht="55.2">
      <c r="A6756" s="3" t="s">
        <v>6800</v>
      </c>
      <c r="C6756">
        <v>8</v>
      </c>
      <c r="D6756">
        <v>7</v>
      </c>
      <c r="K6756">
        <v>22</v>
      </c>
      <c r="AY6756">
        <f t="shared" si="212"/>
        <v>43</v>
      </c>
      <c r="AZ6756">
        <f t="shared" si="213"/>
        <v>2</v>
      </c>
    </row>
    <row r="6757" spans="1:52" ht="55.2">
      <c r="A6757" s="3" t="s">
        <v>6801</v>
      </c>
      <c r="C6757">
        <v>8</v>
      </c>
      <c r="D6757">
        <v>7</v>
      </c>
      <c r="K6757">
        <v>22</v>
      </c>
      <c r="AY6757">
        <f t="shared" si="212"/>
        <v>43</v>
      </c>
      <c r="AZ6757">
        <f t="shared" si="213"/>
        <v>2</v>
      </c>
    </row>
    <row r="6758" spans="1:52" ht="55.2">
      <c r="A6758" s="3" t="s">
        <v>6802</v>
      </c>
      <c r="C6758">
        <v>8</v>
      </c>
      <c r="D6758">
        <v>7</v>
      </c>
      <c r="K6758">
        <v>22</v>
      </c>
      <c r="AY6758">
        <f t="shared" si="212"/>
        <v>43</v>
      </c>
      <c r="AZ6758">
        <f t="shared" si="213"/>
        <v>2</v>
      </c>
    </row>
    <row r="6759" spans="1:52" ht="55.2">
      <c r="A6759" s="3" t="s">
        <v>6803</v>
      </c>
      <c r="C6759">
        <v>8</v>
      </c>
      <c r="D6759">
        <v>7</v>
      </c>
      <c r="K6759">
        <v>22</v>
      </c>
      <c r="AY6759">
        <f t="shared" si="212"/>
        <v>43</v>
      </c>
      <c r="AZ6759">
        <f t="shared" si="213"/>
        <v>2</v>
      </c>
    </row>
    <row r="6760" spans="1:52" ht="55.2">
      <c r="A6760" s="3" t="s">
        <v>6804</v>
      </c>
      <c r="C6760">
        <v>8</v>
      </c>
      <c r="D6760">
        <v>7</v>
      </c>
      <c r="K6760">
        <v>22</v>
      </c>
      <c r="AY6760">
        <f t="shared" si="212"/>
        <v>43</v>
      </c>
      <c r="AZ6760">
        <f t="shared" si="213"/>
        <v>2</v>
      </c>
    </row>
    <row r="6761" spans="1:52" ht="55.2">
      <c r="A6761" s="3" t="s">
        <v>6805</v>
      </c>
      <c r="C6761">
        <v>8</v>
      </c>
      <c r="D6761">
        <v>7</v>
      </c>
      <c r="K6761">
        <v>22</v>
      </c>
      <c r="AY6761">
        <f t="shared" si="212"/>
        <v>43</v>
      </c>
      <c r="AZ6761">
        <f t="shared" si="213"/>
        <v>2</v>
      </c>
    </row>
    <row r="6762" spans="1:52" ht="55.2">
      <c r="A6762" s="3" t="s">
        <v>6806</v>
      </c>
      <c r="C6762">
        <v>8</v>
      </c>
      <c r="D6762">
        <v>7</v>
      </c>
      <c r="K6762">
        <v>22</v>
      </c>
      <c r="AY6762">
        <f t="shared" si="212"/>
        <v>43</v>
      </c>
      <c r="AZ6762">
        <f t="shared" si="213"/>
        <v>2</v>
      </c>
    </row>
    <row r="6763" spans="1:52" ht="55.2">
      <c r="A6763" s="3" t="s">
        <v>6807</v>
      </c>
      <c r="C6763">
        <v>8</v>
      </c>
      <c r="D6763">
        <v>7</v>
      </c>
      <c r="K6763">
        <v>22</v>
      </c>
      <c r="AY6763">
        <f t="shared" si="212"/>
        <v>43</v>
      </c>
      <c r="AZ6763">
        <f t="shared" si="213"/>
        <v>2</v>
      </c>
    </row>
    <row r="6764" spans="1:52" ht="55.2">
      <c r="A6764" s="3" t="s">
        <v>6808</v>
      </c>
      <c r="C6764">
        <v>8</v>
      </c>
      <c r="D6764">
        <v>7</v>
      </c>
      <c r="K6764">
        <v>22</v>
      </c>
      <c r="AY6764">
        <f t="shared" si="212"/>
        <v>43</v>
      </c>
      <c r="AZ6764">
        <f t="shared" si="213"/>
        <v>2</v>
      </c>
    </row>
    <row r="6765" spans="1:52" ht="55.2">
      <c r="A6765" s="3" t="s">
        <v>6809</v>
      </c>
      <c r="C6765">
        <v>8</v>
      </c>
      <c r="D6765">
        <v>7</v>
      </c>
      <c r="K6765">
        <v>22</v>
      </c>
      <c r="AY6765">
        <f t="shared" si="212"/>
        <v>43</v>
      </c>
      <c r="AZ6765">
        <f t="shared" si="213"/>
        <v>2</v>
      </c>
    </row>
    <row r="6766" spans="1:52" ht="55.2">
      <c r="A6766" s="3" t="s">
        <v>6810</v>
      </c>
      <c r="C6766">
        <v>8</v>
      </c>
      <c r="D6766">
        <v>7</v>
      </c>
      <c r="K6766">
        <v>22</v>
      </c>
      <c r="AY6766">
        <f t="shared" si="212"/>
        <v>43</v>
      </c>
      <c r="AZ6766">
        <f t="shared" si="213"/>
        <v>2</v>
      </c>
    </row>
    <row r="6767" spans="1:52" ht="55.2">
      <c r="A6767" s="3" t="s">
        <v>6811</v>
      </c>
      <c r="C6767">
        <v>8</v>
      </c>
      <c r="D6767">
        <v>7</v>
      </c>
      <c r="K6767">
        <v>22</v>
      </c>
      <c r="AY6767">
        <f t="shared" si="212"/>
        <v>43</v>
      </c>
      <c r="AZ6767">
        <f t="shared" si="213"/>
        <v>2</v>
      </c>
    </row>
    <row r="6768" spans="1:52" ht="55.2">
      <c r="A6768" s="3" t="s">
        <v>6812</v>
      </c>
      <c r="C6768">
        <v>8</v>
      </c>
      <c r="D6768">
        <v>7</v>
      </c>
      <c r="K6768">
        <v>22</v>
      </c>
      <c r="AY6768">
        <f t="shared" si="212"/>
        <v>43</v>
      </c>
      <c r="AZ6768">
        <f t="shared" si="213"/>
        <v>2</v>
      </c>
    </row>
    <row r="6769" spans="1:52" ht="55.2">
      <c r="A6769" s="3" t="s">
        <v>6813</v>
      </c>
      <c r="C6769">
        <v>8</v>
      </c>
      <c r="D6769">
        <v>7</v>
      </c>
      <c r="K6769">
        <v>22</v>
      </c>
      <c r="AY6769">
        <f t="shared" si="212"/>
        <v>43</v>
      </c>
      <c r="AZ6769">
        <f t="shared" si="213"/>
        <v>2</v>
      </c>
    </row>
    <row r="6770" spans="1:52" ht="55.2">
      <c r="A6770" s="3" t="s">
        <v>6814</v>
      </c>
      <c r="C6770">
        <v>8</v>
      </c>
      <c r="D6770">
        <v>7</v>
      </c>
      <c r="K6770">
        <v>22</v>
      </c>
      <c r="AY6770">
        <f t="shared" si="212"/>
        <v>43</v>
      </c>
      <c r="AZ6770">
        <f t="shared" si="213"/>
        <v>2</v>
      </c>
    </row>
    <row r="6771" spans="1:52" ht="55.2">
      <c r="A6771" s="3" t="s">
        <v>6815</v>
      </c>
      <c r="C6771">
        <v>8</v>
      </c>
      <c r="D6771">
        <v>7</v>
      </c>
      <c r="K6771">
        <v>22</v>
      </c>
      <c r="AY6771">
        <f t="shared" si="212"/>
        <v>43</v>
      </c>
      <c r="AZ6771">
        <f t="shared" si="213"/>
        <v>2</v>
      </c>
    </row>
    <row r="6772" spans="1:52" ht="55.2">
      <c r="A6772" s="3" t="s">
        <v>6816</v>
      </c>
      <c r="C6772">
        <v>8</v>
      </c>
      <c r="D6772">
        <v>7</v>
      </c>
      <c r="K6772">
        <v>22</v>
      </c>
      <c r="AY6772">
        <f t="shared" si="212"/>
        <v>43</v>
      </c>
      <c r="AZ6772">
        <f t="shared" si="213"/>
        <v>2</v>
      </c>
    </row>
    <row r="6773" spans="1:52" ht="55.2">
      <c r="A6773" s="3" t="s">
        <v>6817</v>
      </c>
      <c r="C6773">
        <v>8</v>
      </c>
      <c r="D6773">
        <v>7</v>
      </c>
      <c r="K6773">
        <v>22</v>
      </c>
      <c r="AY6773">
        <f t="shared" si="212"/>
        <v>43</v>
      </c>
      <c r="AZ6773">
        <f t="shared" si="213"/>
        <v>2</v>
      </c>
    </row>
    <row r="6774" spans="1:52" ht="55.2">
      <c r="A6774" s="3" t="s">
        <v>6818</v>
      </c>
      <c r="C6774">
        <v>8</v>
      </c>
      <c r="D6774">
        <v>7</v>
      </c>
      <c r="K6774">
        <v>22</v>
      </c>
      <c r="AY6774">
        <f t="shared" si="212"/>
        <v>43</v>
      </c>
      <c r="AZ6774">
        <f t="shared" si="213"/>
        <v>2</v>
      </c>
    </row>
    <row r="6775" spans="1:52" ht="55.2">
      <c r="A6775" s="3" t="s">
        <v>6819</v>
      </c>
      <c r="C6775">
        <v>8</v>
      </c>
      <c r="D6775">
        <v>7</v>
      </c>
      <c r="K6775">
        <v>22</v>
      </c>
      <c r="AY6775">
        <f t="shared" si="212"/>
        <v>43</v>
      </c>
      <c r="AZ6775">
        <f t="shared" si="213"/>
        <v>2</v>
      </c>
    </row>
    <row r="6776" spans="1:52" ht="55.2">
      <c r="A6776" s="3" t="s">
        <v>6820</v>
      </c>
      <c r="C6776">
        <v>8</v>
      </c>
      <c r="D6776">
        <v>7</v>
      </c>
      <c r="J6776">
        <v>71</v>
      </c>
      <c r="AY6776">
        <f t="shared" si="212"/>
        <v>43</v>
      </c>
      <c r="AZ6776">
        <f t="shared" si="213"/>
        <v>2</v>
      </c>
    </row>
    <row r="6777" spans="1:52" ht="55.2">
      <c r="A6777" s="3" t="s">
        <v>6821</v>
      </c>
      <c r="C6777">
        <v>8</v>
      </c>
      <c r="D6777">
        <v>7</v>
      </c>
      <c r="J6777">
        <v>71</v>
      </c>
      <c r="AY6777">
        <f t="shared" si="212"/>
        <v>43</v>
      </c>
      <c r="AZ6777">
        <f t="shared" si="213"/>
        <v>2</v>
      </c>
    </row>
    <row r="6778" spans="1:52" ht="55.2">
      <c r="A6778" s="3" t="s">
        <v>6822</v>
      </c>
      <c r="C6778">
        <v>8</v>
      </c>
      <c r="D6778">
        <v>7</v>
      </c>
      <c r="J6778">
        <v>71</v>
      </c>
      <c r="AY6778">
        <f t="shared" si="212"/>
        <v>43</v>
      </c>
      <c r="AZ6778">
        <f t="shared" si="213"/>
        <v>2</v>
      </c>
    </row>
    <row r="6779" spans="1:52" ht="55.2">
      <c r="A6779" s="3" t="s">
        <v>6823</v>
      </c>
      <c r="C6779">
        <v>8</v>
      </c>
      <c r="D6779">
        <v>7</v>
      </c>
      <c r="J6779">
        <v>71</v>
      </c>
      <c r="AY6779">
        <f t="shared" si="212"/>
        <v>43</v>
      </c>
      <c r="AZ6779">
        <f t="shared" si="213"/>
        <v>2</v>
      </c>
    </row>
    <row r="6780" spans="1:52" ht="55.2">
      <c r="A6780" s="3" t="s">
        <v>6824</v>
      </c>
      <c r="C6780">
        <v>8</v>
      </c>
      <c r="D6780">
        <v>7</v>
      </c>
      <c r="J6780">
        <v>71</v>
      </c>
      <c r="AY6780">
        <f t="shared" si="212"/>
        <v>43</v>
      </c>
      <c r="AZ6780">
        <f t="shared" si="213"/>
        <v>2</v>
      </c>
    </row>
    <row r="6781" spans="1:52" ht="55.2">
      <c r="A6781" s="3" t="s">
        <v>6825</v>
      </c>
      <c r="C6781">
        <v>8</v>
      </c>
      <c r="D6781">
        <v>7</v>
      </c>
      <c r="J6781">
        <v>71</v>
      </c>
      <c r="AY6781">
        <f t="shared" si="212"/>
        <v>43</v>
      </c>
      <c r="AZ6781">
        <f t="shared" si="213"/>
        <v>2</v>
      </c>
    </row>
    <row r="6782" spans="1:52" ht="55.2">
      <c r="A6782" s="3" t="s">
        <v>6826</v>
      </c>
      <c r="C6782">
        <v>8</v>
      </c>
      <c r="D6782">
        <v>7</v>
      </c>
      <c r="J6782">
        <v>71</v>
      </c>
      <c r="AY6782">
        <f t="shared" si="212"/>
        <v>43</v>
      </c>
      <c r="AZ6782">
        <f t="shared" si="213"/>
        <v>2</v>
      </c>
    </row>
    <row r="6783" spans="1:52" ht="55.2">
      <c r="A6783" s="3" t="s">
        <v>6827</v>
      </c>
      <c r="C6783">
        <v>8</v>
      </c>
      <c r="D6783">
        <v>7</v>
      </c>
      <c r="J6783">
        <v>71</v>
      </c>
      <c r="AY6783">
        <f t="shared" si="212"/>
        <v>43</v>
      </c>
      <c r="AZ6783">
        <f t="shared" si="213"/>
        <v>2</v>
      </c>
    </row>
    <row r="6784" spans="1:52" ht="55.2">
      <c r="A6784" s="3" t="s">
        <v>6828</v>
      </c>
      <c r="C6784">
        <v>8</v>
      </c>
      <c r="D6784">
        <v>7</v>
      </c>
      <c r="J6784">
        <v>71</v>
      </c>
      <c r="AY6784">
        <f t="shared" si="212"/>
        <v>43</v>
      </c>
      <c r="AZ6784">
        <f t="shared" si="213"/>
        <v>2</v>
      </c>
    </row>
    <row r="6785" spans="1:52" ht="55.2">
      <c r="A6785" s="3" t="s">
        <v>6829</v>
      </c>
      <c r="C6785">
        <v>8</v>
      </c>
      <c r="D6785">
        <v>7</v>
      </c>
      <c r="J6785">
        <v>71</v>
      </c>
      <c r="AY6785">
        <f t="shared" si="212"/>
        <v>43</v>
      </c>
      <c r="AZ6785">
        <f t="shared" si="213"/>
        <v>2</v>
      </c>
    </row>
    <row r="6786" spans="1:52" ht="55.2">
      <c r="A6786" s="3" t="s">
        <v>6830</v>
      </c>
      <c r="C6786">
        <v>8</v>
      </c>
      <c r="D6786">
        <v>7</v>
      </c>
      <c r="J6786">
        <v>71</v>
      </c>
      <c r="AY6786">
        <f t="shared" si="212"/>
        <v>43</v>
      </c>
      <c r="AZ6786">
        <f t="shared" si="213"/>
        <v>2</v>
      </c>
    </row>
    <row r="6787" spans="1:52" ht="55.2">
      <c r="A6787" s="3" t="s">
        <v>6831</v>
      </c>
      <c r="C6787">
        <v>8</v>
      </c>
      <c r="D6787">
        <v>7</v>
      </c>
      <c r="L6787">
        <v>8</v>
      </c>
      <c r="AY6787">
        <f t="shared" si="212"/>
        <v>43</v>
      </c>
      <c r="AZ6787">
        <f t="shared" si="213"/>
        <v>2</v>
      </c>
    </row>
    <row r="6788" spans="1:52" ht="55.2">
      <c r="A6788" s="3" t="s">
        <v>6832</v>
      </c>
      <c r="C6788">
        <v>8</v>
      </c>
      <c r="D6788">
        <v>7</v>
      </c>
      <c r="L6788">
        <v>8</v>
      </c>
      <c r="AY6788">
        <f t="shared" si="212"/>
        <v>43</v>
      </c>
      <c r="AZ6788">
        <f t="shared" si="213"/>
        <v>2</v>
      </c>
    </row>
    <row r="6789" spans="1:52" ht="55.2">
      <c r="A6789" s="3" t="s">
        <v>6833</v>
      </c>
      <c r="C6789">
        <v>8</v>
      </c>
      <c r="D6789">
        <v>7</v>
      </c>
      <c r="L6789">
        <v>8</v>
      </c>
      <c r="AY6789">
        <f t="shared" si="212"/>
        <v>43</v>
      </c>
      <c r="AZ6789">
        <f t="shared" si="213"/>
        <v>2</v>
      </c>
    </row>
    <row r="6790" spans="1:52" ht="55.2">
      <c r="A6790" s="3" t="s">
        <v>6834</v>
      </c>
      <c r="C6790">
        <v>8</v>
      </c>
      <c r="L6790">
        <v>8</v>
      </c>
      <c r="AY6790">
        <f t="shared" si="212"/>
        <v>43</v>
      </c>
      <c r="AZ6790">
        <f t="shared" si="213"/>
        <v>3</v>
      </c>
    </row>
    <row r="6791" spans="1:52" ht="55.2">
      <c r="A6791" s="3" t="s">
        <v>6835</v>
      </c>
      <c r="C6791">
        <v>8</v>
      </c>
      <c r="L6791">
        <v>8</v>
      </c>
      <c r="AY6791">
        <f t="shared" si="212"/>
        <v>43</v>
      </c>
      <c r="AZ6791">
        <f t="shared" si="213"/>
        <v>3</v>
      </c>
    </row>
    <row r="6792" spans="1:52" ht="55.2">
      <c r="A6792" s="3" t="s">
        <v>6836</v>
      </c>
      <c r="C6792">
        <v>8</v>
      </c>
      <c r="L6792">
        <v>8</v>
      </c>
      <c r="AY6792">
        <f t="shared" si="212"/>
        <v>43</v>
      </c>
      <c r="AZ6792">
        <f t="shared" si="213"/>
        <v>3</v>
      </c>
    </row>
    <row r="6793" spans="1:52" ht="55.2">
      <c r="A6793" s="3" t="s">
        <v>6837</v>
      </c>
      <c r="C6793">
        <v>8</v>
      </c>
      <c r="L6793">
        <v>8</v>
      </c>
      <c r="AY6793">
        <f t="shared" si="212"/>
        <v>43</v>
      </c>
      <c r="AZ6793">
        <f t="shared" si="213"/>
        <v>3</v>
      </c>
    </row>
    <row r="6794" spans="1:52" ht="55.2">
      <c r="A6794" s="3" t="s">
        <v>6838</v>
      </c>
      <c r="C6794">
        <v>8</v>
      </c>
      <c r="L6794">
        <v>8</v>
      </c>
      <c r="AY6794">
        <f t="shared" si="212"/>
        <v>43</v>
      </c>
      <c r="AZ6794">
        <f t="shared" si="213"/>
        <v>3</v>
      </c>
    </row>
    <row r="6795" spans="1:52" ht="55.2">
      <c r="A6795" s="3" t="s">
        <v>6839</v>
      </c>
      <c r="C6795">
        <v>8</v>
      </c>
      <c r="L6795">
        <v>8</v>
      </c>
      <c r="AY6795">
        <f t="shared" si="212"/>
        <v>43</v>
      </c>
      <c r="AZ6795">
        <f t="shared" si="213"/>
        <v>3</v>
      </c>
    </row>
    <row r="6796" spans="1:52" ht="55.2">
      <c r="A6796" s="3" t="s">
        <v>6840</v>
      </c>
      <c r="C6796">
        <v>8</v>
      </c>
      <c r="L6796">
        <v>8</v>
      </c>
      <c r="AY6796">
        <f t="shared" si="212"/>
        <v>43</v>
      </c>
      <c r="AZ6796">
        <f t="shared" si="213"/>
        <v>3</v>
      </c>
    </row>
    <row r="6797" spans="1:52" ht="55.2">
      <c r="A6797" s="3" t="s">
        <v>6841</v>
      </c>
      <c r="C6797">
        <v>8</v>
      </c>
      <c r="L6797">
        <v>8</v>
      </c>
      <c r="AY6797">
        <f t="shared" si="212"/>
        <v>43</v>
      </c>
      <c r="AZ6797">
        <f t="shared" si="213"/>
        <v>3</v>
      </c>
    </row>
    <row r="6798" spans="1:52" ht="55.2">
      <c r="A6798" s="3" t="s">
        <v>6842</v>
      </c>
      <c r="C6798">
        <v>8</v>
      </c>
      <c r="L6798">
        <v>8</v>
      </c>
      <c r="AY6798">
        <f t="shared" si="212"/>
        <v>43</v>
      </c>
      <c r="AZ6798">
        <f t="shared" si="213"/>
        <v>3</v>
      </c>
    </row>
    <row r="6799" spans="1:52" ht="55.2">
      <c r="A6799" s="3" t="s">
        <v>6843</v>
      </c>
      <c r="C6799">
        <v>8</v>
      </c>
      <c r="L6799">
        <v>8</v>
      </c>
      <c r="AY6799">
        <f t="shared" si="212"/>
        <v>43</v>
      </c>
      <c r="AZ6799">
        <f t="shared" si="213"/>
        <v>3</v>
      </c>
    </row>
    <row r="6800" spans="1:52" ht="55.2">
      <c r="A6800" s="3" t="s">
        <v>6844</v>
      </c>
      <c r="C6800">
        <v>8</v>
      </c>
      <c r="L6800">
        <v>8</v>
      </c>
      <c r="AY6800">
        <f t="shared" si="212"/>
        <v>43</v>
      </c>
      <c r="AZ6800">
        <f t="shared" si="213"/>
        <v>3</v>
      </c>
    </row>
    <row r="6801" spans="1:52" ht="55.2">
      <c r="A6801" s="3" t="s">
        <v>6845</v>
      </c>
      <c r="C6801">
        <v>8</v>
      </c>
      <c r="L6801">
        <v>8</v>
      </c>
      <c r="AY6801">
        <f t="shared" si="212"/>
        <v>43</v>
      </c>
      <c r="AZ6801">
        <f t="shared" si="213"/>
        <v>3</v>
      </c>
    </row>
    <row r="6802" spans="1:52" ht="55.2">
      <c r="A6802" s="3" t="s">
        <v>6846</v>
      </c>
      <c r="C6802">
        <v>8</v>
      </c>
      <c r="L6802">
        <v>8</v>
      </c>
      <c r="AY6802">
        <f t="shared" si="212"/>
        <v>43</v>
      </c>
      <c r="AZ6802">
        <f t="shared" si="213"/>
        <v>3</v>
      </c>
    </row>
    <row r="6803" spans="1:52" ht="55.2">
      <c r="A6803" s="3" t="s">
        <v>6847</v>
      </c>
      <c r="C6803">
        <v>8</v>
      </c>
      <c r="L6803">
        <v>8</v>
      </c>
      <c r="AY6803">
        <f t="shared" si="212"/>
        <v>43</v>
      </c>
      <c r="AZ6803">
        <f t="shared" si="213"/>
        <v>3</v>
      </c>
    </row>
    <row r="6804" spans="1:52" ht="55.2">
      <c r="A6804" s="3" t="s">
        <v>6848</v>
      </c>
      <c r="C6804">
        <v>8</v>
      </c>
      <c r="J6804">
        <v>72</v>
      </c>
      <c r="AY6804">
        <f t="shared" si="212"/>
        <v>43</v>
      </c>
      <c r="AZ6804">
        <f t="shared" si="213"/>
        <v>3</v>
      </c>
    </row>
    <row r="6805" spans="1:52" ht="55.2">
      <c r="A6805" s="3" t="s">
        <v>6849</v>
      </c>
      <c r="C6805">
        <v>8</v>
      </c>
      <c r="J6805">
        <v>72</v>
      </c>
      <c r="AY6805">
        <f t="shared" si="212"/>
        <v>43</v>
      </c>
      <c r="AZ6805">
        <f t="shared" si="213"/>
        <v>3</v>
      </c>
    </row>
    <row r="6806" spans="1:52" ht="55.2">
      <c r="A6806" s="3" t="s">
        <v>6850</v>
      </c>
      <c r="C6806">
        <v>8</v>
      </c>
      <c r="J6806">
        <v>72</v>
      </c>
      <c r="AY6806">
        <f t="shared" si="212"/>
        <v>43</v>
      </c>
      <c r="AZ6806">
        <f t="shared" si="213"/>
        <v>3</v>
      </c>
    </row>
    <row r="6807" spans="1:52" ht="55.2">
      <c r="A6807" s="3" t="s">
        <v>6851</v>
      </c>
      <c r="C6807">
        <v>8</v>
      </c>
      <c r="J6807">
        <v>72</v>
      </c>
      <c r="AY6807">
        <f t="shared" si="212"/>
        <v>43</v>
      </c>
      <c r="AZ6807">
        <f t="shared" si="213"/>
        <v>3</v>
      </c>
    </row>
    <row r="6808" spans="1:52" ht="55.2">
      <c r="A6808" s="3" t="s">
        <v>6852</v>
      </c>
      <c r="C6808">
        <v>8</v>
      </c>
      <c r="J6808">
        <v>72</v>
      </c>
      <c r="AY6808">
        <f t="shared" si="212"/>
        <v>43</v>
      </c>
      <c r="AZ6808">
        <f t="shared" si="213"/>
        <v>3</v>
      </c>
    </row>
    <row r="6809" spans="1:52" ht="55.2">
      <c r="A6809" s="3" t="s">
        <v>6853</v>
      </c>
      <c r="C6809">
        <v>8</v>
      </c>
      <c r="V6809">
        <v>3</v>
      </c>
      <c r="AY6809">
        <f t="shared" si="212"/>
        <v>43</v>
      </c>
      <c r="AZ6809">
        <f t="shared" si="213"/>
        <v>3</v>
      </c>
    </row>
    <row r="6810" spans="1:52" ht="55.2">
      <c r="A6810" s="3" t="s">
        <v>6854</v>
      </c>
      <c r="C6810">
        <v>8</v>
      </c>
      <c r="V6810">
        <v>3</v>
      </c>
      <c r="AY6810">
        <f t="shared" si="212"/>
        <v>43</v>
      </c>
      <c r="AZ6810">
        <f t="shared" si="213"/>
        <v>3</v>
      </c>
    </row>
    <row r="6811" spans="1:52" ht="55.2">
      <c r="A6811" s="3" t="s">
        <v>6855</v>
      </c>
      <c r="C6811">
        <v>8</v>
      </c>
      <c r="V6811">
        <v>3</v>
      </c>
      <c r="AY6811">
        <f t="shared" si="212"/>
        <v>43</v>
      </c>
      <c r="AZ6811">
        <f t="shared" si="213"/>
        <v>3</v>
      </c>
    </row>
    <row r="6812" spans="1:52" ht="55.2">
      <c r="A6812" s="3" t="s">
        <v>6856</v>
      </c>
      <c r="C6812">
        <v>8</v>
      </c>
      <c r="V6812">
        <v>3</v>
      </c>
      <c r="AY6812">
        <f t="shared" si="212"/>
        <v>43</v>
      </c>
      <c r="AZ6812">
        <f t="shared" si="213"/>
        <v>3</v>
      </c>
    </row>
    <row r="6813" spans="1:52" ht="55.2">
      <c r="A6813" s="3" t="s">
        <v>6857</v>
      </c>
      <c r="C6813">
        <v>8</v>
      </c>
      <c r="V6813">
        <v>3</v>
      </c>
      <c r="AY6813">
        <f t="shared" si="212"/>
        <v>43</v>
      </c>
      <c r="AZ6813">
        <f t="shared" si="213"/>
        <v>3</v>
      </c>
    </row>
    <row r="6814" spans="1:52" ht="55.2">
      <c r="A6814" s="3" t="s">
        <v>6858</v>
      </c>
      <c r="C6814">
        <v>8</v>
      </c>
      <c r="V6814">
        <v>3</v>
      </c>
      <c r="AY6814">
        <f t="shared" si="212"/>
        <v>43</v>
      </c>
      <c r="AZ6814">
        <f t="shared" si="213"/>
        <v>3</v>
      </c>
    </row>
    <row r="6815" spans="1:52" ht="55.2">
      <c r="A6815" s="3" t="s">
        <v>6859</v>
      </c>
      <c r="C6815">
        <v>8</v>
      </c>
      <c r="V6815">
        <v>3</v>
      </c>
      <c r="AY6815">
        <f t="shared" si="212"/>
        <v>43</v>
      </c>
      <c r="AZ6815">
        <f t="shared" si="213"/>
        <v>3</v>
      </c>
    </row>
    <row r="6816" spans="1:52" ht="55.2">
      <c r="A6816" s="3" t="s">
        <v>6860</v>
      </c>
      <c r="C6816">
        <v>8</v>
      </c>
      <c r="V6816">
        <v>3</v>
      </c>
      <c r="AY6816">
        <f t="shared" si="212"/>
        <v>43</v>
      </c>
      <c r="AZ6816">
        <f t="shared" si="213"/>
        <v>3</v>
      </c>
    </row>
    <row r="6817" spans="1:52" ht="55.2">
      <c r="A6817" s="3" t="s">
        <v>6861</v>
      </c>
      <c r="C6817">
        <v>8</v>
      </c>
      <c r="V6817">
        <v>3</v>
      </c>
      <c r="AY6817">
        <f t="shared" ref="AY6817:AY6880" si="214">COUNTBLANK(F6817:AW6817)</f>
        <v>43</v>
      </c>
      <c r="AZ6817">
        <f t="shared" ref="AZ6817:AZ6880" si="215">COUNTBLANK(B6817:E6817)</f>
        <v>3</v>
      </c>
    </row>
    <row r="6818" spans="1:52" ht="55.2">
      <c r="A6818" s="3" t="s">
        <v>6862</v>
      </c>
      <c r="C6818">
        <v>8</v>
      </c>
      <c r="V6818">
        <v>3</v>
      </c>
      <c r="AY6818">
        <f t="shared" si="214"/>
        <v>43</v>
      </c>
      <c r="AZ6818">
        <f t="shared" si="215"/>
        <v>3</v>
      </c>
    </row>
    <row r="6819" spans="1:52" ht="55.2">
      <c r="A6819" s="3" t="s">
        <v>6863</v>
      </c>
      <c r="C6819">
        <v>8</v>
      </c>
      <c r="V6819">
        <v>3</v>
      </c>
      <c r="AY6819">
        <f t="shared" si="214"/>
        <v>43</v>
      </c>
      <c r="AZ6819">
        <f t="shared" si="215"/>
        <v>3</v>
      </c>
    </row>
    <row r="6820" spans="1:52" ht="55.2">
      <c r="A6820" s="3" t="s">
        <v>6864</v>
      </c>
      <c r="C6820">
        <v>8</v>
      </c>
      <c r="V6820">
        <v>3</v>
      </c>
      <c r="AY6820">
        <f t="shared" si="214"/>
        <v>43</v>
      </c>
      <c r="AZ6820">
        <f t="shared" si="215"/>
        <v>3</v>
      </c>
    </row>
    <row r="6821" spans="1:52" ht="55.2">
      <c r="A6821" s="3" t="s">
        <v>6865</v>
      </c>
      <c r="C6821">
        <v>8</v>
      </c>
      <c r="V6821">
        <v>3</v>
      </c>
      <c r="AY6821">
        <f t="shared" si="214"/>
        <v>43</v>
      </c>
      <c r="AZ6821">
        <f t="shared" si="215"/>
        <v>3</v>
      </c>
    </row>
    <row r="6822" spans="1:52" ht="55.2">
      <c r="A6822" s="3" t="s">
        <v>6866</v>
      </c>
      <c r="C6822">
        <v>8</v>
      </c>
      <c r="V6822">
        <v>3</v>
      </c>
      <c r="AY6822">
        <f t="shared" si="214"/>
        <v>43</v>
      </c>
      <c r="AZ6822">
        <f t="shared" si="215"/>
        <v>3</v>
      </c>
    </row>
    <row r="6823" spans="1:52" ht="55.2">
      <c r="A6823" s="3" t="s">
        <v>6867</v>
      </c>
      <c r="C6823">
        <v>8</v>
      </c>
      <c r="V6823">
        <v>3</v>
      </c>
      <c r="AY6823">
        <f t="shared" si="214"/>
        <v>43</v>
      </c>
      <c r="AZ6823">
        <f t="shared" si="215"/>
        <v>3</v>
      </c>
    </row>
    <row r="6824" spans="1:52" ht="55.2">
      <c r="A6824" s="3" t="s">
        <v>6868</v>
      </c>
      <c r="C6824">
        <v>8</v>
      </c>
      <c r="V6824">
        <v>3</v>
      </c>
      <c r="AY6824">
        <f t="shared" si="214"/>
        <v>43</v>
      </c>
      <c r="AZ6824">
        <f t="shared" si="215"/>
        <v>3</v>
      </c>
    </row>
    <row r="6825" spans="1:52" ht="55.2">
      <c r="A6825" s="3" t="s">
        <v>6869</v>
      </c>
      <c r="C6825">
        <v>8</v>
      </c>
      <c r="V6825">
        <v>3</v>
      </c>
      <c r="AY6825">
        <f t="shared" si="214"/>
        <v>43</v>
      </c>
      <c r="AZ6825">
        <f t="shared" si="215"/>
        <v>3</v>
      </c>
    </row>
    <row r="6826" spans="1:52" ht="55.2">
      <c r="A6826" s="3" t="s">
        <v>6870</v>
      </c>
      <c r="C6826">
        <v>8</v>
      </c>
      <c r="V6826">
        <v>3</v>
      </c>
      <c r="AY6826">
        <f t="shared" si="214"/>
        <v>43</v>
      </c>
      <c r="AZ6826">
        <f t="shared" si="215"/>
        <v>3</v>
      </c>
    </row>
    <row r="6827" spans="1:52" ht="55.2">
      <c r="A6827" s="3" t="s">
        <v>6871</v>
      </c>
      <c r="C6827">
        <v>8</v>
      </c>
      <c r="V6827">
        <v>3</v>
      </c>
      <c r="AY6827">
        <f t="shared" si="214"/>
        <v>43</v>
      </c>
      <c r="AZ6827">
        <f t="shared" si="215"/>
        <v>3</v>
      </c>
    </row>
    <row r="6828" spans="1:52" ht="55.2">
      <c r="A6828" s="3" t="s">
        <v>6872</v>
      </c>
      <c r="C6828">
        <v>8</v>
      </c>
      <c r="V6828">
        <v>3</v>
      </c>
      <c r="AY6828">
        <f t="shared" si="214"/>
        <v>43</v>
      </c>
      <c r="AZ6828">
        <f t="shared" si="215"/>
        <v>3</v>
      </c>
    </row>
    <row r="6829" spans="1:52" ht="55.2">
      <c r="A6829" s="3" t="s">
        <v>6873</v>
      </c>
      <c r="C6829">
        <v>8</v>
      </c>
      <c r="V6829">
        <v>3</v>
      </c>
      <c r="AY6829">
        <f t="shared" si="214"/>
        <v>43</v>
      </c>
      <c r="AZ6829">
        <f t="shared" si="215"/>
        <v>3</v>
      </c>
    </row>
    <row r="6830" spans="1:52" ht="55.2">
      <c r="A6830" s="3" t="s">
        <v>6874</v>
      </c>
      <c r="C6830">
        <v>8</v>
      </c>
      <c r="V6830">
        <v>3</v>
      </c>
      <c r="AY6830">
        <f t="shared" si="214"/>
        <v>43</v>
      </c>
      <c r="AZ6830">
        <f t="shared" si="215"/>
        <v>3</v>
      </c>
    </row>
    <row r="6831" spans="1:52" ht="55.2">
      <c r="A6831" s="3" t="s">
        <v>6875</v>
      </c>
      <c r="C6831">
        <v>8</v>
      </c>
      <c r="J6831">
        <v>73</v>
      </c>
      <c r="AY6831">
        <f t="shared" si="214"/>
        <v>43</v>
      </c>
      <c r="AZ6831">
        <f t="shared" si="215"/>
        <v>3</v>
      </c>
    </row>
    <row r="6832" spans="1:52" ht="55.2">
      <c r="A6832" s="3" t="s">
        <v>6876</v>
      </c>
      <c r="C6832">
        <v>8</v>
      </c>
      <c r="J6832">
        <v>73</v>
      </c>
      <c r="AY6832">
        <f t="shared" si="214"/>
        <v>43</v>
      </c>
      <c r="AZ6832">
        <f t="shared" si="215"/>
        <v>3</v>
      </c>
    </row>
    <row r="6833" spans="1:52" ht="55.2">
      <c r="A6833" s="3" t="s">
        <v>6877</v>
      </c>
      <c r="C6833">
        <v>8</v>
      </c>
      <c r="J6833">
        <v>73</v>
      </c>
      <c r="AY6833">
        <f t="shared" si="214"/>
        <v>43</v>
      </c>
      <c r="AZ6833">
        <f t="shared" si="215"/>
        <v>3</v>
      </c>
    </row>
    <row r="6834" spans="1:52" ht="55.2">
      <c r="A6834" s="3" t="s">
        <v>6878</v>
      </c>
      <c r="C6834">
        <v>8</v>
      </c>
      <c r="J6834">
        <v>73</v>
      </c>
      <c r="AY6834">
        <f t="shared" si="214"/>
        <v>43</v>
      </c>
      <c r="AZ6834">
        <f t="shared" si="215"/>
        <v>3</v>
      </c>
    </row>
    <row r="6835" spans="1:52" ht="55.2">
      <c r="A6835" s="3" t="s">
        <v>6879</v>
      </c>
      <c r="C6835">
        <v>8</v>
      </c>
      <c r="J6835">
        <v>73</v>
      </c>
      <c r="AY6835">
        <f t="shared" si="214"/>
        <v>43</v>
      </c>
      <c r="AZ6835">
        <f t="shared" si="215"/>
        <v>3</v>
      </c>
    </row>
    <row r="6836" spans="1:52" ht="55.2">
      <c r="A6836" s="3" t="s">
        <v>6880</v>
      </c>
      <c r="C6836">
        <v>8</v>
      </c>
      <c r="J6836">
        <v>73</v>
      </c>
      <c r="AY6836">
        <f t="shared" si="214"/>
        <v>43</v>
      </c>
      <c r="AZ6836">
        <f t="shared" si="215"/>
        <v>3</v>
      </c>
    </row>
    <row r="6837" spans="1:52" ht="55.2">
      <c r="A6837" s="3" t="s">
        <v>6881</v>
      </c>
      <c r="C6837">
        <v>8</v>
      </c>
      <c r="J6837">
        <v>73</v>
      </c>
      <c r="AY6837">
        <f t="shared" si="214"/>
        <v>43</v>
      </c>
      <c r="AZ6837">
        <f t="shared" si="215"/>
        <v>3</v>
      </c>
    </row>
    <row r="6838" spans="1:52" ht="55.2">
      <c r="A6838" s="3" t="s">
        <v>6882</v>
      </c>
      <c r="C6838">
        <v>8</v>
      </c>
      <c r="J6838">
        <v>73</v>
      </c>
      <c r="AY6838">
        <f t="shared" si="214"/>
        <v>43</v>
      </c>
      <c r="AZ6838">
        <f t="shared" si="215"/>
        <v>3</v>
      </c>
    </row>
    <row r="6839" spans="1:52" ht="55.2">
      <c r="A6839" s="3" t="s">
        <v>6883</v>
      </c>
      <c r="C6839">
        <v>8</v>
      </c>
      <c r="J6839">
        <v>73</v>
      </c>
      <c r="AY6839">
        <f t="shared" si="214"/>
        <v>43</v>
      </c>
      <c r="AZ6839">
        <f t="shared" si="215"/>
        <v>3</v>
      </c>
    </row>
    <row r="6840" spans="1:52" ht="55.2">
      <c r="A6840" s="3" t="s">
        <v>6884</v>
      </c>
      <c r="C6840">
        <v>8</v>
      </c>
      <c r="J6840">
        <v>73</v>
      </c>
      <c r="AY6840">
        <f t="shared" si="214"/>
        <v>43</v>
      </c>
      <c r="AZ6840">
        <f t="shared" si="215"/>
        <v>3</v>
      </c>
    </row>
    <row r="6841" spans="1:52" ht="55.2">
      <c r="A6841" s="3" t="s">
        <v>6885</v>
      </c>
      <c r="C6841">
        <v>8</v>
      </c>
      <c r="J6841">
        <v>73</v>
      </c>
      <c r="AY6841">
        <f t="shared" si="214"/>
        <v>43</v>
      </c>
      <c r="AZ6841">
        <f t="shared" si="215"/>
        <v>3</v>
      </c>
    </row>
    <row r="6842" spans="1:52" ht="55.2">
      <c r="A6842" s="3" t="s">
        <v>6886</v>
      </c>
      <c r="C6842">
        <v>8</v>
      </c>
      <c r="J6842">
        <v>73</v>
      </c>
      <c r="AY6842">
        <f t="shared" si="214"/>
        <v>43</v>
      </c>
      <c r="AZ6842">
        <f t="shared" si="215"/>
        <v>3</v>
      </c>
    </row>
    <row r="6843" spans="1:52" ht="55.2">
      <c r="A6843" s="3" t="s">
        <v>6887</v>
      </c>
      <c r="C6843">
        <v>8</v>
      </c>
      <c r="J6843">
        <v>73</v>
      </c>
      <c r="AY6843">
        <f t="shared" si="214"/>
        <v>43</v>
      </c>
      <c r="AZ6843">
        <f t="shared" si="215"/>
        <v>3</v>
      </c>
    </row>
    <row r="6844" spans="1:52" ht="55.2">
      <c r="A6844" s="3" t="s">
        <v>6888</v>
      </c>
      <c r="C6844">
        <v>8</v>
      </c>
      <c r="J6844">
        <v>73</v>
      </c>
      <c r="AY6844">
        <f t="shared" si="214"/>
        <v>43</v>
      </c>
      <c r="AZ6844">
        <f t="shared" si="215"/>
        <v>3</v>
      </c>
    </row>
    <row r="6845" spans="1:52" ht="55.2">
      <c r="A6845" s="3" t="s">
        <v>6889</v>
      </c>
      <c r="C6845">
        <v>8</v>
      </c>
      <c r="J6845">
        <v>73</v>
      </c>
      <c r="AY6845">
        <f t="shared" si="214"/>
        <v>43</v>
      </c>
      <c r="AZ6845">
        <f t="shared" si="215"/>
        <v>3</v>
      </c>
    </row>
    <row r="6846" spans="1:52" ht="55.2">
      <c r="A6846" s="3" t="s">
        <v>6890</v>
      </c>
      <c r="C6846">
        <v>8</v>
      </c>
      <c r="J6846">
        <v>73</v>
      </c>
      <c r="AY6846">
        <f t="shared" si="214"/>
        <v>43</v>
      </c>
      <c r="AZ6846">
        <f t="shared" si="215"/>
        <v>3</v>
      </c>
    </row>
    <row r="6847" spans="1:52" ht="55.2">
      <c r="A6847" s="3" t="s">
        <v>6891</v>
      </c>
      <c r="C6847">
        <v>8</v>
      </c>
      <c r="J6847">
        <v>73</v>
      </c>
      <c r="AY6847">
        <f t="shared" si="214"/>
        <v>43</v>
      </c>
      <c r="AZ6847">
        <f t="shared" si="215"/>
        <v>3</v>
      </c>
    </row>
    <row r="6848" spans="1:52" ht="55.2">
      <c r="A6848" s="3" t="s">
        <v>6892</v>
      </c>
      <c r="C6848">
        <v>8</v>
      </c>
      <c r="J6848">
        <v>73</v>
      </c>
      <c r="AY6848">
        <f t="shared" si="214"/>
        <v>43</v>
      </c>
      <c r="AZ6848">
        <f t="shared" si="215"/>
        <v>3</v>
      </c>
    </row>
    <row r="6849" spans="1:52" ht="55.2">
      <c r="A6849" s="3" t="s">
        <v>6893</v>
      </c>
      <c r="C6849">
        <v>8</v>
      </c>
      <c r="J6849">
        <v>73</v>
      </c>
      <c r="AY6849">
        <f t="shared" si="214"/>
        <v>43</v>
      </c>
      <c r="AZ6849">
        <f t="shared" si="215"/>
        <v>3</v>
      </c>
    </row>
    <row r="6850" spans="1:52" ht="55.2">
      <c r="A6850" s="3" t="s">
        <v>6894</v>
      </c>
      <c r="C6850">
        <v>8</v>
      </c>
      <c r="J6850">
        <v>73</v>
      </c>
      <c r="AY6850">
        <f t="shared" si="214"/>
        <v>43</v>
      </c>
      <c r="AZ6850">
        <f t="shared" si="215"/>
        <v>3</v>
      </c>
    </row>
    <row r="6851" spans="1:52" ht="55.2">
      <c r="A6851" s="3" t="s">
        <v>6895</v>
      </c>
      <c r="C6851">
        <v>8</v>
      </c>
      <c r="J6851">
        <v>73</v>
      </c>
      <c r="AY6851">
        <f t="shared" si="214"/>
        <v>43</v>
      </c>
      <c r="AZ6851">
        <f t="shared" si="215"/>
        <v>3</v>
      </c>
    </row>
    <row r="6852" spans="1:52" ht="55.2">
      <c r="A6852" s="3" t="s">
        <v>6896</v>
      </c>
      <c r="C6852">
        <v>8</v>
      </c>
      <c r="J6852">
        <v>73</v>
      </c>
      <c r="AY6852">
        <f t="shared" si="214"/>
        <v>43</v>
      </c>
      <c r="AZ6852">
        <f t="shared" si="215"/>
        <v>3</v>
      </c>
    </row>
    <row r="6853" spans="1:52" ht="55.2">
      <c r="A6853" s="3" t="s">
        <v>6897</v>
      </c>
      <c r="C6853">
        <v>8</v>
      </c>
      <c r="J6853">
        <v>73</v>
      </c>
      <c r="AY6853">
        <f t="shared" si="214"/>
        <v>43</v>
      </c>
      <c r="AZ6853">
        <f t="shared" si="215"/>
        <v>3</v>
      </c>
    </row>
    <row r="6854" spans="1:52" ht="55.2">
      <c r="A6854" s="3" t="s">
        <v>6898</v>
      </c>
      <c r="C6854">
        <v>8</v>
      </c>
      <c r="J6854">
        <v>73</v>
      </c>
      <c r="AY6854">
        <f t="shared" si="214"/>
        <v>43</v>
      </c>
      <c r="AZ6854">
        <f t="shared" si="215"/>
        <v>3</v>
      </c>
    </row>
    <row r="6855" spans="1:52" ht="55.2">
      <c r="A6855" s="3" t="s">
        <v>6899</v>
      </c>
      <c r="B6855">
        <v>8</v>
      </c>
      <c r="C6855">
        <v>8</v>
      </c>
      <c r="J6855">
        <v>73</v>
      </c>
      <c r="AY6855">
        <f t="shared" si="214"/>
        <v>43</v>
      </c>
      <c r="AZ6855">
        <f t="shared" si="215"/>
        <v>2</v>
      </c>
    </row>
    <row r="6856" spans="1:52" ht="55.2">
      <c r="A6856" s="3" t="s">
        <v>6900</v>
      </c>
      <c r="B6856">
        <v>8</v>
      </c>
      <c r="C6856">
        <v>8</v>
      </c>
      <c r="J6856">
        <v>73</v>
      </c>
      <c r="AY6856">
        <f t="shared" si="214"/>
        <v>43</v>
      </c>
      <c r="AZ6856">
        <f t="shared" si="215"/>
        <v>2</v>
      </c>
    </row>
    <row r="6857" spans="1:52" ht="55.2">
      <c r="A6857" s="3" t="s">
        <v>6901</v>
      </c>
      <c r="B6857">
        <v>8</v>
      </c>
      <c r="C6857">
        <v>8</v>
      </c>
      <c r="J6857">
        <v>73</v>
      </c>
      <c r="AY6857">
        <f t="shared" si="214"/>
        <v>43</v>
      </c>
      <c r="AZ6857">
        <f t="shared" si="215"/>
        <v>2</v>
      </c>
    </row>
    <row r="6858" spans="1:52" ht="55.2">
      <c r="A6858" s="3" t="s">
        <v>6902</v>
      </c>
      <c r="B6858">
        <v>8</v>
      </c>
      <c r="C6858">
        <v>8</v>
      </c>
      <c r="J6858">
        <v>73</v>
      </c>
      <c r="AY6858">
        <f t="shared" si="214"/>
        <v>43</v>
      </c>
      <c r="AZ6858">
        <f t="shared" si="215"/>
        <v>2</v>
      </c>
    </row>
    <row r="6859" spans="1:52" ht="55.2">
      <c r="A6859" s="3" t="s">
        <v>6903</v>
      </c>
      <c r="B6859">
        <v>8</v>
      </c>
      <c r="C6859">
        <v>8</v>
      </c>
      <c r="J6859">
        <v>73</v>
      </c>
      <c r="AY6859">
        <f t="shared" si="214"/>
        <v>43</v>
      </c>
      <c r="AZ6859">
        <f t="shared" si="215"/>
        <v>2</v>
      </c>
    </row>
    <row r="6860" spans="1:52" ht="55.2">
      <c r="A6860" s="3" t="s">
        <v>6904</v>
      </c>
      <c r="B6860">
        <v>8</v>
      </c>
      <c r="C6860">
        <v>8</v>
      </c>
      <c r="J6860">
        <v>73</v>
      </c>
      <c r="AY6860">
        <f t="shared" si="214"/>
        <v>43</v>
      </c>
      <c r="AZ6860">
        <f t="shared" si="215"/>
        <v>2</v>
      </c>
    </row>
    <row r="6861" spans="1:52" ht="55.2">
      <c r="A6861" s="3" t="s">
        <v>6905</v>
      </c>
      <c r="B6861">
        <v>8</v>
      </c>
      <c r="C6861">
        <v>8</v>
      </c>
      <c r="J6861">
        <v>73</v>
      </c>
      <c r="AY6861">
        <f t="shared" si="214"/>
        <v>43</v>
      </c>
      <c r="AZ6861">
        <f t="shared" si="215"/>
        <v>2</v>
      </c>
    </row>
    <row r="6862" spans="1:52" ht="55.2">
      <c r="A6862" s="3" t="s">
        <v>6906</v>
      </c>
      <c r="B6862">
        <v>8</v>
      </c>
      <c r="C6862">
        <v>8</v>
      </c>
      <c r="J6862">
        <v>73</v>
      </c>
      <c r="AY6862">
        <f t="shared" si="214"/>
        <v>43</v>
      </c>
      <c r="AZ6862">
        <f t="shared" si="215"/>
        <v>2</v>
      </c>
    </row>
    <row r="6863" spans="1:52" ht="55.2">
      <c r="A6863" s="3" t="s">
        <v>6907</v>
      </c>
      <c r="B6863">
        <v>8</v>
      </c>
      <c r="C6863">
        <v>8</v>
      </c>
      <c r="J6863">
        <v>73</v>
      </c>
      <c r="AY6863">
        <f t="shared" si="214"/>
        <v>43</v>
      </c>
      <c r="AZ6863">
        <f t="shared" si="215"/>
        <v>2</v>
      </c>
    </row>
    <row r="6864" spans="1:52" ht="55.2">
      <c r="A6864" s="3" t="s">
        <v>6908</v>
      </c>
      <c r="B6864">
        <v>8</v>
      </c>
      <c r="C6864">
        <v>8</v>
      </c>
      <c r="J6864">
        <v>73</v>
      </c>
      <c r="AY6864">
        <f t="shared" si="214"/>
        <v>43</v>
      </c>
      <c r="AZ6864">
        <f t="shared" si="215"/>
        <v>2</v>
      </c>
    </row>
    <row r="6865" spans="1:52" ht="55.2">
      <c r="A6865" s="3" t="s">
        <v>6909</v>
      </c>
      <c r="B6865">
        <v>8</v>
      </c>
      <c r="C6865">
        <v>8</v>
      </c>
      <c r="J6865">
        <v>73</v>
      </c>
      <c r="AY6865">
        <f t="shared" si="214"/>
        <v>43</v>
      </c>
      <c r="AZ6865">
        <f t="shared" si="215"/>
        <v>2</v>
      </c>
    </row>
    <row r="6866" spans="1:52" ht="55.2">
      <c r="A6866" s="3" t="s">
        <v>6910</v>
      </c>
      <c r="B6866">
        <v>8</v>
      </c>
      <c r="C6866">
        <v>8</v>
      </c>
      <c r="J6866">
        <v>73</v>
      </c>
      <c r="AY6866">
        <f t="shared" si="214"/>
        <v>43</v>
      </c>
      <c r="AZ6866">
        <f t="shared" si="215"/>
        <v>2</v>
      </c>
    </row>
    <row r="6867" spans="1:52" ht="55.2">
      <c r="A6867" s="3" t="s">
        <v>6911</v>
      </c>
      <c r="B6867">
        <v>8</v>
      </c>
      <c r="C6867">
        <v>8</v>
      </c>
      <c r="J6867">
        <v>73</v>
      </c>
      <c r="AY6867">
        <f t="shared" si="214"/>
        <v>43</v>
      </c>
      <c r="AZ6867">
        <f t="shared" si="215"/>
        <v>2</v>
      </c>
    </row>
    <row r="6868" spans="1:52" ht="55.2">
      <c r="A6868" s="3" t="s">
        <v>6912</v>
      </c>
      <c r="B6868">
        <v>8</v>
      </c>
      <c r="C6868">
        <v>8</v>
      </c>
      <c r="J6868">
        <v>73</v>
      </c>
      <c r="AY6868">
        <f t="shared" si="214"/>
        <v>43</v>
      </c>
      <c r="AZ6868">
        <f t="shared" si="215"/>
        <v>2</v>
      </c>
    </row>
    <row r="6869" spans="1:52" ht="55.2">
      <c r="A6869" s="3" t="s">
        <v>6913</v>
      </c>
      <c r="B6869">
        <v>8</v>
      </c>
      <c r="J6869">
        <v>73</v>
      </c>
      <c r="AY6869">
        <f t="shared" si="214"/>
        <v>43</v>
      </c>
      <c r="AZ6869">
        <f t="shared" si="215"/>
        <v>3</v>
      </c>
    </row>
    <row r="6870" spans="1:52" ht="55.2">
      <c r="A6870" s="3" t="s">
        <v>6914</v>
      </c>
      <c r="B6870">
        <v>8</v>
      </c>
      <c r="P6870">
        <v>4</v>
      </c>
      <c r="AY6870">
        <f t="shared" si="214"/>
        <v>43</v>
      </c>
      <c r="AZ6870">
        <f t="shared" si="215"/>
        <v>3</v>
      </c>
    </row>
    <row r="6871" spans="1:52" ht="55.2">
      <c r="A6871" s="3" t="s">
        <v>6915</v>
      </c>
      <c r="B6871">
        <v>8</v>
      </c>
      <c r="P6871">
        <v>4</v>
      </c>
      <c r="AY6871">
        <f t="shared" si="214"/>
        <v>43</v>
      </c>
      <c r="AZ6871">
        <f t="shared" si="215"/>
        <v>3</v>
      </c>
    </row>
    <row r="6872" spans="1:52" ht="55.2">
      <c r="A6872" s="3" t="s">
        <v>6916</v>
      </c>
      <c r="B6872">
        <v>8</v>
      </c>
      <c r="P6872">
        <v>4</v>
      </c>
      <c r="AY6872">
        <f t="shared" si="214"/>
        <v>43</v>
      </c>
      <c r="AZ6872">
        <f t="shared" si="215"/>
        <v>3</v>
      </c>
    </row>
    <row r="6873" spans="1:52" ht="55.2">
      <c r="A6873" s="3" t="s">
        <v>6917</v>
      </c>
      <c r="B6873">
        <v>8</v>
      </c>
      <c r="P6873">
        <v>4</v>
      </c>
      <c r="AY6873">
        <f t="shared" si="214"/>
        <v>43</v>
      </c>
      <c r="AZ6873">
        <f t="shared" si="215"/>
        <v>3</v>
      </c>
    </row>
    <row r="6874" spans="1:52" ht="55.2">
      <c r="A6874" s="3" t="s">
        <v>6918</v>
      </c>
      <c r="B6874">
        <v>8</v>
      </c>
      <c r="P6874">
        <v>4</v>
      </c>
      <c r="AY6874">
        <f t="shared" si="214"/>
        <v>43</v>
      </c>
      <c r="AZ6874">
        <f t="shared" si="215"/>
        <v>3</v>
      </c>
    </row>
    <row r="6875" spans="1:52" ht="55.2">
      <c r="A6875" s="3" t="s">
        <v>6919</v>
      </c>
      <c r="B6875">
        <v>8</v>
      </c>
      <c r="P6875">
        <v>4</v>
      </c>
      <c r="AY6875">
        <f t="shared" si="214"/>
        <v>43</v>
      </c>
      <c r="AZ6875">
        <f t="shared" si="215"/>
        <v>3</v>
      </c>
    </row>
    <row r="6876" spans="1:52" ht="55.2">
      <c r="A6876" s="3" t="s">
        <v>6920</v>
      </c>
      <c r="B6876">
        <v>8</v>
      </c>
      <c r="P6876">
        <v>4</v>
      </c>
      <c r="AY6876">
        <f t="shared" si="214"/>
        <v>43</v>
      </c>
      <c r="AZ6876">
        <f t="shared" si="215"/>
        <v>3</v>
      </c>
    </row>
    <row r="6877" spans="1:52" ht="55.2">
      <c r="A6877" s="3" t="s">
        <v>6921</v>
      </c>
      <c r="B6877">
        <v>8</v>
      </c>
      <c r="P6877">
        <v>4</v>
      </c>
      <c r="AY6877">
        <f t="shared" si="214"/>
        <v>43</v>
      </c>
      <c r="AZ6877">
        <f t="shared" si="215"/>
        <v>3</v>
      </c>
    </row>
    <row r="6878" spans="1:52" ht="55.2">
      <c r="A6878" s="3" t="s">
        <v>6922</v>
      </c>
      <c r="B6878">
        <v>8</v>
      </c>
      <c r="P6878">
        <v>4</v>
      </c>
      <c r="AY6878">
        <f t="shared" si="214"/>
        <v>43</v>
      </c>
      <c r="AZ6878">
        <f t="shared" si="215"/>
        <v>3</v>
      </c>
    </row>
    <row r="6879" spans="1:52" ht="55.2">
      <c r="A6879" s="3" t="s">
        <v>6923</v>
      </c>
      <c r="B6879">
        <v>8</v>
      </c>
      <c r="J6879">
        <v>74</v>
      </c>
      <c r="AY6879">
        <f t="shared" si="214"/>
        <v>43</v>
      </c>
      <c r="AZ6879">
        <f t="shared" si="215"/>
        <v>3</v>
      </c>
    </row>
    <row r="6880" spans="1:52" ht="55.2">
      <c r="A6880" s="3" t="s">
        <v>6924</v>
      </c>
      <c r="B6880">
        <v>8</v>
      </c>
      <c r="J6880">
        <v>74</v>
      </c>
      <c r="AY6880">
        <f t="shared" si="214"/>
        <v>43</v>
      </c>
      <c r="AZ6880">
        <f t="shared" si="215"/>
        <v>3</v>
      </c>
    </row>
    <row r="6881" spans="1:52" ht="55.2">
      <c r="A6881" s="3" t="s">
        <v>6925</v>
      </c>
      <c r="B6881">
        <v>8</v>
      </c>
      <c r="J6881">
        <v>74</v>
      </c>
      <c r="AY6881">
        <f t="shared" ref="AY6881:AY6944" si="216">COUNTBLANK(F6881:AW6881)</f>
        <v>43</v>
      </c>
      <c r="AZ6881">
        <f t="shared" ref="AZ6881:AZ6944" si="217">COUNTBLANK(B6881:E6881)</f>
        <v>3</v>
      </c>
    </row>
    <row r="6882" spans="1:52" ht="55.2">
      <c r="A6882" s="3" t="s">
        <v>6926</v>
      </c>
      <c r="B6882">
        <v>8</v>
      </c>
      <c r="J6882">
        <v>74</v>
      </c>
      <c r="AY6882">
        <f t="shared" si="216"/>
        <v>43</v>
      </c>
      <c r="AZ6882">
        <f t="shared" si="217"/>
        <v>3</v>
      </c>
    </row>
    <row r="6883" spans="1:52" ht="55.2">
      <c r="A6883" s="3" t="s">
        <v>6927</v>
      </c>
      <c r="B6883">
        <v>8</v>
      </c>
      <c r="J6883">
        <v>74</v>
      </c>
      <c r="AY6883">
        <f t="shared" si="216"/>
        <v>43</v>
      </c>
      <c r="AZ6883">
        <f t="shared" si="217"/>
        <v>3</v>
      </c>
    </row>
    <row r="6884" spans="1:52" ht="55.2">
      <c r="A6884" s="3" t="s">
        <v>6928</v>
      </c>
      <c r="B6884">
        <v>8</v>
      </c>
      <c r="J6884">
        <v>74</v>
      </c>
      <c r="AY6884">
        <f t="shared" si="216"/>
        <v>43</v>
      </c>
      <c r="AZ6884">
        <f t="shared" si="217"/>
        <v>3</v>
      </c>
    </row>
    <row r="6885" spans="1:52" ht="55.2">
      <c r="A6885" s="3" t="s">
        <v>6929</v>
      </c>
      <c r="B6885">
        <v>8</v>
      </c>
      <c r="J6885">
        <v>74</v>
      </c>
      <c r="AY6885">
        <f t="shared" si="216"/>
        <v>43</v>
      </c>
      <c r="AZ6885">
        <f t="shared" si="217"/>
        <v>3</v>
      </c>
    </row>
    <row r="6886" spans="1:52" ht="55.2">
      <c r="A6886" s="3" t="s">
        <v>6930</v>
      </c>
      <c r="B6886">
        <v>8</v>
      </c>
      <c r="J6886">
        <v>74</v>
      </c>
      <c r="AY6886">
        <f t="shared" si="216"/>
        <v>43</v>
      </c>
      <c r="AZ6886">
        <f t="shared" si="217"/>
        <v>3</v>
      </c>
    </row>
    <row r="6887" spans="1:52" ht="55.2">
      <c r="A6887" s="3" t="s">
        <v>6931</v>
      </c>
      <c r="B6887">
        <v>8</v>
      </c>
      <c r="J6887">
        <v>74</v>
      </c>
      <c r="AY6887">
        <f t="shared" si="216"/>
        <v>43</v>
      </c>
      <c r="AZ6887">
        <f t="shared" si="217"/>
        <v>3</v>
      </c>
    </row>
    <row r="6888" spans="1:52" ht="55.2">
      <c r="A6888" s="3" t="s">
        <v>6932</v>
      </c>
      <c r="B6888">
        <v>8</v>
      </c>
      <c r="J6888">
        <v>74</v>
      </c>
      <c r="AY6888">
        <f t="shared" si="216"/>
        <v>43</v>
      </c>
      <c r="AZ6888">
        <f t="shared" si="217"/>
        <v>3</v>
      </c>
    </row>
    <row r="6889" spans="1:52" ht="55.2">
      <c r="A6889" s="3" t="s">
        <v>6933</v>
      </c>
      <c r="B6889">
        <v>8</v>
      </c>
      <c r="J6889">
        <v>74</v>
      </c>
      <c r="AY6889">
        <f t="shared" si="216"/>
        <v>43</v>
      </c>
      <c r="AZ6889">
        <f t="shared" si="217"/>
        <v>3</v>
      </c>
    </row>
    <row r="6890" spans="1:52" ht="55.2">
      <c r="A6890" s="3" t="s">
        <v>6934</v>
      </c>
      <c r="B6890">
        <v>8</v>
      </c>
      <c r="J6890">
        <v>74</v>
      </c>
      <c r="AY6890">
        <f t="shared" si="216"/>
        <v>43</v>
      </c>
      <c r="AZ6890">
        <f t="shared" si="217"/>
        <v>3</v>
      </c>
    </row>
    <row r="6891" spans="1:52" ht="55.2">
      <c r="A6891" s="3" t="s">
        <v>6935</v>
      </c>
      <c r="B6891">
        <v>8</v>
      </c>
      <c r="J6891">
        <v>74</v>
      </c>
      <c r="AY6891">
        <f t="shared" si="216"/>
        <v>43</v>
      </c>
      <c r="AZ6891">
        <f t="shared" si="217"/>
        <v>3</v>
      </c>
    </row>
    <row r="6892" spans="1:52" ht="55.2">
      <c r="A6892" s="3" t="s">
        <v>6936</v>
      </c>
      <c r="B6892">
        <v>8</v>
      </c>
      <c r="J6892">
        <v>74</v>
      </c>
      <c r="AY6892">
        <f t="shared" si="216"/>
        <v>43</v>
      </c>
      <c r="AZ6892">
        <f t="shared" si="217"/>
        <v>3</v>
      </c>
    </row>
    <row r="6893" spans="1:52" ht="55.2">
      <c r="A6893" s="3" t="s">
        <v>6937</v>
      </c>
      <c r="B6893">
        <v>8</v>
      </c>
      <c r="J6893">
        <v>74</v>
      </c>
      <c r="AY6893">
        <f t="shared" si="216"/>
        <v>43</v>
      </c>
      <c r="AZ6893">
        <f t="shared" si="217"/>
        <v>3</v>
      </c>
    </row>
    <row r="6894" spans="1:52" ht="55.2">
      <c r="A6894" s="3" t="s">
        <v>6938</v>
      </c>
      <c r="B6894">
        <v>8</v>
      </c>
      <c r="J6894">
        <v>74</v>
      </c>
      <c r="AY6894">
        <f t="shared" si="216"/>
        <v>43</v>
      </c>
      <c r="AZ6894">
        <f t="shared" si="217"/>
        <v>3</v>
      </c>
    </row>
    <row r="6895" spans="1:52" ht="55.2">
      <c r="A6895" s="3" t="s">
        <v>6939</v>
      </c>
      <c r="B6895">
        <v>8</v>
      </c>
      <c r="J6895">
        <v>74</v>
      </c>
      <c r="AY6895">
        <f t="shared" si="216"/>
        <v>43</v>
      </c>
      <c r="AZ6895">
        <f t="shared" si="217"/>
        <v>3</v>
      </c>
    </row>
    <row r="6896" spans="1:52" ht="55.2">
      <c r="A6896" s="3" t="s">
        <v>6940</v>
      </c>
      <c r="B6896">
        <v>8</v>
      </c>
      <c r="J6896">
        <v>74</v>
      </c>
      <c r="AY6896">
        <f t="shared" si="216"/>
        <v>43</v>
      </c>
      <c r="AZ6896">
        <f t="shared" si="217"/>
        <v>3</v>
      </c>
    </row>
    <row r="6897" spans="1:52" ht="55.2">
      <c r="A6897" s="3" t="s">
        <v>6941</v>
      </c>
      <c r="B6897">
        <v>8</v>
      </c>
      <c r="J6897">
        <v>74</v>
      </c>
      <c r="AY6897">
        <f t="shared" si="216"/>
        <v>43</v>
      </c>
      <c r="AZ6897">
        <f t="shared" si="217"/>
        <v>3</v>
      </c>
    </row>
    <row r="6898" spans="1:52" ht="55.2">
      <c r="A6898" s="3" t="s">
        <v>6942</v>
      </c>
      <c r="B6898">
        <v>8</v>
      </c>
      <c r="J6898">
        <v>74</v>
      </c>
      <c r="AY6898">
        <f t="shared" si="216"/>
        <v>43</v>
      </c>
      <c r="AZ6898">
        <f t="shared" si="217"/>
        <v>3</v>
      </c>
    </row>
    <row r="6899" spans="1:52" ht="55.2">
      <c r="A6899" s="3" t="s">
        <v>6943</v>
      </c>
      <c r="B6899">
        <v>8</v>
      </c>
      <c r="J6899">
        <v>74</v>
      </c>
      <c r="AY6899">
        <f t="shared" si="216"/>
        <v>43</v>
      </c>
      <c r="AZ6899">
        <f t="shared" si="217"/>
        <v>3</v>
      </c>
    </row>
    <row r="6900" spans="1:52" ht="55.2">
      <c r="A6900" s="3" t="s">
        <v>6944</v>
      </c>
      <c r="B6900">
        <v>8</v>
      </c>
      <c r="J6900">
        <v>74</v>
      </c>
      <c r="AY6900">
        <f t="shared" si="216"/>
        <v>43</v>
      </c>
      <c r="AZ6900">
        <f t="shared" si="217"/>
        <v>3</v>
      </c>
    </row>
    <row r="6901" spans="1:52" ht="55.2">
      <c r="A6901" s="3" t="s">
        <v>6945</v>
      </c>
      <c r="B6901">
        <v>8</v>
      </c>
      <c r="J6901">
        <v>74</v>
      </c>
      <c r="AY6901">
        <f t="shared" si="216"/>
        <v>43</v>
      </c>
      <c r="AZ6901">
        <f t="shared" si="217"/>
        <v>3</v>
      </c>
    </row>
    <row r="6902" spans="1:52" ht="55.2">
      <c r="A6902" s="3" t="s">
        <v>6946</v>
      </c>
      <c r="B6902">
        <v>8</v>
      </c>
      <c r="J6902">
        <v>74</v>
      </c>
      <c r="AY6902">
        <f t="shared" si="216"/>
        <v>43</v>
      </c>
      <c r="AZ6902">
        <f t="shared" si="217"/>
        <v>3</v>
      </c>
    </row>
    <row r="6903" spans="1:52" ht="55.2">
      <c r="A6903" s="3" t="s">
        <v>6947</v>
      </c>
      <c r="B6903">
        <v>8</v>
      </c>
      <c r="AR6903">
        <v>5</v>
      </c>
      <c r="AY6903">
        <f t="shared" si="216"/>
        <v>43</v>
      </c>
      <c r="AZ6903">
        <f t="shared" si="217"/>
        <v>3</v>
      </c>
    </row>
    <row r="6904" spans="1:52" ht="55.2">
      <c r="A6904" s="3" t="s">
        <v>6948</v>
      </c>
      <c r="B6904">
        <v>8</v>
      </c>
      <c r="AR6904">
        <v>5</v>
      </c>
      <c r="AY6904">
        <f t="shared" si="216"/>
        <v>43</v>
      </c>
      <c r="AZ6904">
        <f t="shared" si="217"/>
        <v>3</v>
      </c>
    </row>
    <row r="6905" spans="1:52" ht="55.2">
      <c r="A6905" s="3" t="s">
        <v>6949</v>
      </c>
      <c r="B6905">
        <v>8</v>
      </c>
      <c r="AR6905">
        <v>5</v>
      </c>
      <c r="AY6905">
        <f t="shared" si="216"/>
        <v>43</v>
      </c>
      <c r="AZ6905">
        <f t="shared" si="217"/>
        <v>3</v>
      </c>
    </row>
    <row r="6906" spans="1:52" ht="55.2">
      <c r="A6906" s="3" t="s">
        <v>6950</v>
      </c>
      <c r="B6906">
        <v>8</v>
      </c>
      <c r="AR6906">
        <v>5</v>
      </c>
      <c r="AY6906">
        <f t="shared" si="216"/>
        <v>43</v>
      </c>
      <c r="AZ6906">
        <f t="shared" si="217"/>
        <v>3</v>
      </c>
    </row>
    <row r="6907" spans="1:52" ht="55.2">
      <c r="A6907" s="3" t="s">
        <v>6951</v>
      </c>
      <c r="B6907">
        <v>8</v>
      </c>
      <c r="AR6907">
        <v>5</v>
      </c>
      <c r="AY6907">
        <f t="shared" si="216"/>
        <v>43</v>
      </c>
      <c r="AZ6907">
        <f t="shared" si="217"/>
        <v>3</v>
      </c>
    </row>
    <row r="6908" spans="1:52" ht="55.2">
      <c r="A6908" s="3" t="s">
        <v>6952</v>
      </c>
      <c r="B6908">
        <v>8</v>
      </c>
      <c r="AR6908">
        <v>5</v>
      </c>
      <c r="AY6908">
        <f t="shared" si="216"/>
        <v>43</v>
      </c>
      <c r="AZ6908">
        <f t="shared" si="217"/>
        <v>3</v>
      </c>
    </row>
    <row r="6909" spans="1:52" ht="55.2">
      <c r="A6909" s="3" t="s">
        <v>6953</v>
      </c>
      <c r="B6909">
        <v>8</v>
      </c>
      <c r="AR6909">
        <v>5</v>
      </c>
      <c r="AY6909">
        <f t="shared" si="216"/>
        <v>43</v>
      </c>
      <c r="AZ6909">
        <f t="shared" si="217"/>
        <v>3</v>
      </c>
    </row>
    <row r="6910" spans="1:52" ht="55.2">
      <c r="A6910" s="3" t="s">
        <v>6954</v>
      </c>
      <c r="B6910">
        <v>8</v>
      </c>
      <c r="AR6910">
        <v>5</v>
      </c>
      <c r="AY6910">
        <f t="shared" si="216"/>
        <v>43</v>
      </c>
      <c r="AZ6910">
        <f t="shared" si="217"/>
        <v>3</v>
      </c>
    </row>
    <row r="6911" spans="1:52" ht="55.2">
      <c r="A6911" s="3" t="s">
        <v>6955</v>
      </c>
      <c r="B6911">
        <v>8</v>
      </c>
      <c r="AR6911">
        <v>5</v>
      </c>
      <c r="AY6911">
        <f t="shared" si="216"/>
        <v>43</v>
      </c>
      <c r="AZ6911">
        <f t="shared" si="217"/>
        <v>3</v>
      </c>
    </row>
    <row r="6912" spans="1:52" ht="55.2">
      <c r="A6912" s="3" t="s">
        <v>6956</v>
      </c>
      <c r="B6912">
        <v>8</v>
      </c>
      <c r="J6912">
        <v>75</v>
      </c>
      <c r="AY6912">
        <f t="shared" si="216"/>
        <v>43</v>
      </c>
      <c r="AZ6912">
        <f t="shared" si="217"/>
        <v>3</v>
      </c>
    </row>
    <row r="6913" spans="1:52" ht="55.2">
      <c r="A6913" s="3" t="s">
        <v>6957</v>
      </c>
      <c r="B6913">
        <v>8</v>
      </c>
      <c r="J6913">
        <v>75</v>
      </c>
      <c r="AY6913">
        <f t="shared" si="216"/>
        <v>43</v>
      </c>
      <c r="AZ6913">
        <f t="shared" si="217"/>
        <v>3</v>
      </c>
    </row>
    <row r="6914" spans="1:52" ht="55.2">
      <c r="A6914" s="3" t="s">
        <v>6958</v>
      </c>
      <c r="B6914">
        <v>8</v>
      </c>
      <c r="J6914">
        <v>75</v>
      </c>
      <c r="AY6914">
        <f t="shared" si="216"/>
        <v>43</v>
      </c>
      <c r="AZ6914">
        <f t="shared" si="217"/>
        <v>3</v>
      </c>
    </row>
    <row r="6915" spans="1:52" ht="55.2">
      <c r="A6915" s="3" t="s">
        <v>6959</v>
      </c>
      <c r="B6915">
        <v>8</v>
      </c>
      <c r="J6915">
        <v>75</v>
      </c>
      <c r="AY6915">
        <f t="shared" si="216"/>
        <v>43</v>
      </c>
      <c r="AZ6915">
        <f t="shared" si="217"/>
        <v>3</v>
      </c>
    </row>
    <row r="6916" spans="1:52" ht="55.2">
      <c r="A6916" s="3" t="s">
        <v>6960</v>
      </c>
      <c r="B6916">
        <v>8</v>
      </c>
      <c r="J6916">
        <v>75</v>
      </c>
      <c r="AY6916">
        <f t="shared" si="216"/>
        <v>43</v>
      </c>
      <c r="AZ6916">
        <f t="shared" si="217"/>
        <v>3</v>
      </c>
    </row>
    <row r="6917" spans="1:52" ht="55.2">
      <c r="A6917" s="3" t="s">
        <v>6961</v>
      </c>
      <c r="B6917">
        <v>8</v>
      </c>
      <c r="J6917">
        <v>75</v>
      </c>
      <c r="AY6917">
        <f t="shared" si="216"/>
        <v>43</v>
      </c>
      <c r="AZ6917">
        <f t="shared" si="217"/>
        <v>3</v>
      </c>
    </row>
    <row r="6918" spans="1:52" ht="55.2">
      <c r="A6918" s="3" t="s">
        <v>6962</v>
      </c>
      <c r="B6918">
        <v>8</v>
      </c>
      <c r="J6918">
        <v>75</v>
      </c>
      <c r="AY6918">
        <f t="shared" si="216"/>
        <v>43</v>
      </c>
      <c r="AZ6918">
        <f t="shared" si="217"/>
        <v>3</v>
      </c>
    </row>
    <row r="6919" spans="1:52" ht="55.2">
      <c r="A6919" s="3" t="s">
        <v>6963</v>
      </c>
      <c r="B6919">
        <v>8</v>
      </c>
      <c r="J6919">
        <v>75</v>
      </c>
      <c r="AY6919">
        <f t="shared" si="216"/>
        <v>43</v>
      </c>
      <c r="AZ6919">
        <f t="shared" si="217"/>
        <v>3</v>
      </c>
    </row>
    <row r="6920" spans="1:52" ht="55.2">
      <c r="A6920" s="3" t="s">
        <v>6964</v>
      </c>
      <c r="B6920">
        <v>8</v>
      </c>
      <c r="J6920">
        <v>75</v>
      </c>
      <c r="AY6920">
        <f t="shared" si="216"/>
        <v>43</v>
      </c>
      <c r="AZ6920">
        <f t="shared" si="217"/>
        <v>3</v>
      </c>
    </row>
    <row r="6921" spans="1:52" ht="55.2">
      <c r="A6921" s="3" t="s">
        <v>6965</v>
      </c>
      <c r="B6921">
        <v>8</v>
      </c>
      <c r="AT6921">
        <v>15</v>
      </c>
      <c r="AY6921">
        <f t="shared" si="216"/>
        <v>43</v>
      </c>
      <c r="AZ6921">
        <f t="shared" si="217"/>
        <v>3</v>
      </c>
    </row>
    <row r="6922" spans="1:52" ht="55.2">
      <c r="A6922" s="3" t="s">
        <v>6966</v>
      </c>
      <c r="B6922">
        <v>8</v>
      </c>
      <c r="AT6922">
        <v>15</v>
      </c>
      <c r="AY6922">
        <f t="shared" si="216"/>
        <v>43</v>
      </c>
      <c r="AZ6922">
        <f t="shared" si="217"/>
        <v>3</v>
      </c>
    </row>
    <row r="6923" spans="1:52" ht="55.2">
      <c r="A6923" s="3" t="s">
        <v>6967</v>
      </c>
      <c r="B6923">
        <v>8</v>
      </c>
      <c r="AT6923">
        <v>15</v>
      </c>
      <c r="AY6923">
        <f t="shared" si="216"/>
        <v>43</v>
      </c>
      <c r="AZ6923">
        <f t="shared" si="217"/>
        <v>3</v>
      </c>
    </row>
    <row r="6924" spans="1:52" ht="55.2">
      <c r="A6924" s="3" t="s">
        <v>6968</v>
      </c>
      <c r="B6924">
        <v>8</v>
      </c>
      <c r="AT6924">
        <v>15</v>
      </c>
      <c r="AY6924">
        <f t="shared" si="216"/>
        <v>43</v>
      </c>
      <c r="AZ6924">
        <f t="shared" si="217"/>
        <v>3</v>
      </c>
    </row>
    <row r="6925" spans="1:52" ht="55.2">
      <c r="A6925" s="3" t="s">
        <v>6969</v>
      </c>
      <c r="B6925">
        <v>8</v>
      </c>
      <c r="AT6925">
        <v>15</v>
      </c>
      <c r="AY6925">
        <f t="shared" si="216"/>
        <v>43</v>
      </c>
      <c r="AZ6925">
        <f t="shared" si="217"/>
        <v>3</v>
      </c>
    </row>
    <row r="6926" spans="1:52" ht="55.2">
      <c r="A6926" s="3" t="s">
        <v>6970</v>
      </c>
      <c r="B6926">
        <v>8</v>
      </c>
      <c r="AT6926">
        <v>15</v>
      </c>
      <c r="AY6926">
        <f t="shared" si="216"/>
        <v>43</v>
      </c>
      <c r="AZ6926">
        <f t="shared" si="217"/>
        <v>3</v>
      </c>
    </row>
    <row r="6927" spans="1:52" ht="55.2">
      <c r="A6927" s="3" t="s">
        <v>6971</v>
      </c>
      <c r="B6927">
        <v>8</v>
      </c>
      <c r="AT6927">
        <v>15</v>
      </c>
      <c r="AY6927">
        <f t="shared" si="216"/>
        <v>43</v>
      </c>
      <c r="AZ6927">
        <f t="shared" si="217"/>
        <v>3</v>
      </c>
    </row>
    <row r="6928" spans="1:52" ht="55.2">
      <c r="A6928" s="3" t="s">
        <v>6972</v>
      </c>
      <c r="B6928">
        <v>8</v>
      </c>
      <c r="AT6928">
        <v>15</v>
      </c>
      <c r="AY6928">
        <f t="shared" si="216"/>
        <v>43</v>
      </c>
      <c r="AZ6928">
        <f t="shared" si="217"/>
        <v>3</v>
      </c>
    </row>
    <row r="6929" spans="1:52" ht="55.2">
      <c r="A6929" s="3" t="s">
        <v>6973</v>
      </c>
      <c r="B6929">
        <v>8</v>
      </c>
      <c r="AT6929">
        <v>15</v>
      </c>
      <c r="AY6929">
        <f t="shared" si="216"/>
        <v>43</v>
      </c>
      <c r="AZ6929">
        <f t="shared" si="217"/>
        <v>3</v>
      </c>
    </row>
    <row r="6930" spans="1:52" ht="55.2">
      <c r="A6930" s="3" t="s">
        <v>6974</v>
      </c>
      <c r="B6930">
        <v>8</v>
      </c>
      <c r="AT6930">
        <v>15</v>
      </c>
      <c r="AY6930">
        <f t="shared" si="216"/>
        <v>43</v>
      </c>
      <c r="AZ6930">
        <f t="shared" si="217"/>
        <v>3</v>
      </c>
    </row>
    <row r="6931" spans="1:52" ht="55.2">
      <c r="A6931" s="3" t="s">
        <v>6975</v>
      </c>
      <c r="B6931">
        <v>8</v>
      </c>
      <c r="AT6931">
        <v>15</v>
      </c>
      <c r="AY6931">
        <f t="shared" si="216"/>
        <v>43</v>
      </c>
      <c r="AZ6931">
        <f t="shared" si="217"/>
        <v>3</v>
      </c>
    </row>
    <row r="6932" spans="1:52" ht="55.2">
      <c r="A6932" s="3" t="s">
        <v>6976</v>
      </c>
      <c r="B6932">
        <v>8</v>
      </c>
      <c r="AT6932">
        <v>15</v>
      </c>
      <c r="AY6932">
        <f t="shared" si="216"/>
        <v>43</v>
      </c>
      <c r="AZ6932">
        <f t="shared" si="217"/>
        <v>3</v>
      </c>
    </row>
    <row r="6933" spans="1:52" ht="55.2">
      <c r="A6933" s="3" t="s">
        <v>6977</v>
      </c>
      <c r="B6933">
        <v>8</v>
      </c>
      <c r="AT6933">
        <v>15</v>
      </c>
      <c r="AY6933">
        <f t="shared" si="216"/>
        <v>43</v>
      </c>
      <c r="AZ6933">
        <f t="shared" si="217"/>
        <v>3</v>
      </c>
    </row>
    <row r="6934" spans="1:52" ht="55.2">
      <c r="A6934" s="3" t="s">
        <v>6978</v>
      </c>
      <c r="B6934">
        <v>8</v>
      </c>
      <c r="E6934">
        <v>9</v>
      </c>
      <c r="J6934">
        <v>76</v>
      </c>
      <c r="AY6934">
        <f t="shared" si="216"/>
        <v>43</v>
      </c>
      <c r="AZ6934">
        <f t="shared" si="217"/>
        <v>2</v>
      </c>
    </row>
    <row r="6935" spans="1:52" ht="55.2">
      <c r="A6935" s="3" t="s">
        <v>6979</v>
      </c>
      <c r="B6935">
        <v>8</v>
      </c>
      <c r="E6935">
        <v>9</v>
      </c>
      <c r="J6935">
        <v>76</v>
      </c>
      <c r="AY6935">
        <f t="shared" si="216"/>
        <v>43</v>
      </c>
      <c r="AZ6935">
        <f t="shared" si="217"/>
        <v>2</v>
      </c>
    </row>
    <row r="6936" spans="1:52" ht="55.2">
      <c r="A6936" s="3" t="s">
        <v>6980</v>
      </c>
      <c r="B6936">
        <v>8</v>
      </c>
      <c r="E6936">
        <v>9</v>
      </c>
      <c r="J6936">
        <v>76</v>
      </c>
      <c r="AY6936">
        <f t="shared" si="216"/>
        <v>43</v>
      </c>
      <c r="AZ6936">
        <f t="shared" si="217"/>
        <v>2</v>
      </c>
    </row>
    <row r="6937" spans="1:52" ht="55.2">
      <c r="A6937" s="3" t="s">
        <v>6981</v>
      </c>
      <c r="B6937">
        <v>8</v>
      </c>
      <c r="E6937">
        <v>9</v>
      </c>
      <c r="J6937">
        <v>76</v>
      </c>
      <c r="AY6937">
        <f t="shared" si="216"/>
        <v>43</v>
      </c>
      <c r="AZ6937">
        <f t="shared" si="217"/>
        <v>2</v>
      </c>
    </row>
    <row r="6938" spans="1:52" ht="55.2">
      <c r="A6938" s="3" t="s">
        <v>6982</v>
      </c>
      <c r="B6938">
        <v>8</v>
      </c>
      <c r="E6938">
        <v>9</v>
      </c>
      <c r="J6938">
        <v>76</v>
      </c>
      <c r="AY6938">
        <f t="shared" si="216"/>
        <v>43</v>
      </c>
      <c r="AZ6938">
        <f t="shared" si="217"/>
        <v>2</v>
      </c>
    </row>
    <row r="6939" spans="1:52" ht="55.2">
      <c r="A6939" s="3" t="s">
        <v>6983</v>
      </c>
      <c r="B6939">
        <v>8</v>
      </c>
      <c r="E6939">
        <v>9</v>
      </c>
      <c r="J6939">
        <v>76</v>
      </c>
      <c r="AY6939">
        <f t="shared" si="216"/>
        <v>43</v>
      </c>
      <c r="AZ6939">
        <f t="shared" si="217"/>
        <v>2</v>
      </c>
    </row>
    <row r="6940" spans="1:52" ht="55.2">
      <c r="A6940" s="3" t="s">
        <v>6984</v>
      </c>
      <c r="B6940">
        <v>8</v>
      </c>
      <c r="E6940">
        <v>9</v>
      </c>
      <c r="J6940">
        <v>76</v>
      </c>
      <c r="AY6940">
        <f t="shared" si="216"/>
        <v>43</v>
      </c>
      <c r="AZ6940">
        <f t="shared" si="217"/>
        <v>2</v>
      </c>
    </row>
    <row r="6941" spans="1:52" ht="55.2">
      <c r="A6941" s="3" t="s">
        <v>6985</v>
      </c>
      <c r="B6941">
        <v>8</v>
      </c>
      <c r="E6941">
        <v>9</v>
      </c>
      <c r="J6941">
        <v>76</v>
      </c>
      <c r="AY6941">
        <f t="shared" si="216"/>
        <v>43</v>
      </c>
      <c r="AZ6941">
        <f t="shared" si="217"/>
        <v>2</v>
      </c>
    </row>
    <row r="6942" spans="1:52" ht="55.2">
      <c r="A6942" s="3" t="s">
        <v>6986</v>
      </c>
      <c r="B6942">
        <v>8</v>
      </c>
      <c r="E6942">
        <v>9</v>
      </c>
      <c r="J6942">
        <v>76</v>
      </c>
      <c r="AY6942">
        <f t="shared" si="216"/>
        <v>43</v>
      </c>
      <c r="AZ6942">
        <f t="shared" si="217"/>
        <v>2</v>
      </c>
    </row>
    <row r="6943" spans="1:52" ht="55.2">
      <c r="A6943" s="3" t="s">
        <v>6987</v>
      </c>
      <c r="E6943">
        <v>9</v>
      </c>
      <c r="J6943">
        <v>76</v>
      </c>
      <c r="AY6943">
        <f t="shared" si="216"/>
        <v>43</v>
      </c>
      <c r="AZ6943">
        <f t="shared" si="217"/>
        <v>3</v>
      </c>
    </row>
    <row r="6944" spans="1:52" ht="55.2">
      <c r="A6944" s="3" t="s">
        <v>6988</v>
      </c>
      <c r="E6944">
        <v>9</v>
      </c>
      <c r="J6944">
        <v>76</v>
      </c>
      <c r="AY6944">
        <f t="shared" si="216"/>
        <v>43</v>
      </c>
      <c r="AZ6944">
        <f t="shared" si="217"/>
        <v>3</v>
      </c>
    </row>
    <row r="6945" spans="1:52" ht="55.2">
      <c r="A6945" s="3" t="s">
        <v>6989</v>
      </c>
      <c r="E6945">
        <v>9</v>
      </c>
      <c r="J6945">
        <v>76</v>
      </c>
      <c r="AY6945">
        <f t="shared" ref="AY6945:AY7008" si="218">COUNTBLANK(F6945:AW6945)</f>
        <v>43</v>
      </c>
      <c r="AZ6945">
        <f t="shared" ref="AZ6945:AZ7008" si="219">COUNTBLANK(B6945:E6945)</f>
        <v>3</v>
      </c>
    </row>
    <row r="6946" spans="1:52" ht="55.2">
      <c r="A6946" s="3" t="s">
        <v>6990</v>
      </c>
      <c r="E6946">
        <v>9</v>
      </c>
      <c r="AN6946">
        <v>6</v>
      </c>
      <c r="AY6946">
        <f t="shared" si="218"/>
        <v>43</v>
      </c>
      <c r="AZ6946">
        <f t="shared" si="219"/>
        <v>3</v>
      </c>
    </row>
    <row r="6947" spans="1:52" ht="55.2">
      <c r="A6947" s="3" t="s">
        <v>6991</v>
      </c>
      <c r="E6947">
        <v>9</v>
      </c>
      <c r="AN6947">
        <v>6</v>
      </c>
      <c r="AY6947">
        <f t="shared" si="218"/>
        <v>43</v>
      </c>
      <c r="AZ6947">
        <f t="shared" si="219"/>
        <v>3</v>
      </c>
    </row>
    <row r="6948" spans="1:52" ht="55.2">
      <c r="A6948" s="3" t="s">
        <v>6992</v>
      </c>
      <c r="E6948">
        <v>9</v>
      </c>
      <c r="AN6948">
        <v>6</v>
      </c>
      <c r="AY6948">
        <f t="shared" si="218"/>
        <v>43</v>
      </c>
      <c r="AZ6948">
        <f t="shared" si="219"/>
        <v>3</v>
      </c>
    </row>
    <row r="6949" spans="1:52" ht="55.2">
      <c r="A6949" s="3" t="s">
        <v>6993</v>
      </c>
      <c r="E6949">
        <v>9</v>
      </c>
      <c r="AN6949">
        <v>6</v>
      </c>
      <c r="AY6949">
        <f t="shared" si="218"/>
        <v>43</v>
      </c>
      <c r="AZ6949">
        <f t="shared" si="219"/>
        <v>3</v>
      </c>
    </row>
    <row r="6950" spans="1:52" ht="55.2">
      <c r="A6950" s="3" t="s">
        <v>6994</v>
      </c>
      <c r="E6950">
        <v>9</v>
      </c>
      <c r="AN6950">
        <v>6</v>
      </c>
      <c r="AY6950">
        <f t="shared" si="218"/>
        <v>43</v>
      </c>
      <c r="AZ6950">
        <f t="shared" si="219"/>
        <v>3</v>
      </c>
    </row>
    <row r="6951" spans="1:52" ht="55.2">
      <c r="A6951" s="3" t="s">
        <v>6995</v>
      </c>
      <c r="E6951">
        <v>9</v>
      </c>
      <c r="AN6951">
        <v>6</v>
      </c>
      <c r="AY6951">
        <f t="shared" si="218"/>
        <v>43</v>
      </c>
      <c r="AZ6951">
        <f t="shared" si="219"/>
        <v>3</v>
      </c>
    </row>
    <row r="6952" spans="1:52" ht="55.2">
      <c r="A6952" s="3" t="s">
        <v>6996</v>
      </c>
      <c r="E6952">
        <v>9</v>
      </c>
      <c r="AN6952">
        <v>6</v>
      </c>
      <c r="AY6952">
        <f t="shared" si="218"/>
        <v>43</v>
      </c>
      <c r="AZ6952">
        <f t="shared" si="219"/>
        <v>3</v>
      </c>
    </row>
    <row r="6953" spans="1:52" ht="55.2">
      <c r="A6953" s="3" t="s">
        <v>6997</v>
      </c>
      <c r="E6953">
        <v>9</v>
      </c>
      <c r="AN6953">
        <v>6</v>
      </c>
      <c r="AY6953">
        <f t="shared" si="218"/>
        <v>43</v>
      </c>
      <c r="AZ6953">
        <f t="shared" si="219"/>
        <v>3</v>
      </c>
    </row>
    <row r="6954" spans="1:52" ht="55.2">
      <c r="A6954" s="3" t="s">
        <v>6998</v>
      </c>
      <c r="E6954">
        <v>9</v>
      </c>
      <c r="AN6954">
        <v>6</v>
      </c>
      <c r="AY6954">
        <f t="shared" si="218"/>
        <v>43</v>
      </c>
      <c r="AZ6954">
        <f t="shared" si="219"/>
        <v>3</v>
      </c>
    </row>
    <row r="6955" spans="1:52" ht="55.2">
      <c r="A6955" s="3" t="s">
        <v>6999</v>
      </c>
      <c r="E6955">
        <v>9</v>
      </c>
      <c r="AN6955">
        <v>6</v>
      </c>
      <c r="AY6955">
        <f t="shared" si="218"/>
        <v>43</v>
      </c>
      <c r="AZ6955">
        <f t="shared" si="219"/>
        <v>3</v>
      </c>
    </row>
    <row r="6956" spans="1:52" ht="55.2">
      <c r="A6956" s="3" t="s">
        <v>7000</v>
      </c>
      <c r="E6956">
        <v>9</v>
      </c>
      <c r="AN6956">
        <v>6</v>
      </c>
      <c r="AY6956">
        <f t="shared" si="218"/>
        <v>43</v>
      </c>
      <c r="AZ6956">
        <f t="shared" si="219"/>
        <v>3</v>
      </c>
    </row>
    <row r="6957" spans="1:52" ht="55.2">
      <c r="A6957" s="3" t="s">
        <v>7001</v>
      </c>
      <c r="E6957">
        <v>9</v>
      </c>
      <c r="AN6957">
        <v>6</v>
      </c>
      <c r="AY6957">
        <f t="shared" si="218"/>
        <v>43</v>
      </c>
      <c r="AZ6957">
        <f t="shared" si="219"/>
        <v>3</v>
      </c>
    </row>
    <row r="6958" spans="1:52" ht="55.2">
      <c r="A6958" s="3" t="s">
        <v>7002</v>
      </c>
      <c r="E6958">
        <v>9</v>
      </c>
      <c r="AN6958">
        <v>6</v>
      </c>
      <c r="AY6958">
        <f t="shared" si="218"/>
        <v>43</v>
      </c>
      <c r="AZ6958">
        <f t="shared" si="219"/>
        <v>3</v>
      </c>
    </row>
    <row r="6959" spans="1:52" ht="55.2">
      <c r="A6959" s="3" t="s">
        <v>7003</v>
      </c>
      <c r="E6959">
        <v>9</v>
      </c>
      <c r="AN6959">
        <v>6</v>
      </c>
      <c r="AY6959">
        <f t="shared" si="218"/>
        <v>43</v>
      </c>
      <c r="AZ6959">
        <f t="shared" si="219"/>
        <v>3</v>
      </c>
    </row>
    <row r="6960" spans="1:52" ht="55.2">
      <c r="A6960" s="3" t="s">
        <v>7004</v>
      </c>
      <c r="E6960">
        <v>9</v>
      </c>
      <c r="AN6960">
        <v>6</v>
      </c>
      <c r="AY6960">
        <f t="shared" si="218"/>
        <v>43</v>
      </c>
      <c r="AZ6960">
        <f t="shared" si="219"/>
        <v>3</v>
      </c>
    </row>
    <row r="6961" spans="1:52" ht="55.2">
      <c r="A6961" s="3" t="s">
        <v>7005</v>
      </c>
      <c r="E6961">
        <v>9</v>
      </c>
      <c r="AN6961">
        <v>6</v>
      </c>
      <c r="AY6961">
        <f t="shared" si="218"/>
        <v>43</v>
      </c>
      <c r="AZ6961">
        <f t="shared" si="219"/>
        <v>3</v>
      </c>
    </row>
    <row r="6962" spans="1:52" ht="55.2">
      <c r="A6962" s="3" t="s">
        <v>7006</v>
      </c>
      <c r="E6962">
        <v>9</v>
      </c>
      <c r="AN6962">
        <v>6</v>
      </c>
      <c r="AY6962">
        <f t="shared" si="218"/>
        <v>43</v>
      </c>
      <c r="AZ6962">
        <f t="shared" si="219"/>
        <v>3</v>
      </c>
    </row>
    <row r="6963" spans="1:52" ht="55.2">
      <c r="A6963" s="3" t="s">
        <v>7007</v>
      </c>
      <c r="E6963">
        <v>9</v>
      </c>
      <c r="AN6963">
        <v>6</v>
      </c>
      <c r="AY6963">
        <f t="shared" si="218"/>
        <v>43</v>
      </c>
      <c r="AZ6963">
        <f t="shared" si="219"/>
        <v>3</v>
      </c>
    </row>
    <row r="6964" spans="1:52" ht="55.2">
      <c r="A6964" s="3" t="s">
        <v>7008</v>
      </c>
      <c r="E6964">
        <v>9</v>
      </c>
      <c r="AN6964">
        <v>6</v>
      </c>
      <c r="AY6964">
        <f t="shared" si="218"/>
        <v>43</v>
      </c>
      <c r="AZ6964">
        <f t="shared" si="219"/>
        <v>3</v>
      </c>
    </row>
    <row r="6965" spans="1:52" ht="55.2">
      <c r="A6965" s="3" t="s">
        <v>7009</v>
      </c>
      <c r="E6965">
        <v>9</v>
      </c>
      <c r="AN6965">
        <v>6</v>
      </c>
      <c r="AY6965">
        <f t="shared" si="218"/>
        <v>43</v>
      </c>
      <c r="AZ6965">
        <f t="shared" si="219"/>
        <v>3</v>
      </c>
    </row>
    <row r="6966" spans="1:52" ht="55.2">
      <c r="A6966" s="3" t="s">
        <v>7010</v>
      </c>
      <c r="E6966">
        <v>9</v>
      </c>
      <c r="AN6966">
        <v>6</v>
      </c>
      <c r="AY6966">
        <f t="shared" si="218"/>
        <v>43</v>
      </c>
      <c r="AZ6966">
        <f t="shared" si="219"/>
        <v>3</v>
      </c>
    </row>
    <row r="6967" spans="1:52" ht="55.2">
      <c r="A6967" s="3" t="s">
        <v>7011</v>
      </c>
      <c r="E6967">
        <v>9</v>
      </c>
      <c r="AN6967">
        <v>6</v>
      </c>
      <c r="AY6967">
        <f t="shared" si="218"/>
        <v>43</v>
      </c>
      <c r="AZ6967">
        <f t="shared" si="219"/>
        <v>3</v>
      </c>
    </row>
    <row r="6968" spans="1:52" ht="55.2">
      <c r="A6968" s="3" t="s">
        <v>7012</v>
      </c>
      <c r="E6968">
        <v>9</v>
      </c>
      <c r="AN6968">
        <v>6</v>
      </c>
      <c r="AY6968">
        <f t="shared" si="218"/>
        <v>43</v>
      </c>
      <c r="AZ6968">
        <f t="shared" si="219"/>
        <v>3</v>
      </c>
    </row>
    <row r="6969" spans="1:52" ht="55.2">
      <c r="A6969" s="3" t="s">
        <v>7013</v>
      </c>
      <c r="E6969">
        <v>9</v>
      </c>
      <c r="AN6969">
        <v>6</v>
      </c>
      <c r="AY6969">
        <f t="shared" si="218"/>
        <v>43</v>
      </c>
      <c r="AZ6969">
        <f t="shared" si="219"/>
        <v>3</v>
      </c>
    </row>
    <row r="6970" spans="1:52" ht="55.2">
      <c r="A6970" s="3" t="s">
        <v>7014</v>
      </c>
      <c r="E6970">
        <v>9</v>
      </c>
      <c r="AN6970">
        <v>6</v>
      </c>
      <c r="AY6970">
        <f t="shared" si="218"/>
        <v>43</v>
      </c>
      <c r="AZ6970">
        <f t="shared" si="219"/>
        <v>3</v>
      </c>
    </row>
    <row r="6971" spans="1:52" ht="55.2">
      <c r="A6971" s="3" t="s">
        <v>7015</v>
      </c>
      <c r="E6971">
        <v>9</v>
      </c>
      <c r="AN6971">
        <v>6</v>
      </c>
      <c r="AY6971">
        <f t="shared" si="218"/>
        <v>43</v>
      </c>
      <c r="AZ6971">
        <f t="shared" si="219"/>
        <v>3</v>
      </c>
    </row>
    <row r="6972" spans="1:52" ht="55.2">
      <c r="A6972" s="3" t="s">
        <v>7016</v>
      </c>
      <c r="E6972">
        <v>9</v>
      </c>
      <c r="AN6972">
        <v>6</v>
      </c>
      <c r="AY6972">
        <f t="shared" si="218"/>
        <v>43</v>
      </c>
      <c r="AZ6972">
        <f t="shared" si="219"/>
        <v>3</v>
      </c>
    </row>
    <row r="6973" spans="1:52" ht="55.2">
      <c r="A6973" s="3" t="s">
        <v>7017</v>
      </c>
      <c r="E6973">
        <v>9</v>
      </c>
      <c r="AN6973">
        <v>6</v>
      </c>
      <c r="AY6973">
        <f t="shared" si="218"/>
        <v>43</v>
      </c>
      <c r="AZ6973">
        <f t="shared" si="219"/>
        <v>3</v>
      </c>
    </row>
    <row r="6974" spans="1:52" ht="55.2">
      <c r="A6974" s="3" t="s">
        <v>7018</v>
      </c>
      <c r="E6974">
        <v>9</v>
      </c>
      <c r="AN6974">
        <v>6</v>
      </c>
      <c r="AY6974">
        <f t="shared" si="218"/>
        <v>43</v>
      </c>
      <c r="AZ6974">
        <f t="shared" si="219"/>
        <v>3</v>
      </c>
    </row>
    <row r="6975" spans="1:52" ht="55.2">
      <c r="A6975" s="3" t="s">
        <v>7019</v>
      </c>
      <c r="E6975">
        <v>9</v>
      </c>
      <c r="AN6975">
        <v>6</v>
      </c>
      <c r="AY6975">
        <f t="shared" si="218"/>
        <v>43</v>
      </c>
      <c r="AZ6975">
        <f t="shared" si="219"/>
        <v>3</v>
      </c>
    </row>
    <row r="6976" spans="1:52" ht="55.2">
      <c r="A6976" s="3" t="s">
        <v>7020</v>
      </c>
      <c r="E6976">
        <v>9</v>
      </c>
      <c r="AN6976">
        <v>6</v>
      </c>
      <c r="AY6976">
        <f t="shared" si="218"/>
        <v>43</v>
      </c>
      <c r="AZ6976">
        <f t="shared" si="219"/>
        <v>3</v>
      </c>
    </row>
    <row r="6977" spans="1:52" ht="55.2">
      <c r="A6977" s="3" t="s">
        <v>7021</v>
      </c>
      <c r="E6977">
        <v>9</v>
      </c>
      <c r="AN6977">
        <v>6</v>
      </c>
      <c r="AY6977">
        <f t="shared" si="218"/>
        <v>43</v>
      </c>
      <c r="AZ6977">
        <f t="shared" si="219"/>
        <v>3</v>
      </c>
    </row>
    <row r="6978" spans="1:52" ht="55.2">
      <c r="A6978" s="3" t="s">
        <v>7022</v>
      </c>
      <c r="E6978">
        <v>9</v>
      </c>
      <c r="AN6978">
        <v>6</v>
      </c>
      <c r="AY6978">
        <f t="shared" si="218"/>
        <v>43</v>
      </c>
      <c r="AZ6978">
        <f t="shared" si="219"/>
        <v>3</v>
      </c>
    </row>
    <row r="6979" spans="1:52" ht="55.2">
      <c r="A6979" s="3" t="s">
        <v>7023</v>
      </c>
      <c r="E6979">
        <v>9</v>
      </c>
      <c r="AN6979">
        <v>6</v>
      </c>
      <c r="AY6979">
        <f t="shared" si="218"/>
        <v>43</v>
      </c>
      <c r="AZ6979">
        <f t="shared" si="219"/>
        <v>3</v>
      </c>
    </row>
    <row r="6980" spans="1:52" ht="55.2">
      <c r="A6980" s="3" t="s">
        <v>7024</v>
      </c>
      <c r="E6980">
        <v>9</v>
      </c>
      <c r="AW6980">
        <v>25</v>
      </c>
      <c r="AY6980">
        <f t="shared" si="218"/>
        <v>43</v>
      </c>
      <c r="AZ6980">
        <f t="shared" si="219"/>
        <v>3</v>
      </c>
    </row>
    <row r="6981" spans="1:52" ht="55.2">
      <c r="A6981" s="3" t="s">
        <v>7025</v>
      </c>
      <c r="E6981">
        <v>9</v>
      </c>
      <c r="AW6981">
        <v>25</v>
      </c>
      <c r="AY6981">
        <f t="shared" si="218"/>
        <v>43</v>
      </c>
      <c r="AZ6981">
        <f t="shared" si="219"/>
        <v>3</v>
      </c>
    </row>
    <row r="6982" spans="1:52" ht="55.2">
      <c r="A6982" s="3" t="s">
        <v>7026</v>
      </c>
      <c r="E6982">
        <v>9</v>
      </c>
      <c r="AW6982">
        <v>25</v>
      </c>
      <c r="AY6982">
        <f t="shared" si="218"/>
        <v>43</v>
      </c>
      <c r="AZ6982">
        <f t="shared" si="219"/>
        <v>3</v>
      </c>
    </row>
    <row r="6983" spans="1:52" ht="55.2">
      <c r="A6983" s="3" t="s">
        <v>7027</v>
      </c>
      <c r="E6983">
        <v>9</v>
      </c>
      <c r="J6983">
        <v>77</v>
      </c>
      <c r="AY6983">
        <f t="shared" si="218"/>
        <v>43</v>
      </c>
      <c r="AZ6983">
        <f t="shared" si="219"/>
        <v>3</v>
      </c>
    </row>
    <row r="6984" spans="1:52" ht="55.2">
      <c r="A6984" s="3" t="s">
        <v>7028</v>
      </c>
      <c r="E6984">
        <v>9</v>
      </c>
      <c r="J6984">
        <v>77</v>
      </c>
      <c r="AY6984">
        <f t="shared" si="218"/>
        <v>43</v>
      </c>
      <c r="AZ6984">
        <f t="shared" si="219"/>
        <v>3</v>
      </c>
    </row>
    <row r="6985" spans="1:52" ht="55.2">
      <c r="A6985" s="3" t="s">
        <v>7029</v>
      </c>
      <c r="E6985">
        <v>9</v>
      </c>
      <c r="J6985">
        <v>77</v>
      </c>
      <c r="AY6985">
        <f t="shared" si="218"/>
        <v>43</v>
      </c>
      <c r="AZ6985">
        <f t="shared" si="219"/>
        <v>3</v>
      </c>
    </row>
    <row r="6986" spans="1:52" ht="55.2">
      <c r="A6986" s="3" t="s">
        <v>7030</v>
      </c>
      <c r="E6986">
        <v>9</v>
      </c>
      <c r="J6986">
        <v>77</v>
      </c>
      <c r="AY6986">
        <f t="shared" si="218"/>
        <v>43</v>
      </c>
      <c r="AZ6986">
        <f t="shared" si="219"/>
        <v>3</v>
      </c>
    </row>
    <row r="6987" spans="1:52" ht="55.2">
      <c r="A6987" s="3" t="s">
        <v>7031</v>
      </c>
      <c r="E6987">
        <v>9</v>
      </c>
      <c r="J6987">
        <v>77</v>
      </c>
      <c r="AY6987">
        <f t="shared" si="218"/>
        <v>43</v>
      </c>
      <c r="AZ6987">
        <f t="shared" si="219"/>
        <v>3</v>
      </c>
    </row>
    <row r="6988" spans="1:52" ht="55.2">
      <c r="A6988" s="3" t="s">
        <v>7032</v>
      </c>
      <c r="E6988">
        <v>9</v>
      </c>
      <c r="J6988">
        <v>77</v>
      </c>
      <c r="AY6988">
        <f t="shared" si="218"/>
        <v>43</v>
      </c>
      <c r="AZ6988">
        <f t="shared" si="219"/>
        <v>3</v>
      </c>
    </row>
    <row r="6989" spans="1:52" ht="55.2">
      <c r="A6989" s="3" t="s">
        <v>7033</v>
      </c>
      <c r="E6989">
        <v>9</v>
      </c>
      <c r="J6989">
        <v>77</v>
      </c>
      <c r="AY6989">
        <f t="shared" si="218"/>
        <v>43</v>
      </c>
      <c r="AZ6989">
        <f t="shared" si="219"/>
        <v>3</v>
      </c>
    </row>
    <row r="6990" spans="1:52" ht="55.2">
      <c r="A6990" s="3" t="s">
        <v>7034</v>
      </c>
      <c r="E6990">
        <v>9</v>
      </c>
      <c r="J6990">
        <v>77</v>
      </c>
      <c r="AY6990">
        <f t="shared" si="218"/>
        <v>43</v>
      </c>
      <c r="AZ6990">
        <f t="shared" si="219"/>
        <v>3</v>
      </c>
    </row>
    <row r="6991" spans="1:52" ht="55.2">
      <c r="A6991" s="3" t="s">
        <v>7035</v>
      </c>
      <c r="E6991">
        <v>9</v>
      </c>
      <c r="J6991">
        <v>77</v>
      </c>
      <c r="AY6991">
        <f t="shared" si="218"/>
        <v>43</v>
      </c>
      <c r="AZ6991">
        <f t="shared" si="219"/>
        <v>3</v>
      </c>
    </row>
    <row r="6992" spans="1:52" ht="55.2">
      <c r="A6992" s="3" t="s">
        <v>7036</v>
      </c>
      <c r="E6992">
        <v>9</v>
      </c>
      <c r="J6992">
        <v>77</v>
      </c>
      <c r="AY6992">
        <f t="shared" si="218"/>
        <v>43</v>
      </c>
      <c r="AZ6992">
        <f t="shared" si="219"/>
        <v>3</v>
      </c>
    </row>
    <row r="6993" spans="1:52" ht="55.2">
      <c r="A6993" s="3" t="s">
        <v>7037</v>
      </c>
      <c r="E6993">
        <v>9</v>
      </c>
      <c r="J6993">
        <v>77</v>
      </c>
      <c r="AY6993">
        <f t="shared" si="218"/>
        <v>43</v>
      </c>
      <c r="AZ6993">
        <f t="shared" si="219"/>
        <v>3</v>
      </c>
    </row>
    <row r="6994" spans="1:52" ht="55.2">
      <c r="A6994" s="3" t="s">
        <v>7038</v>
      </c>
      <c r="E6994">
        <v>9</v>
      </c>
      <c r="J6994">
        <v>77</v>
      </c>
      <c r="AY6994">
        <f t="shared" si="218"/>
        <v>43</v>
      </c>
      <c r="AZ6994">
        <f t="shared" si="219"/>
        <v>3</v>
      </c>
    </row>
    <row r="6995" spans="1:52" ht="55.2">
      <c r="A6995" s="3" t="s">
        <v>7039</v>
      </c>
      <c r="E6995">
        <v>9</v>
      </c>
      <c r="J6995">
        <v>77</v>
      </c>
      <c r="AY6995">
        <f t="shared" si="218"/>
        <v>43</v>
      </c>
      <c r="AZ6995">
        <f t="shared" si="219"/>
        <v>3</v>
      </c>
    </row>
    <row r="6996" spans="1:52" ht="55.2">
      <c r="A6996" s="3" t="s">
        <v>7040</v>
      </c>
      <c r="E6996">
        <v>9</v>
      </c>
      <c r="J6996">
        <v>77</v>
      </c>
      <c r="AY6996">
        <f t="shared" si="218"/>
        <v>43</v>
      </c>
      <c r="AZ6996">
        <f t="shared" si="219"/>
        <v>3</v>
      </c>
    </row>
    <row r="6997" spans="1:52" ht="55.2">
      <c r="A6997" s="3" t="s">
        <v>7041</v>
      </c>
      <c r="E6997">
        <v>9</v>
      </c>
      <c r="J6997">
        <v>77</v>
      </c>
      <c r="AY6997">
        <f t="shared" si="218"/>
        <v>43</v>
      </c>
      <c r="AZ6997">
        <f t="shared" si="219"/>
        <v>3</v>
      </c>
    </row>
    <row r="6998" spans="1:52" ht="55.2">
      <c r="A6998" s="3" t="s">
        <v>7042</v>
      </c>
      <c r="E6998">
        <v>9</v>
      </c>
      <c r="J6998">
        <v>77</v>
      </c>
      <c r="AY6998">
        <f t="shared" si="218"/>
        <v>43</v>
      </c>
      <c r="AZ6998">
        <f t="shared" si="219"/>
        <v>3</v>
      </c>
    </row>
    <row r="6999" spans="1:52" ht="55.2">
      <c r="A6999" s="3" t="s">
        <v>7043</v>
      </c>
      <c r="E6999">
        <v>9</v>
      </c>
      <c r="J6999">
        <v>77</v>
      </c>
      <c r="AY6999">
        <f t="shared" si="218"/>
        <v>43</v>
      </c>
      <c r="AZ6999">
        <f t="shared" si="219"/>
        <v>3</v>
      </c>
    </row>
    <row r="7000" spans="1:52" ht="55.2">
      <c r="A7000" s="3" t="s">
        <v>7044</v>
      </c>
      <c r="E7000">
        <v>9</v>
      </c>
      <c r="J7000">
        <v>77</v>
      </c>
      <c r="AY7000">
        <f t="shared" si="218"/>
        <v>43</v>
      </c>
      <c r="AZ7000">
        <f t="shared" si="219"/>
        <v>3</v>
      </c>
    </row>
    <row r="7001" spans="1:52" ht="55.2">
      <c r="A7001" s="3" t="s">
        <v>7045</v>
      </c>
      <c r="E7001">
        <v>9</v>
      </c>
      <c r="J7001">
        <v>77</v>
      </c>
      <c r="AY7001">
        <f t="shared" si="218"/>
        <v>43</v>
      </c>
      <c r="AZ7001">
        <f t="shared" si="219"/>
        <v>3</v>
      </c>
    </row>
    <row r="7002" spans="1:52" ht="55.2">
      <c r="A7002" s="3" t="s">
        <v>7046</v>
      </c>
      <c r="E7002">
        <v>9</v>
      </c>
      <c r="J7002">
        <v>77</v>
      </c>
      <c r="AY7002">
        <f t="shared" si="218"/>
        <v>43</v>
      </c>
      <c r="AZ7002">
        <f t="shared" si="219"/>
        <v>3</v>
      </c>
    </row>
    <row r="7003" spans="1:52" ht="55.2">
      <c r="A7003" s="3" t="s">
        <v>7047</v>
      </c>
      <c r="E7003">
        <v>9</v>
      </c>
      <c r="J7003">
        <v>77</v>
      </c>
      <c r="AY7003">
        <f t="shared" si="218"/>
        <v>43</v>
      </c>
      <c r="AZ7003">
        <f t="shared" si="219"/>
        <v>3</v>
      </c>
    </row>
    <row r="7004" spans="1:52" ht="55.2">
      <c r="A7004" s="3" t="s">
        <v>7048</v>
      </c>
      <c r="E7004">
        <v>9</v>
      </c>
      <c r="J7004">
        <v>77</v>
      </c>
      <c r="AY7004">
        <f t="shared" si="218"/>
        <v>43</v>
      </c>
      <c r="AZ7004">
        <f t="shared" si="219"/>
        <v>3</v>
      </c>
    </row>
    <row r="7005" spans="1:52" ht="55.2">
      <c r="A7005" s="3" t="s">
        <v>7049</v>
      </c>
      <c r="E7005">
        <v>9</v>
      </c>
      <c r="J7005">
        <v>77</v>
      </c>
      <c r="AY7005">
        <f t="shared" si="218"/>
        <v>43</v>
      </c>
      <c r="AZ7005">
        <f t="shared" si="219"/>
        <v>3</v>
      </c>
    </row>
    <row r="7006" spans="1:52" ht="55.2">
      <c r="A7006" s="3" t="s">
        <v>7050</v>
      </c>
      <c r="E7006">
        <v>9</v>
      </c>
      <c r="J7006">
        <v>77</v>
      </c>
      <c r="AY7006">
        <f t="shared" si="218"/>
        <v>43</v>
      </c>
      <c r="AZ7006">
        <f t="shared" si="219"/>
        <v>3</v>
      </c>
    </row>
    <row r="7007" spans="1:52" ht="55.2">
      <c r="A7007" s="3" t="s">
        <v>7051</v>
      </c>
      <c r="E7007">
        <v>9</v>
      </c>
      <c r="J7007">
        <v>77</v>
      </c>
      <c r="AY7007">
        <f t="shared" si="218"/>
        <v>43</v>
      </c>
      <c r="AZ7007">
        <f t="shared" si="219"/>
        <v>3</v>
      </c>
    </row>
    <row r="7008" spans="1:52" ht="55.2">
      <c r="A7008" s="3" t="s">
        <v>7052</v>
      </c>
      <c r="E7008">
        <v>9</v>
      </c>
      <c r="J7008">
        <v>77</v>
      </c>
      <c r="AY7008">
        <f t="shared" si="218"/>
        <v>43</v>
      </c>
      <c r="AZ7008">
        <f t="shared" si="219"/>
        <v>3</v>
      </c>
    </row>
    <row r="7009" spans="1:52" ht="55.2">
      <c r="A7009" s="3" t="s">
        <v>7053</v>
      </c>
      <c r="E7009">
        <v>9</v>
      </c>
      <c r="J7009">
        <v>77</v>
      </c>
      <c r="AY7009">
        <f t="shared" ref="AY7009:AY7072" si="220">COUNTBLANK(F7009:AW7009)</f>
        <v>43</v>
      </c>
      <c r="AZ7009">
        <f t="shared" ref="AZ7009:AZ7072" si="221">COUNTBLANK(B7009:E7009)</f>
        <v>3</v>
      </c>
    </row>
    <row r="7010" spans="1:52" ht="55.2">
      <c r="A7010" s="3" t="s">
        <v>7054</v>
      </c>
      <c r="E7010">
        <v>9</v>
      </c>
      <c r="J7010">
        <v>77</v>
      </c>
      <c r="AY7010">
        <f t="shared" si="220"/>
        <v>43</v>
      </c>
      <c r="AZ7010">
        <f t="shared" si="221"/>
        <v>3</v>
      </c>
    </row>
    <row r="7011" spans="1:52" ht="55.2">
      <c r="A7011" s="3" t="s">
        <v>7055</v>
      </c>
      <c r="E7011">
        <v>9</v>
      </c>
      <c r="J7011">
        <v>77</v>
      </c>
      <c r="AY7011">
        <f t="shared" si="220"/>
        <v>43</v>
      </c>
      <c r="AZ7011">
        <f t="shared" si="221"/>
        <v>3</v>
      </c>
    </row>
    <row r="7012" spans="1:52" ht="55.2">
      <c r="A7012" s="3" t="s">
        <v>7056</v>
      </c>
      <c r="E7012">
        <v>9</v>
      </c>
      <c r="J7012">
        <v>77</v>
      </c>
      <c r="AY7012">
        <f t="shared" si="220"/>
        <v>43</v>
      </c>
      <c r="AZ7012">
        <f t="shared" si="221"/>
        <v>3</v>
      </c>
    </row>
    <row r="7013" spans="1:52" ht="55.2">
      <c r="A7013" s="3" t="s">
        <v>7057</v>
      </c>
      <c r="E7013">
        <v>9</v>
      </c>
      <c r="J7013">
        <v>77</v>
      </c>
      <c r="AY7013">
        <f t="shared" si="220"/>
        <v>43</v>
      </c>
      <c r="AZ7013">
        <f t="shared" si="221"/>
        <v>3</v>
      </c>
    </row>
    <row r="7014" spans="1:52" ht="55.2">
      <c r="A7014" s="3" t="s">
        <v>7058</v>
      </c>
      <c r="E7014">
        <v>9</v>
      </c>
      <c r="AT7014">
        <v>16</v>
      </c>
      <c r="AY7014">
        <f t="shared" si="220"/>
        <v>43</v>
      </c>
      <c r="AZ7014">
        <f t="shared" si="221"/>
        <v>3</v>
      </c>
    </row>
    <row r="7015" spans="1:52" ht="55.2">
      <c r="A7015" s="3" t="s">
        <v>7059</v>
      </c>
      <c r="E7015">
        <v>9</v>
      </c>
      <c r="AT7015">
        <v>16</v>
      </c>
      <c r="AY7015">
        <f t="shared" si="220"/>
        <v>43</v>
      </c>
      <c r="AZ7015">
        <f t="shared" si="221"/>
        <v>3</v>
      </c>
    </row>
    <row r="7016" spans="1:52" ht="55.2">
      <c r="A7016" s="3" t="s">
        <v>7060</v>
      </c>
      <c r="E7016">
        <v>9</v>
      </c>
      <c r="AT7016">
        <v>16</v>
      </c>
      <c r="AY7016">
        <f t="shared" si="220"/>
        <v>43</v>
      </c>
      <c r="AZ7016">
        <f t="shared" si="221"/>
        <v>3</v>
      </c>
    </row>
    <row r="7017" spans="1:52" ht="55.2">
      <c r="A7017" s="3" t="s">
        <v>7061</v>
      </c>
      <c r="E7017">
        <v>9</v>
      </c>
      <c r="AT7017">
        <v>16</v>
      </c>
      <c r="AY7017">
        <f t="shared" si="220"/>
        <v>43</v>
      </c>
      <c r="AZ7017">
        <f t="shared" si="221"/>
        <v>3</v>
      </c>
    </row>
    <row r="7018" spans="1:52" ht="55.2">
      <c r="A7018" s="3" t="s">
        <v>7062</v>
      </c>
      <c r="E7018">
        <v>9</v>
      </c>
      <c r="AT7018">
        <v>16</v>
      </c>
      <c r="AY7018">
        <f t="shared" si="220"/>
        <v>43</v>
      </c>
      <c r="AZ7018">
        <f t="shared" si="221"/>
        <v>3</v>
      </c>
    </row>
    <row r="7019" spans="1:52" ht="55.2">
      <c r="A7019" s="3" t="s">
        <v>7063</v>
      </c>
      <c r="E7019">
        <v>9</v>
      </c>
      <c r="AT7019">
        <v>16</v>
      </c>
      <c r="AY7019">
        <f t="shared" si="220"/>
        <v>43</v>
      </c>
      <c r="AZ7019">
        <f t="shared" si="221"/>
        <v>3</v>
      </c>
    </row>
    <row r="7020" spans="1:52" ht="55.2">
      <c r="A7020" s="3" t="s">
        <v>7064</v>
      </c>
      <c r="E7020">
        <v>9</v>
      </c>
      <c r="AT7020">
        <v>16</v>
      </c>
      <c r="AY7020">
        <f t="shared" si="220"/>
        <v>43</v>
      </c>
      <c r="AZ7020">
        <f t="shared" si="221"/>
        <v>3</v>
      </c>
    </row>
    <row r="7021" spans="1:52" ht="55.2">
      <c r="A7021" s="3" t="s">
        <v>7065</v>
      </c>
      <c r="E7021">
        <v>9</v>
      </c>
      <c r="AT7021">
        <v>16</v>
      </c>
      <c r="AY7021">
        <f t="shared" si="220"/>
        <v>43</v>
      </c>
      <c r="AZ7021">
        <f t="shared" si="221"/>
        <v>3</v>
      </c>
    </row>
    <row r="7022" spans="1:52" ht="55.2">
      <c r="A7022" s="3" t="s">
        <v>7066</v>
      </c>
      <c r="E7022">
        <v>9</v>
      </c>
      <c r="AT7022">
        <v>16</v>
      </c>
      <c r="AY7022">
        <f t="shared" si="220"/>
        <v>43</v>
      </c>
      <c r="AZ7022">
        <f t="shared" si="221"/>
        <v>3</v>
      </c>
    </row>
    <row r="7023" spans="1:52" ht="55.2">
      <c r="A7023" s="3" t="s">
        <v>7067</v>
      </c>
      <c r="E7023">
        <v>9</v>
      </c>
      <c r="AT7023">
        <v>16</v>
      </c>
      <c r="AY7023">
        <f t="shared" si="220"/>
        <v>43</v>
      </c>
      <c r="AZ7023">
        <f t="shared" si="221"/>
        <v>3</v>
      </c>
    </row>
    <row r="7024" spans="1:52" ht="55.2">
      <c r="A7024" s="3" t="s">
        <v>7068</v>
      </c>
      <c r="E7024">
        <v>9</v>
      </c>
      <c r="AT7024">
        <v>16</v>
      </c>
      <c r="AY7024">
        <f t="shared" si="220"/>
        <v>43</v>
      </c>
      <c r="AZ7024">
        <f t="shared" si="221"/>
        <v>3</v>
      </c>
    </row>
    <row r="7025" spans="1:52" ht="55.2">
      <c r="A7025" s="3" t="s">
        <v>7069</v>
      </c>
      <c r="E7025">
        <v>9</v>
      </c>
      <c r="AJ7025">
        <v>5</v>
      </c>
      <c r="AY7025">
        <f t="shared" si="220"/>
        <v>43</v>
      </c>
      <c r="AZ7025">
        <f t="shared" si="221"/>
        <v>3</v>
      </c>
    </row>
    <row r="7026" spans="1:52" ht="55.2">
      <c r="A7026" s="3" t="s">
        <v>7070</v>
      </c>
      <c r="E7026">
        <v>9</v>
      </c>
      <c r="AJ7026">
        <v>5</v>
      </c>
      <c r="AY7026">
        <f t="shared" si="220"/>
        <v>43</v>
      </c>
      <c r="AZ7026">
        <f t="shared" si="221"/>
        <v>3</v>
      </c>
    </row>
    <row r="7027" spans="1:52" ht="55.2">
      <c r="A7027" s="3" t="s">
        <v>7071</v>
      </c>
      <c r="E7027">
        <v>9</v>
      </c>
      <c r="AJ7027">
        <v>5</v>
      </c>
      <c r="AY7027">
        <f t="shared" si="220"/>
        <v>43</v>
      </c>
      <c r="AZ7027">
        <f t="shared" si="221"/>
        <v>3</v>
      </c>
    </row>
    <row r="7028" spans="1:52" ht="55.2">
      <c r="A7028" s="3" t="s">
        <v>7072</v>
      </c>
      <c r="E7028">
        <v>9</v>
      </c>
      <c r="AJ7028">
        <v>5</v>
      </c>
      <c r="AY7028">
        <f t="shared" si="220"/>
        <v>43</v>
      </c>
      <c r="AZ7028">
        <f t="shared" si="221"/>
        <v>3</v>
      </c>
    </row>
    <row r="7029" spans="1:52" ht="55.2">
      <c r="A7029" s="3" t="s">
        <v>7073</v>
      </c>
      <c r="E7029">
        <v>9</v>
      </c>
      <c r="AJ7029">
        <v>5</v>
      </c>
      <c r="AY7029">
        <f t="shared" si="220"/>
        <v>43</v>
      </c>
      <c r="AZ7029">
        <f t="shared" si="221"/>
        <v>3</v>
      </c>
    </row>
    <row r="7030" spans="1:52" ht="55.2">
      <c r="A7030" s="3" t="s">
        <v>7074</v>
      </c>
      <c r="E7030">
        <v>9</v>
      </c>
      <c r="AJ7030">
        <v>5</v>
      </c>
      <c r="AY7030">
        <f t="shared" si="220"/>
        <v>43</v>
      </c>
      <c r="AZ7030">
        <f t="shared" si="221"/>
        <v>3</v>
      </c>
    </row>
    <row r="7031" spans="1:52" ht="55.2">
      <c r="A7031" s="3" t="s">
        <v>7075</v>
      </c>
      <c r="E7031">
        <v>9</v>
      </c>
      <c r="AJ7031">
        <v>5</v>
      </c>
      <c r="AY7031">
        <f t="shared" si="220"/>
        <v>43</v>
      </c>
      <c r="AZ7031">
        <f t="shared" si="221"/>
        <v>3</v>
      </c>
    </row>
    <row r="7032" spans="1:52" ht="55.2">
      <c r="A7032" s="3" t="s">
        <v>7076</v>
      </c>
      <c r="E7032">
        <v>9</v>
      </c>
      <c r="AJ7032">
        <v>5</v>
      </c>
      <c r="AY7032">
        <f t="shared" si="220"/>
        <v>43</v>
      </c>
      <c r="AZ7032">
        <f t="shared" si="221"/>
        <v>3</v>
      </c>
    </row>
    <row r="7033" spans="1:52" ht="55.2">
      <c r="A7033" s="3" t="s">
        <v>7077</v>
      </c>
      <c r="E7033">
        <v>9</v>
      </c>
      <c r="AJ7033">
        <v>5</v>
      </c>
      <c r="AY7033">
        <f t="shared" si="220"/>
        <v>43</v>
      </c>
      <c r="AZ7033">
        <f t="shared" si="221"/>
        <v>3</v>
      </c>
    </row>
    <row r="7034" spans="1:52" ht="55.2">
      <c r="A7034" s="3" t="s">
        <v>7078</v>
      </c>
      <c r="E7034">
        <v>9</v>
      </c>
      <c r="AJ7034">
        <v>5</v>
      </c>
      <c r="AY7034">
        <f t="shared" si="220"/>
        <v>43</v>
      </c>
      <c r="AZ7034">
        <f t="shared" si="221"/>
        <v>3</v>
      </c>
    </row>
    <row r="7035" spans="1:52" ht="55.2">
      <c r="A7035" s="3" t="s">
        <v>7079</v>
      </c>
      <c r="E7035">
        <v>9</v>
      </c>
      <c r="AJ7035">
        <v>5</v>
      </c>
      <c r="AY7035">
        <f t="shared" si="220"/>
        <v>43</v>
      </c>
      <c r="AZ7035">
        <f t="shared" si="221"/>
        <v>3</v>
      </c>
    </row>
    <row r="7036" spans="1:52" ht="55.2">
      <c r="A7036" s="3" t="s">
        <v>7080</v>
      </c>
      <c r="E7036">
        <v>9</v>
      </c>
      <c r="AJ7036">
        <v>5</v>
      </c>
      <c r="AY7036">
        <f t="shared" si="220"/>
        <v>43</v>
      </c>
      <c r="AZ7036">
        <f t="shared" si="221"/>
        <v>3</v>
      </c>
    </row>
    <row r="7037" spans="1:52" ht="55.2">
      <c r="A7037" s="3" t="s">
        <v>7081</v>
      </c>
      <c r="E7037">
        <v>9</v>
      </c>
      <c r="AJ7037">
        <v>5</v>
      </c>
      <c r="AY7037">
        <f t="shared" si="220"/>
        <v>43</v>
      </c>
      <c r="AZ7037">
        <f t="shared" si="221"/>
        <v>3</v>
      </c>
    </row>
    <row r="7038" spans="1:52" ht="55.2">
      <c r="A7038" s="3" t="s">
        <v>7082</v>
      </c>
      <c r="E7038">
        <v>9</v>
      </c>
      <c r="AT7038">
        <v>17</v>
      </c>
      <c r="AY7038">
        <f t="shared" si="220"/>
        <v>43</v>
      </c>
      <c r="AZ7038">
        <f t="shared" si="221"/>
        <v>3</v>
      </c>
    </row>
    <row r="7039" spans="1:52" ht="55.2">
      <c r="A7039" s="3" t="s">
        <v>7083</v>
      </c>
      <c r="E7039">
        <v>9</v>
      </c>
      <c r="AT7039">
        <v>17</v>
      </c>
      <c r="AY7039">
        <f t="shared" si="220"/>
        <v>43</v>
      </c>
      <c r="AZ7039">
        <f t="shared" si="221"/>
        <v>3</v>
      </c>
    </row>
    <row r="7040" spans="1:52" ht="55.2">
      <c r="A7040" s="3" t="s">
        <v>7084</v>
      </c>
      <c r="E7040">
        <v>9</v>
      </c>
      <c r="AT7040">
        <v>17</v>
      </c>
      <c r="AY7040">
        <f t="shared" si="220"/>
        <v>43</v>
      </c>
      <c r="AZ7040">
        <f t="shared" si="221"/>
        <v>3</v>
      </c>
    </row>
    <row r="7041" spans="1:52" ht="55.2">
      <c r="A7041" s="3" t="s">
        <v>7085</v>
      </c>
      <c r="E7041">
        <v>9</v>
      </c>
      <c r="AT7041">
        <v>17</v>
      </c>
      <c r="AY7041">
        <f t="shared" si="220"/>
        <v>43</v>
      </c>
      <c r="AZ7041">
        <f t="shared" si="221"/>
        <v>3</v>
      </c>
    </row>
    <row r="7042" spans="1:52" ht="55.2">
      <c r="A7042" s="3" t="s">
        <v>7086</v>
      </c>
      <c r="E7042">
        <v>9</v>
      </c>
      <c r="AT7042">
        <v>17</v>
      </c>
      <c r="AY7042">
        <f t="shared" si="220"/>
        <v>43</v>
      </c>
      <c r="AZ7042">
        <f t="shared" si="221"/>
        <v>3</v>
      </c>
    </row>
    <row r="7043" spans="1:52" ht="55.2">
      <c r="A7043" s="3" t="s">
        <v>7087</v>
      </c>
      <c r="E7043">
        <v>9</v>
      </c>
      <c r="AT7043">
        <v>17</v>
      </c>
      <c r="AY7043">
        <f t="shared" si="220"/>
        <v>43</v>
      </c>
      <c r="AZ7043">
        <f t="shared" si="221"/>
        <v>3</v>
      </c>
    </row>
    <row r="7044" spans="1:52" ht="55.2">
      <c r="A7044" s="3" t="s">
        <v>7088</v>
      </c>
      <c r="E7044">
        <v>9</v>
      </c>
      <c r="AT7044">
        <v>17</v>
      </c>
      <c r="AY7044">
        <f t="shared" si="220"/>
        <v>43</v>
      </c>
      <c r="AZ7044">
        <f t="shared" si="221"/>
        <v>3</v>
      </c>
    </row>
    <row r="7045" spans="1:52" ht="55.2">
      <c r="A7045" s="3" t="s">
        <v>7089</v>
      </c>
      <c r="E7045">
        <v>9</v>
      </c>
      <c r="AT7045">
        <v>17</v>
      </c>
      <c r="AY7045">
        <f t="shared" si="220"/>
        <v>43</v>
      </c>
      <c r="AZ7045">
        <f t="shared" si="221"/>
        <v>3</v>
      </c>
    </row>
    <row r="7046" spans="1:52" ht="55.2">
      <c r="A7046" s="3" t="s">
        <v>7090</v>
      </c>
      <c r="E7046">
        <v>9</v>
      </c>
      <c r="AT7046">
        <v>17</v>
      </c>
      <c r="AY7046">
        <f t="shared" si="220"/>
        <v>43</v>
      </c>
      <c r="AZ7046">
        <f t="shared" si="221"/>
        <v>3</v>
      </c>
    </row>
    <row r="7047" spans="1:52" ht="55.2">
      <c r="A7047" s="3" t="s">
        <v>7091</v>
      </c>
      <c r="E7047">
        <v>9</v>
      </c>
      <c r="AT7047">
        <v>17</v>
      </c>
      <c r="AY7047">
        <f t="shared" si="220"/>
        <v>43</v>
      </c>
      <c r="AZ7047">
        <f t="shared" si="221"/>
        <v>3</v>
      </c>
    </row>
    <row r="7048" spans="1:52" ht="55.2">
      <c r="A7048" s="3" t="s">
        <v>7092</v>
      </c>
      <c r="E7048">
        <v>9</v>
      </c>
      <c r="AT7048">
        <v>17</v>
      </c>
      <c r="AY7048">
        <f t="shared" si="220"/>
        <v>43</v>
      </c>
      <c r="AZ7048">
        <f t="shared" si="221"/>
        <v>3</v>
      </c>
    </row>
    <row r="7049" spans="1:52" ht="55.2">
      <c r="A7049" s="3" t="s">
        <v>7093</v>
      </c>
      <c r="E7049">
        <v>9</v>
      </c>
      <c r="J7049">
        <v>78</v>
      </c>
      <c r="AY7049">
        <f t="shared" si="220"/>
        <v>43</v>
      </c>
      <c r="AZ7049">
        <f t="shared" si="221"/>
        <v>3</v>
      </c>
    </row>
    <row r="7050" spans="1:52" ht="55.2">
      <c r="A7050" s="3" t="s">
        <v>7094</v>
      </c>
      <c r="E7050">
        <v>9</v>
      </c>
      <c r="J7050">
        <v>78</v>
      </c>
      <c r="AY7050">
        <f t="shared" si="220"/>
        <v>43</v>
      </c>
      <c r="AZ7050">
        <f t="shared" si="221"/>
        <v>3</v>
      </c>
    </row>
    <row r="7051" spans="1:52" ht="55.2">
      <c r="A7051" s="3" t="s">
        <v>7095</v>
      </c>
      <c r="E7051">
        <v>9</v>
      </c>
      <c r="J7051">
        <v>78</v>
      </c>
      <c r="AY7051">
        <f t="shared" si="220"/>
        <v>43</v>
      </c>
      <c r="AZ7051">
        <f t="shared" si="221"/>
        <v>3</v>
      </c>
    </row>
    <row r="7052" spans="1:52" ht="55.2">
      <c r="A7052" s="3" t="s">
        <v>7096</v>
      </c>
      <c r="E7052">
        <v>9</v>
      </c>
      <c r="J7052">
        <v>78</v>
      </c>
      <c r="AY7052">
        <f t="shared" si="220"/>
        <v>43</v>
      </c>
      <c r="AZ7052">
        <f t="shared" si="221"/>
        <v>3</v>
      </c>
    </row>
    <row r="7053" spans="1:52" ht="55.2">
      <c r="A7053" s="3" t="s">
        <v>7097</v>
      </c>
      <c r="E7053">
        <v>9</v>
      </c>
      <c r="J7053">
        <v>78</v>
      </c>
      <c r="AY7053">
        <f t="shared" si="220"/>
        <v>43</v>
      </c>
      <c r="AZ7053">
        <f t="shared" si="221"/>
        <v>3</v>
      </c>
    </row>
    <row r="7054" spans="1:52" ht="55.2">
      <c r="A7054" s="3" t="s">
        <v>7098</v>
      </c>
      <c r="E7054">
        <v>9</v>
      </c>
      <c r="J7054">
        <v>78</v>
      </c>
      <c r="AY7054">
        <f t="shared" si="220"/>
        <v>43</v>
      </c>
      <c r="AZ7054">
        <f t="shared" si="221"/>
        <v>3</v>
      </c>
    </row>
    <row r="7055" spans="1:52" ht="55.2">
      <c r="A7055" s="3" t="s">
        <v>7099</v>
      </c>
      <c r="E7055">
        <v>9</v>
      </c>
      <c r="J7055">
        <v>78</v>
      </c>
      <c r="AY7055">
        <f t="shared" si="220"/>
        <v>43</v>
      </c>
      <c r="AZ7055">
        <f t="shared" si="221"/>
        <v>3</v>
      </c>
    </row>
    <row r="7056" spans="1:52" ht="55.2">
      <c r="A7056" s="3" t="s">
        <v>7100</v>
      </c>
      <c r="E7056">
        <v>9</v>
      </c>
      <c r="J7056">
        <v>78</v>
      </c>
      <c r="AY7056">
        <f t="shared" si="220"/>
        <v>43</v>
      </c>
      <c r="AZ7056">
        <f t="shared" si="221"/>
        <v>3</v>
      </c>
    </row>
    <row r="7057" spans="1:52" ht="55.2">
      <c r="A7057" s="3" t="s">
        <v>7101</v>
      </c>
      <c r="E7057">
        <v>9</v>
      </c>
      <c r="J7057">
        <v>78</v>
      </c>
      <c r="AY7057">
        <f t="shared" si="220"/>
        <v>43</v>
      </c>
      <c r="AZ7057">
        <f t="shared" si="221"/>
        <v>3</v>
      </c>
    </row>
    <row r="7058" spans="1:52" ht="55.2">
      <c r="A7058" s="3" t="s">
        <v>7102</v>
      </c>
      <c r="E7058">
        <v>9</v>
      </c>
      <c r="J7058">
        <v>78</v>
      </c>
      <c r="AY7058">
        <f t="shared" si="220"/>
        <v>43</v>
      </c>
      <c r="AZ7058">
        <f t="shared" si="221"/>
        <v>3</v>
      </c>
    </row>
    <row r="7059" spans="1:52" ht="55.2">
      <c r="A7059" s="3" t="s">
        <v>7103</v>
      </c>
      <c r="E7059">
        <v>9</v>
      </c>
      <c r="J7059">
        <v>78</v>
      </c>
      <c r="AY7059">
        <f t="shared" si="220"/>
        <v>43</v>
      </c>
      <c r="AZ7059">
        <f t="shared" si="221"/>
        <v>3</v>
      </c>
    </row>
    <row r="7060" spans="1:52" ht="55.2">
      <c r="A7060" s="3" t="s">
        <v>7104</v>
      </c>
      <c r="D7060">
        <v>8</v>
      </c>
      <c r="E7060">
        <v>9</v>
      </c>
      <c r="J7060">
        <v>78</v>
      </c>
      <c r="AY7060">
        <f t="shared" si="220"/>
        <v>43</v>
      </c>
      <c r="AZ7060">
        <f t="shared" si="221"/>
        <v>2</v>
      </c>
    </row>
    <row r="7061" spans="1:52" ht="55.2">
      <c r="A7061" s="3" t="s">
        <v>7105</v>
      </c>
      <c r="D7061">
        <v>8</v>
      </c>
      <c r="E7061">
        <v>9</v>
      </c>
      <c r="J7061">
        <v>78</v>
      </c>
      <c r="AY7061">
        <f t="shared" si="220"/>
        <v>43</v>
      </c>
      <c r="AZ7061">
        <f t="shared" si="221"/>
        <v>2</v>
      </c>
    </row>
    <row r="7062" spans="1:52" ht="55.2">
      <c r="A7062" s="3" t="s">
        <v>7106</v>
      </c>
      <c r="D7062">
        <v>8</v>
      </c>
      <c r="E7062">
        <v>9</v>
      </c>
      <c r="J7062">
        <v>78</v>
      </c>
      <c r="AY7062">
        <f t="shared" si="220"/>
        <v>43</v>
      </c>
      <c r="AZ7062">
        <f t="shared" si="221"/>
        <v>2</v>
      </c>
    </row>
    <row r="7063" spans="1:52" ht="55.2">
      <c r="A7063" s="3" t="s">
        <v>7107</v>
      </c>
      <c r="D7063">
        <v>8</v>
      </c>
      <c r="E7063">
        <v>9</v>
      </c>
      <c r="J7063">
        <v>78</v>
      </c>
      <c r="AY7063">
        <f t="shared" si="220"/>
        <v>43</v>
      </c>
      <c r="AZ7063">
        <f t="shared" si="221"/>
        <v>2</v>
      </c>
    </row>
    <row r="7064" spans="1:52" ht="55.2">
      <c r="A7064" s="3" t="s">
        <v>7108</v>
      </c>
      <c r="D7064">
        <v>8</v>
      </c>
      <c r="E7064">
        <v>9</v>
      </c>
      <c r="J7064">
        <v>78</v>
      </c>
      <c r="AY7064">
        <f t="shared" si="220"/>
        <v>43</v>
      </c>
      <c r="AZ7064">
        <f t="shared" si="221"/>
        <v>2</v>
      </c>
    </row>
    <row r="7065" spans="1:52" ht="55.2">
      <c r="A7065" s="3" t="s">
        <v>7109</v>
      </c>
      <c r="D7065">
        <v>8</v>
      </c>
      <c r="E7065">
        <v>9</v>
      </c>
      <c r="J7065">
        <v>78</v>
      </c>
      <c r="AY7065">
        <f t="shared" si="220"/>
        <v>43</v>
      </c>
      <c r="AZ7065">
        <f t="shared" si="221"/>
        <v>2</v>
      </c>
    </row>
    <row r="7066" spans="1:52" ht="55.2">
      <c r="A7066" s="3" t="s">
        <v>7110</v>
      </c>
      <c r="D7066">
        <v>8</v>
      </c>
      <c r="E7066">
        <v>9</v>
      </c>
      <c r="J7066">
        <v>78</v>
      </c>
      <c r="AY7066">
        <f t="shared" si="220"/>
        <v>43</v>
      </c>
      <c r="AZ7066">
        <f t="shared" si="221"/>
        <v>2</v>
      </c>
    </row>
    <row r="7067" spans="1:52" ht="55.2">
      <c r="A7067" s="3" t="s">
        <v>7111</v>
      </c>
      <c r="D7067">
        <v>8</v>
      </c>
      <c r="E7067">
        <v>9</v>
      </c>
      <c r="J7067">
        <v>78</v>
      </c>
      <c r="AY7067">
        <f t="shared" si="220"/>
        <v>43</v>
      </c>
      <c r="AZ7067">
        <f t="shared" si="221"/>
        <v>2</v>
      </c>
    </row>
    <row r="7068" spans="1:52" ht="55.2">
      <c r="A7068" s="3" t="s">
        <v>7112</v>
      </c>
      <c r="D7068">
        <v>8</v>
      </c>
      <c r="E7068">
        <v>9</v>
      </c>
      <c r="J7068">
        <v>78</v>
      </c>
      <c r="AY7068">
        <f t="shared" si="220"/>
        <v>43</v>
      </c>
      <c r="AZ7068">
        <f t="shared" si="221"/>
        <v>2</v>
      </c>
    </row>
    <row r="7069" spans="1:52" ht="55.2">
      <c r="A7069" s="3" t="s">
        <v>7113</v>
      </c>
      <c r="D7069">
        <v>8</v>
      </c>
      <c r="E7069">
        <v>9</v>
      </c>
      <c r="J7069">
        <v>78</v>
      </c>
      <c r="AY7069">
        <f t="shared" si="220"/>
        <v>43</v>
      </c>
      <c r="AZ7069">
        <f t="shared" si="221"/>
        <v>2</v>
      </c>
    </row>
    <row r="7070" spans="1:52" ht="55.2">
      <c r="A7070" s="3" t="s">
        <v>7114</v>
      </c>
      <c r="D7070">
        <v>8</v>
      </c>
      <c r="E7070">
        <v>9</v>
      </c>
      <c r="J7070">
        <v>78</v>
      </c>
      <c r="AY7070">
        <f t="shared" si="220"/>
        <v>43</v>
      </c>
      <c r="AZ7070">
        <f t="shared" si="221"/>
        <v>2</v>
      </c>
    </row>
    <row r="7071" spans="1:52" ht="55.2">
      <c r="A7071" s="3" t="s">
        <v>7115</v>
      </c>
      <c r="D7071">
        <v>8</v>
      </c>
      <c r="E7071">
        <v>9</v>
      </c>
      <c r="J7071">
        <v>78</v>
      </c>
      <c r="AY7071">
        <f t="shared" si="220"/>
        <v>43</v>
      </c>
      <c r="AZ7071">
        <f t="shared" si="221"/>
        <v>2</v>
      </c>
    </row>
    <row r="7072" spans="1:52" ht="55.2">
      <c r="A7072" s="3" t="s">
        <v>7116</v>
      </c>
      <c r="D7072">
        <v>8</v>
      </c>
      <c r="J7072">
        <v>78</v>
      </c>
      <c r="AY7072">
        <f t="shared" si="220"/>
        <v>43</v>
      </c>
      <c r="AZ7072">
        <f t="shared" si="221"/>
        <v>3</v>
      </c>
    </row>
    <row r="7073" spans="1:52" ht="55.2">
      <c r="A7073" s="3" t="s">
        <v>7117</v>
      </c>
      <c r="D7073">
        <v>8</v>
      </c>
      <c r="J7073">
        <v>78</v>
      </c>
      <c r="AY7073">
        <f t="shared" ref="AY7073:AY7136" si="222">COUNTBLANK(F7073:AW7073)</f>
        <v>43</v>
      </c>
      <c r="AZ7073">
        <f t="shared" ref="AZ7073:AZ7136" si="223">COUNTBLANK(B7073:E7073)</f>
        <v>3</v>
      </c>
    </row>
    <row r="7074" spans="1:52" ht="55.2">
      <c r="A7074" s="3" t="s">
        <v>7118</v>
      </c>
      <c r="D7074">
        <v>8</v>
      </c>
      <c r="J7074">
        <v>78</v>
      </c>
      <c r="AY7074">
        <f t="shared" si="222"/>
        <v>43</v>
      </c>
      <c r="AZ7074">
        <f t="shared" si="223"/>
        <v>3</v>
      </c>
    </row>
    <row r="7075" spans="1:52" ht="55.2">
      <c r="A7075" s="3" t="s">
        <v>7119</v>
      </c>
      <c r="D7075">
        <v>8</v>
      </c>
      <c r="J7075">
        <v>78</v>
      </c>
      <c r="AY7075">
        <f t="shared" si="222"/>
        <v>43</v>
      </c>
      <c r="AZ7075">
        <f t="shared" si="223"/>
        <v>3</v>
      </c>
    </row>
    <row r="7076" spans="1:52" ht="55.2">
      <c r="A7076" s="3" t="s">
        <v>7120</v>
      </c>
      <c r="D7076">
        <v>8</v>
      </c>
      <c r="J7076">
        <v>78</v>
      </c>
      <c r="AY7076">
        <f t="shared" si="222"/>
        <v>43</v>
      </c>
      <c r="AZ7076">
        <f t="shared" si="223"/>
        <v>3</v>
      </c>
    </row>
    <row r="7077" spans="1:52" ht="55.2">
      <c r="A7077" s="3" t="s">
        <v>7121</v>
      </c>
      <c r="D7077">
        <v>8</v>
      </c>
      <c r="J7077">
        <v>78</v>
      </c>
      <c r="AY7077">
        <f t="shared" si="222"/>
        <v>43</v>
      </c>
      <c r="AZ7077">
        <f t="shared" si="223"/>
        <v>3</v>
      </c>
    </row>
    <row r="7078" spans="1:52" ht="55.2">
      <c r="A7078" s="3" t="s">
        <v>7122</v>
      </c>
      <c r="D7078">
        <v>8</v>
      </c>
      <c r="J7078">
        <v>78</v>
      </c>
      <c r="AY7078">
        <f t="shared" si="222"/>
        <v>43</v>
      </c>
      <c r="AZ7078">
        <f t="shared" si="223"/>
        <v>3</v>
      </c>
    </row>
    <row r="7079" spans="1:52" ht="55.2">
      <c r="A7079" s="3" t="s">
        <v>7123</v>
      </c>
      <c r="D7079">
        <v>8</v>
      </c>
      <c r="J7079">
        <v>78</v>
      </c>
      <c r="AY7079">
        <f t="shared" si="222"/>
        <v>43</v>
      </c>
      <c r="AZ7079">
        <f t="shared" si="223"/>
        <v>3</v>
      </c>
    </row>
    <row r="7080" spans="1:52" ht="55.2">
      <c r="A7080" s="3" t="s">
        <v>7124</v>
      </c>
      <c r="D7080">
        <v>8</v>
      </c>
      <c r="J7080">
        <v>78</v>
      </c>
      <c r="AY7080">
        <f t="shared" si="222"/>
        <v>43</v>
      </c>
      <c r="AZ7080">
        <f t="shared" si="223"/>
        <v>3</v>
      </c>
    </row>
    <row r="7081" spans="1:52" ht="55.2">
      <c r="A7081" s="3" t="s">
        <v>7125</v>
      </c>
      <c r="D7081">
        <v>8</v>
      </c>
      <c r="J7081">
        <v>78</v>
      </c>
      <c r="AY7081">
        <f t="shared" si="222"/>
        <v>43</v>
      </c>
      <c r="AZ7081">
        <f t="shared" si="223"/>
        <v>3</v>
      </c>
    </row>
    <row r="7082" spans="1:52" ht="55.2">
      <c r="A7082" s="3" t="s">
        <v>7126</v>
      </c>
      <c r="D7082">
        <v>8</v>
      </c>
      <c r="J7082">
        <v>78</v>
      </c>
      <c r="AY7082">
        <f t="shared" si="222"/>
        <v>43</v>
      </c>
      <c r="AZ7082">
        <f t="shared" si="223"/>
        <v>3</v>
      </c>
    </row>
    <row r="7083" spans="1:52" ht="55.2">
      <c r="A7083" s="3" t="s">
        <v>7127</v>
      </c>
      <c r="D7083">
        <v>8</v>
      </c>
      <c r="J7083">
        <v>78</v>
      </c>
      <c r="AY7083">
        <f t="shared" si="222"/>
        <v>43</v>
      </c>
      <c r="AZ7083">
        <f t="shared" si="223"/>
        <v>3</v>
      </c>
    </row>
    <row r="7084" spans="1:52" ht="55.2">
      <c r="A7084" s="3" t="s">
        <v>7128</v>
      </c>
      <c r="D7084">
        <v>8</v>
      </c>
      <c r="J7084">
        <v>78</v>
      </c>
      <c r="AY7084">
        <f t="shared" si="222"/>
        <v>43</v>
      </c>
      <c r="AZ7084">
        <f t="shared" si="223"/>
        <v>3</v>
      </c>
    </row>
    <row r="7085" spans="1:52" ht="55.2">
      <c r="A7085" s="3" t="s">
        <v>7129</v>
      </c>
      <c r="D7085">
        <v>8</v>
      </c>
      <c r="J7085">
        <v>78</v>
      </c>
      <c r="AY7085">
        <f t="shared" si="222"/>
        <v>43</v>
      </c>
      <c r="AZ7085">
        <f t="shared" si="223"/>
        <v>3</v>
      </c>
    </row>
    <row r="7086" spans="1:52" ht="55.2">
      <c r="A7086" s="3" t="s">
        <v>7130</v>
      </c>
      <c r="D7086">
        <v>8</v>
      </c>
      <c r="J7086">
        <v>78</v>
      </c>
      <c r="AY7086">
        <f t="shared" si="222"/>
        <v>43</v>
      </c>
      <c r="AZ7086">
        <f t="shared" si="223"/>
        <v>3</v>
      </c>
    </row>
    <row r="7087" spans="1:52" ht="55.2">
      <c r="A7087" s="3" t="s">
        <v>7131</v>
      </c>
      <c r="D7087">
        <v>8</v>
      </c>
      <c r="J7087">
        <v>78</v>
      </c>
      <c r="AY7087">
        <f t="shared" si="222"/>
        <v>43</v>
      </c>
      <c r="AZ7087">
        <f t="shared" si="223"/>
        <v>3</v>
      </c>
    </row>
    <row r="7088" spans="1:52" ht="55.2">
      <c r="A7088" s="3" t="s">
        <v>7132</v>
      </c>
      <c r="D7088">
        <v>8</v>
      </c>
      <c r="J7088">
        <v>78</v>
      </c>
      <c r="AY7088">
        <f t="shared" si="222"/>
        <v>43</v>
      </c>
      <c r="AZ7088">
        <f t="shared" si="223"/>
        <v>3</v>
      </c>
    </row>
    <row r="7089" spans="1:52" ht="55.2">
      <c r="A7089" s="3" t="s">
        <v>7133</v>
      </c>
      <c r="D7089">
        <v>8</v>
      </c>
      <c r="AB7089">
        <v>5</v>
      </c>
      <c r="AY7089">
        <f t="shared" si="222"/>
        <v>43</v>
      </c>
      <c r="AZ7089">
        <f t="shared" si="223"/>
        <v>3</v>
      </c>
    </row>
    <row r="7090" spans="1:52" ht="55.2">
      <c r="A7090" s="3" t="s">
        <v>7134</v>
      </c>
      <c r="D7090">
        <v>8</v>
      </c>
      <c r="AB7090">
        <v>5</v>
      </c>
      <c r="AY7090">
        <f t="shared" si="222"/>
        <v>43</v>
      </c>
      <c r="AZ7090">
        <f t="shared" si="223"/>
        <v>3</v>
      </c>
    </row>
    <row r="7091" spans="1:52" ht="55.2">
      <c r="A7091" s="3" t="s">
        <v>7135</v>
      </c>
      <c r="D7091">
        <v>8</v>
      </c>
      <c r="AB7091">
        <v>5</v>
      </c>
      <c r="AY7091">
        <f t="shared" si="222"/>
        <v>43</v>
      </c>
      <c r="AZ7091">
        <f t="shared" si="223"/>
        <v>3</v>
      </c>
    </row>
    <row r="7092" spans="1:52" ht="55.2">
      <c r="A7092" s="3" t="s">
        <v>7136</v>
      </c>
      <c r="D7092">
        <v>8</v>
      </c>
      <c r="AB7092">
        <v>5</v>
      </c>
      <c r="AY7092">
        <f t="shared" si="222"/>
        <v>43</v>
      </c>
      <c r="AZ7092">
        <f t="shared" si="223"/>
        <v>3</v>
      </c>
    </row>
    <row r="7093" spans="1:52" ht="55.2">
      <c r="A7093" s="3" t="s">
        <v>7137</v>
      </c>
      <c r="D7093">
        <v>8</v>
      </c>
      <c r="AB7093">
        <v>5</v>
      </c>
      <c r="AY7093">
        <f t="shared" si="222"/>
        <v>43</v>
      </c>
      <c r="AZ7093">
        <f t="shared" si="223"/>
        <v>3</v>
      </c>
    </row>
    <row r="7094" spans="1:52" ht="55.2">
      <c r="A7094" s="3" t="s">
        <v>7138</v>
      </c>
      <c r="D7094">
        <v>8</v>
      </c>
      <c r="AB7094">
        <v>5</v>
      </c>
      <c r="AY7094">
        <f t="shared" si="222"/>
        <v>43</v>
      </c>
      <c r="AZ7094">
        <f t="shared" si="223"/>
        <v>3</v>
      </c>
    </row>
    <row r="7095" spans="1:52" ht="55.2">
      <c r="A7095" s="3" t="s">
        <v>7139</v>
      </c>
      <c r="D7095">
        <v>8</v>
      </c>
      <c r="AB7095">
        <v>5</v>
      </c>
      <c r="AY7095">
        <f t="shared" si="222"/>
        <v>43</v>
      </c>
      <c r="AZ7095">
        <f t="shared" si="223"/>
        <v>3</v>
      </c>
    </row>
    <row r="7096" spans="1:52" ht="55.2">
      <c r="A7096" s="3" t="s">
        <v>7140</v>
      </c>
      <c r="D7096">
        <v>8</v>
      </c>
      <c r="AB7096">
        <v>5</v>
      </c>
      <c r="AY7096">
        <f t="shared" si="222"/>
        <v>43</v>
      </c>
      <c r="AZ7096">
        <f t="shared" si="223"/>
        <v>3</v>
      </c>
    </row>
    <row r="7097" spans="1:52" ht="55.2">
      <c r="A7097" s="3" t="s">
        <v>7141</v>
      </c>
      <c r="D7097">
        <v>8</v>
      </c>
      <c r="J7097">
        <v>79</v>
      </c>
      <c r="AY7097">
        <f t="shared" si="222"/>
        <v>43</v>
      </c>
      <c r="AZ7097">
        <f t="shared" si="223"/>
        <v>3</v>
      </c>
    </row>
    <row r="7098" spans="1:52" ht="55.2">
      <c r="A7098" s="3" t="s">
        <v>7142</v>
      </c>
      <c r="D7098">
        <v>8</v>
      </c>
      <c r="J7098">
        <v>79</v>
      </c>
      <c r="AY7098">
        <f t="shared" si="222"/>
        <v>43</v>
      </c>
      <c r="AZ7098">
        <f t="shared" si="223"/>
        <v>3</v>
      </c>
    </row>
    <row r="7099" spans="1:52" ht="55.2">
      <c r="A7099" s="3" t="s">
        <v>7143</v>
      </c>
      <c r="D7099">
        <v>8</v>
      </c>
      <c r="J7099">
        <v>79</v>
      </c>
      <c r="AY7099">
        <f t="shared" si="222"/>
        <v>43</v>
      </c>
      <c r="AZ7099">
        <f t="shared" si="223"/>
        <v>3</v>
      </c>
    </row>
    <row r="7100" spans="1:52" ht="55.2">
      <c r="A7100" s="3" t="s">
        <v>7144</v>
      </c>
      <c r="D7100">
        <v>8</v>
      </c>
      <c r="J7100">
        <v>79</v>
      </c>
      <c r="AY7100">
        <f t="shared" si="222"/>
        <v>43</v>
      </c>
      <c r="AZ7100">
        <f t="shared" si="223"/>
        <v>3</v>
      </c>
    </row>
    <row r="7101" spans="1:52" ht="55.2">
      <c r="A7101" s="3" t="s">
        <v>7145</v>
      </c>
      <c r="D7101">
        <v>8</v>
      </c>
      <c r="J7101">
        <v>79</v>
      </c>
      <c r="AY7101">
        <f t="shared" si="222"/>
        <v>43</v>
      </c>
      <c r="AZ7101">
        <f t="shared" si="223"/>
        <v>3</v>
      </c>
    </row>
    <row r="7102" spans="1:52" ht="55.2">
      <c r="A7102" s="3" t="s">
        <v>7146</v>
      </c>
      <c r="D7102">
        <v>8</v>
      </c>
      <c r="J7102">
        <v>79</v>
      </c>
      <c r="AY7102">
        <f t="shared" si="222"/>
        <v>43</v>
      </c>
      <c r="AZ7102">
        <f t="shared" si="223"/>
        <v>3</v>
      </c>
    </row>
    <row r="7103" spans="1:52" ht="55.2">
      <c r="A7103" s="3" t="s">
        <v>7147</v>
      </c>
      <c r="D7103">
        <v>8</v>
      </c>
      <c r="J7103">
        <v>79</v>
      </c>
      <c r="AY7103">
        <f t="shared" si="222"/>
        <v>43</v>
      </c>
      <c r="AZ7103">
        <f t="shared" si="223"/>
        <v>3</v>
      </c>
    </row>
    <row r="7104" spans="1:52" ht="55.2">
      <c r="A7104" s="3" t="s">
        <v>7148</v>
      </c>
      <c r="D7104">
        <v>8</v>
      </c>
      <c r="J7104">
        <v>79</v>
      </c>
      <c r="AY7104">
        <f t="shared" si="222"/>
        <v>43</v>
      </c>
      <c r="AZ7104">
        <f t="shared" si="223"/>
        <v>3</v>
      </c>
    </row>
    <row r="7105" spans="1:52" ht="55.2">
      <c r="A7105" s="3" t="s">
        <v>7149</v>
      </c>
      <c r="D7105">
        <v>8</v>
      </c>
      <c r="J7105">
        <v>79</v>
      </c>
      <c r="AY7105">
        <f t="shared" si="222"/>
        <v>43</v>
      </c>
      <c r="AZ7105">
        <f t="shared" si="223"/>
        <v>3</v>
      </c>
    </row>
    <row r="7106" spans="1:52" ht="55.2">
      <c r="A7106" s="3" t="s">
        <v>7150</v>
      </c>
      <c r="D7106">
        <v>8</v>
      </c>
      <c r="J7106">
        <v>79</v>
      </c>
      <c r="AY7106">
        <f t="shared" si="222"/>
        <v>43</v>
      </c>
      <c r="AZ7106">
        <f t="shared" si="223"/>
        <v>3</v>
      </c>
    </row>
    <row r="7107" spans="1:52" ht="55.2">
      <c r="A7107" s="3" t="s">
        <v>7151</v>
      </c>
      <c r="D7107">
        <v>8</v>
      </c>
      <c r="J7107">
        <v>79</v>
      </c>
      <c r="AY7107">
        <f t="shared" si="222"/>
        <v>43</v>
      </c>
      <c r="AZ7107">
        <f t="shared" si="223"/>
        <v>3</v>
      </c>
    </row>
    <row r="7108" spans="1:52" ht="55.2">
      <c r="A7108" s="3" t="s">
        <v>7152</v>
      </c>
      <c r="D7108">
        <v>8</v>
      </c>
      <c r="J7108">
        <v>79</v>
      </c>
      <c r="AY7108">
        <f t="shared" si="222"/>
        <v>43</v>
      </c>
      <c r="AZ7108">
        <f t="shared" si="223"/>
        <v>3</v>
      </c>
    </row>
    <row r="7109" spans="1:52" ht="55.2">
      <c r="A7109" s="3" t="s">
        <v>7153</v>
      </c>
      <c r="D7109">
        <v>8</v>
      </c>
      <c r="J7109">
        <v>79</v>
      </c>
      <c r="AY7109">
        <f t="shared" si="222"/>
        <v>43</v>
      </c>
      <c r="AZ7109">
        <f t="shared" si="223"/>
        <v>3</v>
      </c>
    </row>
    <row r="7110" spans="1:52" ht="55.2">
      <c r="A7110" s="3" t="s">
        <v>7154</v>
      </c>
      <c r="C7110">
        <v>9</v>
      </c>
      <c r="D7110">
        <v>8</v>
      </c>
      <c r="J7110">
        <v>79</v>
      </c>
      <c r="AY7110">
        <f t="shared" si="222"/>
        <v>43</v>
      </c>
      <c r="AZ7110">
        <f t="shared" si="223"/>
        <v>2</v>
      </c>
    </row>
    <row r="7111" spans="1:52" ht="55.2">
      <c r="A7111" s="3" t="s">
        <v>7155</v>
      </c>
      <c r="C7111">
        <v>9</v>
      </c>
      <c r="D7111">
        <v>8</v>
      </c>
      <c r="J7111">
        <v>79</v>
      </c>
      <c r="AY7111">
        <f t="shared" si="222"/>
        <v>43</v>
      </c>
      <c r="AZ7111">
        <f t="shared" si="223"/>
        <v>2</v>
      </c>
    </row>
    <row r="7112" spans="1:52" ht="55.2">
      <c r="A7112" s="3" t="s">
        <v>7156</v>
      </c>
      <c r="C7112">
        <v>9</v>
      </c>
      <c r="D7112">
        <v>8</v>
      </c>
      <c r="J7112">
        <v>79</v>
      </c>
      <c r="AY7112">
        <f t="shared" si="222"/>
        <v>43</v>
      </c>
      <c r="AZ7112">
        <f t="shared" si="223"/>
        <v>2</v>
      </c>
    </row>
    <row r="7113" spans="1:52" ht="55.2">
      <c r="A7113" s="3" t="s">
        <v>7157</v>
      </c>
      <c r="C7113">
        <v>9</v>
      </c>
      <c r="D7113">
        <v>8</v>
      </c>
      <c r="J7113">
        <v>79</v>
      </c>
      <c r="AY7113">
        <f t="shared" si="222"/>
        <v>43</v>
      </c>
      <c r="AZ7113">
        <f t="shared" si="223"/>
        <v>2</v>
      </c>
    </row>
    <row r="7114" spans="1:52" ht="55.2">
      <c r="A7114" s="3" t="s">
        <v>7158</v>
      </c>
      <c r="C7114">
        <v>9</v>
      </c>
      <c r="D7114">
        <v>8</v>
      </c>
      <c r="J7114">
        <v>79</v>
      </c>
      <c r="AY7114">
        <f t="shared" si="222"/>
        <v>43</v>
      </c>
      <c r="AZ7114">
        <f t="shared" si="223"/>
        <v>2</v>
      </c>
    </row>
    <row r="7115" spans="1:52" ht="55.2">
      <c r="A7115" s="3" t="s">
        <v>7159</v>
      </c>
      <c r="C7115">
        <v>9</v>
      </c>
      <c r="J7115">
        <v>79</v>
      </c>
      <c r="AY7115">
        <f t="shared" si="222"/>
        <v>43</v>
      </c>
      <c r="AZ7115">
        <f t="shared" si="223"/>
        <v>3</v>
      </c>
    </row>
    <row r="7116" spans="1:52" ht="55.2">
      <c r="A7116" s="3" t="s">
        <v>7160</v>
      </c>
      <c r="C7116">
        <v>9</v>
      </c>
      <c r="J7116">
        <v>79</v>
      </c>
      <c r="AY7116">
        <f t="shared" si="222"/>
        <v>43</v>
      </c>
      <c r="AZ7116">
        <f t="shared" si="223"/>
        <v>3</v>
      </c>
    </row>
    <row r="7117" spans="1:52" ht="55.2">
      <c r="A7117" s="3" t="s">
        <v>7161</v>
      </c>
      <c r="C7117">
        <v>9</v>
      </c>
      <c r="J7117">
        <v>79</v>
      </c>
      <c r="AY7117">
        <f t="shared" si="222"/>
        <v>43</v>
      </c>
      <c r="AZ7117">
        <f t="shared" si="223"/>
        <v>3</v>
      </c>
    </row>
    <row r="7118" spans="1:52" ht="55.2">
      <c r="A7118" s="3" t="s">
        <v>7162</v>
      </c>
      <c r="C7118">
        <v>9</v>
      </c>
      <c r="X7118">
        <v>3</v>
      </c>
      <c r="AY7118">
        <f t="shared" si="222"/>
        <v>43</v>
      </c>
      <c r="AZ7118">
        <f t="shared" si="223"/>
        <v>3</v>
      </c>
    </row>
    <row r="7119" spans="1:52" ht="55.2">
      <c r="A7119" s="3" t="s">
        <v>7163</v>
      </c>
      <c r="C7119">
        <v>9</v>
      </c>
      <c r="X7119">
        <v>3</v>
      </c>
      <c r="AY7119">
        <f t="shared" si="222"/>
        <v>43</v>
      </c>
      <c r="AZ7119">
        <f t="shared" si="223"/>
        <v>3</v>
      </c>
    </row>
    <row r="7120" spans="1:52" ht="55.2">
      <c r="A7120" s="3" t="s">
        <v>7164</v>
      </c>
      <c r="C7120">
        <v>9</v>
      </c>
      <c r="X7120">
        <v>3</v>
      </c>
      <c r="AY7120">
        <f t="shared" si="222"/>
        <v>43</v>
      </c>
      <c r="AZ7120">
        <f t="shared" si="223"/>
        <v>3</v>
      </c>
    </row>
    <row r="7121" spans="1:52" ht="55.2">
      <c r="A7121" s="3" t="s">
        <v>7165</v>
      </c>
      <c r="C7121">
        <v>9</v>
      </c>
      <c r="X7121">
        <v>3</v>
      </c>
      <c r="AY7121">
        <f t="shared" si="222"/>
        <v>43</v>
      </c>
      <c r="AZ7121">
        <f t="shared" si="223"/>
        <v>3</v>
      </c>
    </row>
    <row r="7122" spans="1:52" ht="55.2">
      <c r="A7122" s="3" t="s">
        <v>7166</v>
      </c>
      <c r="C7122">
        <v>9</v>
      </c>
      <c r="X7122">
        <v>3</v>
      </c>
      <c r="AY7122">
        <f t="shared" si="222"/>
        <v>43</v>
      </c>
      <c r="AZ7122">
        <f t="shared" si="223"/>
        <v>3</v>
      </c>
    </row>
    <row r="7123" spans="1:52" ht="55.2">
      <c r="A7123" s="3" t="s">
        <v>7167</v>
      </c>
      <c r="C7123">
        <v>9</v>
      </c>
      <c r="X7123">
        <v>3</v>
      </c>
      <c r="AY7123">
        <f t="shared" si="222"/>
        <v>43</v>
      </c>
      <c r="AZ7123">
        <f t="shared" si="223"/>
        <v>3</v>
      </c>
    </row>
    <row r="7124" spans="1:52" ht="55.2">
      <c r="A7124" s="3" t="s">
        <v>7168</v>
      </c>
      <c r="C7124">
        <v>9</v>
      </c>
      <c r="X7124">
        <v>3</v>
      </c>
      <c r="AY7124">
        <f t="shared" si="222"/>
        <v>43</v>
      </c>
      <c r="AZ7124">
        <f t="shared" si="223"/>
        <v>3</v>
      </c>
    </row>
    <row r="7125" spans="1:52" ht="55.2">
      <c r="A7125" s="3" t="s">
        <v>7169</v>
      </c>
      <c r="C7125">
        <v>9</v>
      </c>
      <c r="X7125">
        <v>3</v>
      </c>
      <c r="AY7125">
        <f t="shared" si="222"/>
        <v>43</v>
      </c>
      <c r="AZ7125">
        <f t="shared" si="223"/>
        <v>3</v>
      </c>
    </row>
    <row r="7126" spans="1:52" ht="55.2">
      <c r="A7126" s="3" t="s">
        <v>7170</v>
      </c>
      <c r="C7126">
        <v>9</v>
      </c>
      <c r="X7126">
        <v>3</v>
      </c>
      <c r="AY7126">
        <f t="shared" si="222"/>
        <v>43</v>
      </c>
      <c r="AZ7126">
        <f t="shared" si="223"/>
        <v>3</v>
      </c>
    </row>
    <row r="7127" spans="1:52" ht="55.2">
      <c r="A7127" s="3" t="s">
        <v>7171</v>
      </c>
      <c r="C7127">
        <v>9</v>
      </c>
      <c r="X7127">
        <v>3</v>
      </c>
      <c r="AY7127">
        <f t="shared" si="222"/>
        <v>43</v>
      </c>
      <c r="AZ7127">
        <f t="shared" si="223"/>
        <v>3</v>
      </c>
    </row>
    <row r="7128" spans="1:52" ht="55.2">
      <c r="A7128" s="3" t="s">
        <v>7172</v>
      </c>
      <c r="C7128">
        <v>9</v>
      </c>
      <c r="X7128">
        <v>3</v>
      </c>
      <c r="AY7128">
        <f t="shared" si="222"/>
        <v>43</v>
      </c>
      <c r="AZ7128">
        <f t="shared" si="223"/>
        <v>3</v>
      </c>
    </row>
    <row r="7129" spans="1:52" ht="55.2">
      <c r="A7129" s="3" t="s">
        <v>7173</v>
      </c>
      <c r="C7129">
        <v>9</v>
      </c>
      <c r="X7129">
        <v>3</v>
      </c>
      <c r="AY7129">
        <f t="shared" si="222"/>
        <v>43</v>
      </c>
      <c r="AZ7129">
        <f t="shared" si="223"/>
        <v>3</v>
      </c>
    </row>
    <row r="7130" spans="1:52" ht="55.2">
      <c r="A7130" s="3" t="s">
        <v>7174</v>
      </c>
      <c r="C7130">
        <v>9</v>
      </c>
      <c r="X7130">
        <v>3</v>
      </c>
      <c r="AY7130">
        <f t="shared" si="222"/>
        <v>43</v>
      </c>
      <c r="AZ7130">
        <f t="shared" si="223"/>
        <v>3</v>
      </c>
    </row>
    <row r="7131" spans="1:52" ht="55.2">
      <c r="A7131" s="3" t="s">
        <v>7175</v>
      </c>
      <c r="C7131">
        <v>9</v>
      </c>
      <c r="X7131">
        <v>3</v>
      </c>
      <c r="AY7131">
        <f t="shared" si="222"/>
        <v>43</v>
      </c>
      <c r="AZ7131">
        <f t="shared" si="223"/>
        <v>3</v>
      </c>
    </row>
    <row r="7132" spans="1:52" ht="55.2">
      <c r="A7132" s="3" t="s">
        <v>7176</v>
      </c>
      <c r="C7132">
        <v>9</v>
      </c>
      <c r="J7132">
        <v>80</v>
      </c>
      <c r="AY7132">
        <f t="shared" si="222"/>
        <v>43</v>
      </c>
      <c r="AZ7132">
        <f t="shared" si="223"/>
        <v>3</v>
      </c>
    </row>
    <row r="7133" spans="1:52" ht="55.2">
      <c r="A7133" s="3" t="s">
        <v>7177</v>
      </c>
      <c r="C7133">
        <v>9</v>
      </c>
      <c r="J7133">
        <v>80</v>
      </c>
      <c r="AY7133">
        <f t="shared" si="222"/>
        <v>43</v>
      </c>
      <c r="AZ7133">
        <f t="shared" si="223"/>
        <v>3</v>
      </c>
    </row>
    <row r="7134" spans="1:52" ht="55.2">
      <c r="A7134" s="3" t="s">
        <v>7178</v>
      </c>
      <c r="C7134">
        <v>9</v>
      </c>
      <c r="J7134">
        <v>80</v>
      </c>
      <c r="AY7134">
        <f t="shared" si="222"/>
        <v>43</v>
      </c>
      <c r="AZ7134">
        <f t="shared" si="223"/>
        <v>3</v>
      </c>
    </row>
    <row r="7135" spans="1:52" ht="55.2">
      <c r="A7135" s="3" t="s">
        <v>7179</v>
      </c>
      <c r="C7135">
        <v>9</v>
      </c>
      <c r="J7135">
        <v>80</v>
      </c>
      <c r="AY7135">
        <f t="shared" si="222"/>
        <v>43</v>
      </c>
      <c r="AZ7135">
        <f t="shared" si="223"/>
        <v>3</v>
      </c>
    </row>
    <row r="7136" spans="1:52" ht="55.2">
      <c r="A7136" s="3" t="s">
        <v>7180</v>
      </c>
      <c r="C7136">
        <v>9</v>
      </c>
      <c r="J7136">
        <v>80</v>
      </c>
      <c r="AY7136">
        <f t="shared" si="222"/>
        <v>43</v>
      </c>
      <c r="AZ7136">
        <f t="shared" si="223"/>
        <v>3</v>
      </c>
    </row>
    <row r="7137" spans="1:52" ht="55.2">
      <c r="A7137" s="3" t="s">
        <v>7181</v>
      </c>
      <c r="C7137">
        <v>9</v>
      </c>
      <c r="J7137">
        <v>80</v>
      </c>
      <c r="AY7137">
        <f t="shared" ref="AY7137:AY7200" si="224">COUNTBLANK(F7137:AW7137)</f>
        <v>43</v>
      </c>
      <c r="AZ7137">
        <f t="shared" ref="AZ7137:AZ7200" si="225">COUNTBLANK(B7137:E7137)</f>
        <v>3</v>
      </c>
    </row>
    <row r="7138" spans="1:52" ht="55.2">
      <c r="A7138" s="3" t="s">
        <v>7182</v>
      </c>
      <c r="C7138">
        <v>9</v>
      </c>
      <c r="J7138">
        <v>80</v>
      </c>
      <c r="AY7138">
        <f t="shared" si="224"/>
        <v>43</v>
      </c>
      <c r="AZ7138">
        <f t="shared" si="225"/>
        <v>3</v>
      </c>
    </row>
    <row r="7139" spans="1:52" ht="55.2">
      <c r="A7139" s="3" t="s">
        <v>7183</v>
      </c>
      <c r="C7139">
        <v>9</v>
      </c>
      <c r="J7139">
        <v>80</v>
      </c>
      <c r="AY7139">
        <f t="shared" si="224"/>
        <v>43</v>
      </c>
      <c r="AZ7139">
        <f t="shared" si="225"/>
        <v>3</v>
      </c>
    </row>
    <row r="7140" spans="1:52" ht="55.2">
      <c r="A7140" s="3" t="s">
        <v>7184</v>
      </c>
      <c r="C7140">
        <v>9</v>
      </c>
      <c r="J7140">
        <v>80</v>
      </c>
      <c r="AY7140">
        <f t="shared" si="224"/>
        <v>43</v>
      </c>
      <c r="AZ7140">
        <f t="shared" si="225"/>
        <v>3</v>
      </c>
    </row>
    <row r="7141" spans="1:52" ht="55.2">
      <c r="A7141" s="3" t="s">
        <v>7185</v>
      </c>
      <c r="C7141">
        <v>9</v>
      </c>
      <c r="J7141">
        <v>80</v>
      </c>
      <c r="AY7141">
        <f t="shared" si="224"/>
        <v>43</v>
      </c>
      <c r="AZ7141">
        <f t="shared" si="225"/>
        <v>3</v>
      </c>
    </row>
    <row r="7142" spans="1:52" ht="55.2">
      <c r="A7142" s="3" t="s">
        <v>7186</v>
      </c>
      <c r="C7142">
        <v>9</v>
      </c>
      <c r="J7142">
        <v>80</v>
      </c>
      <c r="AY7142">
        <f t="shared" si="224"/>
        <v>43</v>
      </c>
      <c r="AZ7142">
        <f t="shared" si="225"/>
        <v>3</v>
      </c>
    </row>
    <row r="7143" spans="1:52" ht="55.2">
      <c r="A7143" s="3" t="s">
        <v>7187</v>
      </c>
      <c r="C7143">
        <v>9</v>
      </c>
      <c r="J7143">
        <v>80</v>
      </c>
      <c r="AY7143">
        <f t="shared" si="224"/>
        <v>43</v>
      </c>
      <c r="AZ7143">
        <f t="shared" si="225"/>
        <v>3</v>
      </c>
    </row>
    <row r="7144" spans="1:52" ht="55.2">
      <c r="A7144" s="3" t="s">
        <v>7188</v>
      </c>
      <c r="C7144">
        <v>9</v>
      </c>
      <c r="J7144">
        <v>80</v>
      </c>
      <c r="AY7144">
        <f t="shared" si="224"/>
        <v>43</v>
      </c>
      <c r="AZ7144">
        <f t="shared" si="225"/>
        <v>3</v>
      </c>
    </row>
    <row r="7145" spans="1:52" ht="55.2">
      <c r="A7145" s="3" t="s">
        <v>7189</v>
      </c>
      <c r="C7145">
        <v>9</v>
      </c>
      <c r="J7145">
        <v>80</v>
      </c>
      <c r="AY7145">
        <f t="shared" si="224"/>
        <v>43</v>
      </c>
      <c r="AZ7145">
        <f t="shared" si="225"/>
        <v>3</v>
      </c>
    </row>
    <row r="7146" spans="1:52" ht="55.2">
      <c r="A7146" s="3" t="s">
        <v>7190</v>
      </c>
      <c r="C7146">
        <v>9</v>
      </c>
      <c r="J7146">
        <v>80</v>
      </c>
      <c r="AY7146">
        <f t="shared" si="224"/>
        <v>43</v>
      </c>
      <c r="AZ7146">
        <f t="shared" si="225"/>
        <v>3</v>
      </c>
    </row>
    <row r="7147" spans="1:52" ht="55.2">
      <c r="A7147" s="3" t="s">
        <v>7191</v>
      </c>
      <c r="C7147">
        <v>9</v>
      </c>
      <c r="J7147">
        <v>80</v>
      </c>
      <c r="AY7147">
        <f t="shared" si="224"/>
        <v>43</v>
      </c>
      <c r="AZ7147">
        <f t="shared" si="225"/>
        <v>3</v>
      </c>
    </row>
    <row r="7148" spans="1:52" ht="55.2">
      <c r="A7148" s="3" t="s">
        <v>7192</v>
      </c>
      <c r="C7148">
        <v>9</v>
      </c>
      <c r="J7148">
        <v>80</v>
      </c>
      <c r="AY7148">
        <f t="shared" si="224"/>
        <v>43</v>
      </c>
      <c r="AZ7148">
        <f t="shared" si="225"/>
        <v>3</v>
      </c>
    </row>
    <row r="7149" spans="1:52" ht="55.2">
      <c r="A7149" s="3" t="s">
        <v>7193</v>
      </c>
      <c r="C7149">
        <v>9</v>
      </c>
      <c r="J7149">
        <v>80</v>
      </c>
      <c r="AY7149">
        <f t="shared" si="224"/>
        <v>43</v>
      </c>
      <c r="AZ7149">
        <f t="shared" si="225"/>
        <v>3</v>
      </c>
    </row>
    <row r="7150" spans="1:52" ht="55.2">
      <c r="A7150" s="3" t="s">
        <v>7194</v>
      </c>
      <c r="C7150">
        <v>9</v>
      </c>
      <c r="J7150">
        <v>80</v>
      </c>
      <c r="AY7150">
        <f t="shared" si="224"/>
        <v>43</v>
      </c>
      <c r="AZ7150">
        <f t="shared" si="225"/>
        <v>3</v>
      </c>
    </row>
    <row r="7151" spans="1:52" ht="55.2">
      <c r="A7151" s="3" t="s">
        <v>7195</v>
      </c>
      <c r="C7151">
        <v>9</v>
      </c>
      <c r="J7151">
        <v>80</v>
      </c>
      <c r="AY7151">
        <f t="shared" si="224"/>
        <v>43</v>
      </c>
      <c r="AZ7151">
        <f t="shared" si="225"/>
        <v>3</v>
      </c>
    </row>
    <row r="7152" spans="1:52" ht="55.2">
      <c r="A7152" s="3" t="s">
        <v>7196</v>
      </c>
      <c r="C7152">
        <v>9</v>
      </c>
      <c r="J7152">
        <v>80</v>
      </c>
      <c r="AY7152">
        <f t="shared" si="224"/>
        <v>43</v>
      </c>
      <c r="AZ7152">
        <f t="shared" si="225"/>
        <v>3</v>
      </c>
    </row>
    <row r="7153" spans="1:52" ht="55.2">
      <c r="A7153" s="3" t="s">
        <v>7197</v>
      </c>
      <c r="C7153">
        <v>9</v>
      </c>
      <c r="J7153">
        <v>80</v>
      </c>
      <c r="AY7153">
        <f t="shared" si="224"/>
        <v>43</v>
      </c>
      <c r="AZ7153">
        <f t="shared" si="225"/>
        <v>3</v>
      </c>
    </row>
    <row r="7154" spans="1:52" ht="55.2">
      <c r="A7154" s="3" t="s">
        <v>7198</v>
      </c>
      <c r="C7154">
        <v>9</v>
      </c>
      <c r="J7154">
        <v>80</v>
      </c>
      <c r="AY7154">
        <f t="shared" si="224"/>
        <v>43</v>
      </c>
      <c r="AZ7154">
        <f t="shared" si="225"/>
        <v>3</v>
      </c>
    </row>
    <row r="7155" spans="1:52" ht="55.2">
      <c r="A7155" s="3" t="s">
        <v>7199</v>
      </c>
      <c r="C7155">
        <v>9</v>
      </c>
      <c r="J7155">
        <v>80</v>
      </c>
      <c r="AY7155">
        <f t="shared" si="224"/>
        <v>43</v>
      </c>
      <c r="AZ7155">
        <f t="shared" si="225"/>
        <v>3</v>
      </c>
    </row>
    <row r="7156" spans="1:52" ht="55.2">
      <c r="A7156" s="3" t="s">
        <v>7200</v>
      </c>
      <c r="C7156">
        <v>9</v>
      </c>
      <c r="J7156">
        <v>80</v>
      </c>
      <c r="AY7156">
        <f t="shared" si="224"/>
        <v>43</v>
      </c>
      <c r="AZ7156">
        <f t="shared" si="225"/>
        <v>3</v>
      </c>
    </row>
    <row r="7157" spans="1:52" ht="55.2">
      <c r="A7157" s="3" t="s">
        <v>7201</v>
      </c>
      <c r="C7157">
        <v>9</v>
      </c>
      <c r="J7157">
        <v>80</v>
      </c>
      <c r="AY7157">
        <f t="shared" si="224"/>
        <v>43</v>
      </c>
      <c r="AZ7157">
        <f t="shared" si="225"/>
        <v>3</v>
      </c>
    </row>
    <row r="7158" spans="1:52" ht="55.2">
      <c r="A7158" s="3" t="s">
        <v>7202</v>
      </c>
      <c r="C7158">
        <v>9</v>
      </c>
      <c r="J7158">
        <v>80</v>
      </c>
      <c r="AY7158">
        <f t="shared" si="224"/>
        <v>43</v>
      </c>
      <c r="AZ7158">
        <f t="shared" si="225"/>
        <v>3</v>
      </c>
    </row>
    <row r="7159" spans="1:52" ht="55.2">
      <c r="A7159" s="3" t="s">
        <v>7203</v>
      </c>
      <c r="C7159">
        <v>9</v>
      </c>
      <c r="J7159">
        <v>80</v>
      </c>
      <c r="AY7159">
        <f t="shared" si="224"/>
        <v>43</v>
      </c>
      <c r="AZ7159">
        <f t="shared" si="225"/>
        <v>3</v>
      </c>
    </row>
    <row r="7160" spans="1:52" ht="55.2">
      <c r="A7160" s="3" t="s">
        <v>7204</v>
      </c>
      <c r="C7160">
        <v>9</v>
      </c>
      <c r="J7160">
        <v>80</v>
      </c>
      <c r="AY7160">
        <f t="shared" si="224"/>
        <v>43</v>
      </c>
      <c r="AZ7160">
        <f t="shared" si="225"/>
        <v>3</v>
      </c>
    </row>
    <row r="7161" spans="1:52" ht="55.2">
      <c r="A7161" s="3" t="s">
        <v>7205</v>
      </c>
      <c r="C7161">
        <v>9</v>
      </c>
      <c r="T7161">
        <v>5</v>
      </c>
      <c r="AY7161">
        <f t="shared" si="224"/>
        <v>43</v>
      </c>
      <c r="AZ7161">
        <f t="shared" si="225"/>
        <v>3</v>
      </c>
    </row>
    <row r="7162" spans="1:52" ht="55.2">
      <c r="A7162" s="3" t="s">
        <v>7206</v>
      </c>
      <c r="C7162">
        <v>9</v>
      </c>
      <c r="T7162">
        <v>5</v>
      </c>
      <c r="AY7162">
        <f t="shared" si="224"/>
        <v>43</v>
      </c>
      <c r="AZ7162">
        <f t="shared" si="225"/>
        <v>3</v>
      </c>
    </row>
    <row r="7163" spans="1:52" ht="55.2">
      <c r="A7163" s="3" t="s">
        <v>7207</v>
      </c>
      <c r="C7163">
        <v>9</v>
      </c>
      <c r="T7163">
        <v>5</v>
      </c>
      <c r="AY7163">
        <f t="shared" si="224"/>
        <v>43</v>
      </c>
      <c r="AZ7163">
        <f t="shared" si="225"/>
        <v>3</v>
      </c>
    </row>
    <row r="7164" spans="1:52" ht="55.2">
      <c r="A7164" s="3" t="s">
        <v>7208</v>
      </c>
      <c r="C7164">
        <v>9</v>
      </c>
      <c r="T7164">
        <v>5</v>
      </c>
      <c r="AY7164">
        <f t="shared" si="224"/>
        <v>43</v>
      </c>
      <c r="AZ7164">
        <f t="shared" si="225"/>
        <v>3</v>
      </c>
    </row>
    <row r="7165" spans="1:52" ht="55.2">
      <c r="A7165" s="3" t="s">
        <v>7209</v>
      </c>
      <c r="C7165">
        <v>9</v>
      </c>
      <c r="T7165">
        <v>5</v>
      </c>
      <c r="AY7165">
        <f t="shared" si="224"/>
        <v>43</v>
      </c>
      <c r="AZ7165">
        <f t="shared" si="225"/>
        <v>3</v>
      </c>
    </row>
    <row r="7166" spans="1:52" ht="55.2">
      <c r="A7166" s="3" t="s">
        <v>7210</v>
      </c>
      <c r="C7166">
        <v>9</v>
      </c>
      <c r="T7166">
        <v>5</v>
      </c>
      <c r="AY7166">
        <f t="shared" si="224"/>
        <v>43</v>
      </c>
      <c r="AZ7166">
        <f t="shared" si="225"/>
        <v>3</v>
      </c>
    </row>
    <row r="7167" spans="1:52" ht="55.2">
      <c r="A7167" s="3" t="s">
        <v>7211</v>
      </c>
      <c r="C7167">
        <v>9</v>
      </c>
      <c r="T7167">
        <v>5</v>
      </c>
      <c r="AY7167">
        <f t="shared" si="224"/>
        <v>43</v>
      </c>
      <c r="AZ7167">
        <f t="shared" si="225"/>
        <v>3</v>
      </c>
    </row>
    <row r="7168" spans="1:52" ht="55.2">
      <c r="A7168" s="3" t="s">
        <v>7212</v>
      </c>
      <c r="C7168">
        <v>9</v>
      </c>
      <c r="T7168">
        <v>5</v>
      </c>
      <c r="AY7168">
        <f t="shared" si="224"/>
        <v>43</v>
      </c>
      <c r="AZ7168">
        <f t="shared" si="225"/>
        <v>3</v>
      </c>
    </row>
    <row r="7169" spans="1:52" ht="55.2">
      <c r="A7169" s="3" t="s">
        <v>7213</v>
      </c>
      <c r="C7169">
        <v>9</v>
      </c>
      <c r="T7169">
        <v>5</v>
      </c>
      <c r="AY7169">
        <f t="shared" si="224"/>
        <v>43</v>
      </c>
      <c r="AZ7169">
        <f t="shared" si="225"/>
        <v>3</v>
      </c>
    </row>
    <row r="7170" spans="1:52" ht="55.2">
      <c r="A7170" s="3" t="s">
        <v>7214</v>
      </c>
      <c r="C7170">
        <v>9</v>
      </c>
      <c r="T7170">
        <v>5</v>
      </c>
      <c r="AY7170">
        <f t="shared" si="224"/>
        <v>43</v>
      </c>
      <c r="AZ7170">
        <f t="shared" si="225"/>
        <v>3</v>
      </c>
    </row>
    <row r="7171" spans="1:52" ht="55.2">
      <c r="A7171" s="3" t="s">
        <v>7215</v>
      </c>
      <c r="C7171">
        <v>9</v>
      </c>
      <c r="T7171">
        <v>5</v>
      </c>
      <c r="AY7171">
        <f t="shared" si="224"/>
        <v>43</v>
      </c>
      <c r="AZ7171">
        <f t="shared" si="225"/>
        <v>3</v>
      </c>
    </row>
    <row r="7172" spans="1:52" ht="55.2">
      <c r="A7172" s="3" t="s">
        <v>7216</v>
      </c>
      <c r="C7172">
        <v>9</v>
      </c>
      <c r="T7172">
        <v>5</v>
      </c>
      <c r="AY7172">
        <f t="shared" si="224"/>
        <v>43</v>
      </c>
      <c r="AZ7172">
        <f t="shared" si="225"/>
        <v>3</v>
      </c>
    </row>
    <row r="7173" spans="1:52" ht="55.2">
      <c r="A7173" s="3" t="s">
        <v>7217</v>
      </c>
      <c r="C7173">
        <v>9</v>
      </c>
      <c r="T7173">
        <v>5</v>
      </c>
      <c r="AY7173">
        <f t="shared" si="224"/>
        <v>43</v>
      </c>
      <c r="AZ7173">
        <f t="shared" si="225"/>
        <v>3</v>
      </c>
    </row>
    <row r="7174" spans="1:52" ht="55.2">
      <c r="A7174" s="3" t="s">
        <v>7218</v>
      </c>
      <c r="C7174">
        <v>9</v>
      </c>
      <c r="T7174">
        <v>5</v>
      </c>
      <c r="AY7174">
        <f t="shared" si="224"/>
        <v>43</v>
      </c>
      <c r="AZ7174">
        <f t="shared" si="225"/>
        <v>3</v>
      </c>
    </row>
    <row r="7175" spans="1:52" ht="55.2">
      <c r="A7175" s="3" t="s">
        <v>7219</v>
      </c>
      <c r="C7175">
        <v>9</v>
      </c>
      <c r="T7175">
        <v>5</v>
      </c>
      <c r="AY7175">
        <f t="shared" si="224"/>
        <v>43</v>
      </c>
      <c r="AZ7175">
        <f t="shared" si="225"/>
        <v>3</v>
      </c>
    </row>
    <row r="7176" spans="1:52" ht="55.2">
      <c r="A7176" s="3" t="s">
        <v>7220</v>
      </c>
      <c r="C7176">
        <v>9</v>
      </c>
      <c r="T7176">
        <v>5</v>
      </c>
      <c r="AY7176">
        <f t="shared" si="224"/>
        <v>43</v>
      </c>
      <c r="AZ7176">
        <f t="shared" si="225"/>
        <v>3</v>
      </c>
    </row>
    <row r="7177" spans="1:52" ht="55.2">
      <c r="A7177" s="3" t="s">
        <v>7221</v>
      </c>
      <c r="C7177">
        <v>9</v>
      </c>
      <c r="T7177">
        <v>5</v>
      </c>
      <c r="AY7177">
        <f t="shared" si="224"/>
        <v>43</v>
      </c>
      <c r="AZ7177">
        <f t="shared" si="225"/>
        <v>3</v>
      </c>
    </row>
    <row r="7178" spans="1:52" ht="55.2">
      <c r="A7178" s="3" t="s">
        <v>7222</v>
      </c>
      <c r="C7178">
        <v>9</v>
      </c>
      <c r="T7178">
        <v>5</v>
      </c>
      <c r="AY7178">
        <f t="shared" si="224"/>
        <v>43</v>
      </c>
      <c r="AZ7178">
        <f t="shared" si="225"/>
        <v>3</v>
      </c>
    </row>
    <row r="7179" spans="1:52" ht="55.2">
      <c r="A7179" s="3" t="s">
        <v>7223</v>
      </c>
      <c r="C7179">
        <v>9</v>
      </c>
      <c r="T7179">
        <v>5</v>
      </c>
      <c r="AY7179">
        <f t="shared" si="224"/>
        <v>43</v>
      </c>
      <c r="AZ7179">
        <f t="shared" si="225"/>
        <v>3</v>
      </c>
    </row>
    <row r="7180" spans="1:52" ht="55.2">
      <c r="A7180" s="3" t="s">
        <v>7224</v>
      </c>
      <c r="C7180">
        <v>9</v>
      </c>
      <c r="T7180">
        <v>5</v>
      </c>
      <c r="AY7180">
        <f t="shared" si="224"/>
        <v>43</v>
      </c>
      <c r="AZ7180">
        <f t="shared" si="225"/>
        <v>3</v>
      </c>
    </row>
    <row r="7181" spans="1:52" ht="55.2">
      <c r="A7181" s="3" t="s">
        <v>7225</v>
      </c>
      <c r="C7181">
        <v>9</v>
      </c>
      <c r="T7181">
        <v>5</v>
      </c>
      <c r="AY7181">
        <f t="shared" si="224"/>
        <v>43</v>
      </c>
      <c r="AZ7181">
        <f t="shared" si="225"/>
        <v>3</v>
      </c>
    </row>
    <row r="7182" spans="1:52" ht="55.2">
      <c r="A7182" s="3" t="s">
        <v>7226</v>
      </c>
      <c r="C7182">
        <v>9</v>
      </c>
      <c r="T7182">
        <v>5</v>
      </c>
      <c r="AY7182">
        <f t="shared" si="224"/>
        <v>43</v>
      </c>
      <c r="AZ7182">
        <f t="shared" si="225"/>
        <v>3</v>
      </c>
    </row>
    <row r="7183" spans="1:52" ht="55.2">
      <c r="A7183" s="3" t="s">
        <v>7227</v>
      </c>
      <c r="C7183">
        <v>9</v>
      </c>
      <c r="T7183">
        <v>5</v>
      </c>
      <c r="AY7183">
        <f t="shared" si="224"/>
        <v>43</v>
      </c>
      <c r="AZ7183">
        <f t="shared" si="225"/>
        <v>3</v>
      </c>
    </row>
    <row r="7184" spans="1:52" ht="55.2">
      <c r="A7184" s="3" t="s">
        <v>7228</v>
      </c>
      <c r="C7184">
        <v>9</v>
      </c>
      <c r="T7184">
        <v>5</v>
      </c>
      <c r="AY7184">
        <f t="shared" si="224"/>
        <v>43</v>
      </c>
      <c r="AZ7184">
        <f t="shared" si="225"/>
        <v>3</v>
      </c>
    </row>
    <row r="7185" spans="1:52" ht="55.2">
      <c r="A7185" s="3" t="s">
        <v>7229</v>
      </c>
      <c r="C7185">
        <v>9</v>
      </c>
      <c r="J7185">
        <v>81</v>
      </c>
      <c r="AY7185">
        <f t="shared" si="224"/>
        <v>43</v>
      </c>
      <c r="AZ7185">
        <f t="shared" si="225"/>
        <v>3</v>
      </c>
    </row>
    <row r="7186" spans="1:52" ht="55.2">
      <c r="A7186" s="3" t="s">
        <v>7230</v>
      </c>
      <c r="C7186">
        <v>9</v>
      </c>
      <c r="J7186">
        <v>81</v>
      </c>
      <c r="AY7186">
        <f t="shared" si="224"/>
        <v>43</v>
      </c>
      <c r="AZ7186">
        <f t="shared" si="225"/>
        <v>3</v>
      </c>
    </row>
    <row r="7187" spans="1:52" ht="55.2">
      <c r="A7187" s="3" t="s">
        <v>7231</v>
      </c>
      <c r="C7187">
        <v>9</v>
      </c>
      <c r="J7187">
        <v>81</v>
      </c>
      <c r="AY7187">
        <f t="shared" si="224"/>
        <v>43</v>
      </c>
      <c r="AZ7187">
        <f t="shared" si="225"/>
        <v>3</v>
      </c>
    </row>
    <row r="7188" spans="1:52" ht="55.2">
      <c r="A7188" s="3" t="s">
        <v>7232</v>
      </c>
      <c r="C7188">
        <v>9</v>
      </c>
      <c r="J7188">
        <v>81</v>
      </c>
      <c r="AY7188">
        <f t="shared" si="224"/>
        <v>43</v>
      </c>
      <c r="AZ7188">
        <f t="shared" si="225"/>
        <v>3</v>
      </c>
    </row>
    <row r="7189" spans="1:52" ht="55.2">
      <c r="A7189" s="3" t="s">
        <v>7233</v>
      </c>
      <c r="C7189">
        <v>9</v>
      </c>
      <c r="J7189">
        <v>81</v>
      </c>
      <c r="AY7189">
        <f t="shared" si="224"/>
        <v>43</v>
      </c>
      <c r="AZ7189">
        <f t="shared" si="225"/>
        <v>3</v>
      </c>
    </row>
    <row r="7190" spans="1:52" ht="55.2">
      <c r="A7190" s="3" t="s">
        <v>7234</v>
      </c>
      <c r="C7190">
        <v>9</v>
      </c>
      <c r="J7190">
        <v>81</v>
      </c>
      <c r="AY7190">
        <f t="shared" si="224"/>
        <v>43</v>
      </c>
      <c r="AZ7190">
        <f t="shared" si="225"/>
        <v>3</v>
      </c>
    </row>
    <row r="7191" spans="1:52" ht="55.2">
      <c r="A7191" s="3" t="s">
        <v>7235</v>
      </c>
      <c r="C7191">
        <v>9</v>
      </c>
      <c r="J7191">
        <v>81</v>
      </c>
      <c r="AY7191">
        <f t="shared" si="224"/>
        <v>43</v>
      </c>
      <c r="AZ7191">
        <f t="shared" si="225"/>
        <v>3</v>
      </c>
    </row>
    <row r="7192" spans="1:52" ht="55.2">
      <c r="A7192" s="3" t="s">
        <v>7236</v>
      </c>
      <c r="C7192">
        <v>9</v>
      </c>
      <c r="J7192">
        <v>81</v>
      </c>
      <c r="AY7192">
        <f t="shared" si="224"/>
        <v>43</v>
      </c>
      <c r="AZ7192">
        <f t="shared" si="225"/>
        <v>3</v>
      </c>
    </row>
    <row r="7193" spans="1:52" ht="55.2">
      <c r="A7193" s="3" t="s">
        <v>7237</v>
      </c>
      <c r="B7193">
        <v>9</v>
      </c>
      <c r="C7193">
        <v>9</v>
      </c>
      <c r="J7193">
        <v>81</v>
      </c>
      <c r="AY7193">
        <f t="shared" si="224"/>
        <v>43</v>
      </c>
      <c r="AZ7193">
        <f t="shared" si="225"/>
        <v>2</v>
      </c>
    </row>
    <row r="7194" spans="1:52" ht="55.2">
      <c r="A7194" s="3" t="s">
        <v>7238</v>
      </c>
      <c r="B7194">
        <v>9</v>
      </c>
      <c r="C7194">
        <v>9</v>
      </c>
      <c r="J7194">
        <v>81</v>
      </c>
      <c r="AY7194">
        <f t="shared" si="224"/>
        <v>43</v>
      </c>
      <c r="AZ7194">
        <f t="shared" si="225"/>
        <v>2</v>
      </c>
    </row>
    <row r="7195" spans="1:52" ht="55.2">
      <c r="A7195" s="3" t="s">
        <v>7239</v>
      </c>
      <c r="B7195">
        <v>9</v>
      </c>
      <c r="C7195">
        <v>9</v>
      </c>
      <c r="J7195">
        <v>81</v>
      </c>
      <c r="AY7195">
        <f t="shared" si="224"/>
        <v>43</v>
      </c>
      <c r="AZ7195">
        <f t="shared" si="225"/>
        <v>2</v>
      </c>
    </row>
    <row r="7196" spans="1:52" ht="55.2">
      <c r="A7196" s="3" t="s">
        <v>7240</v>
      </c>
      <c r="B7196">
        <v>9</v>
      </c>
      <c r="C7196">
        <v>9</v>
      </c>
      <c r="M7196">
        <v>9</v>
      </c>
      <c r="AY7196">
        <f t="shared" si="224"/>
        <v>43</v>
      </c>
      <c r="AZ7196">
        <f t="shared" si="225"/>
        <v>2</v>
      </c>
    </row>
    <row r="7197" spans="1:52" ht="55.2">
      <c r="A7197" s="3" t="s">
        <v>7241</v>
      </c>
      <c r="B7197">
        <v>9</v>
      </c>
      <c r="C7197">
        <v>9</v>
      </c>
      <c r="M7197">
        <v>9</v>
      </c>
      <c r="AY7197">
        <f t="shared" si="224"/>
        <v>43</v>
      </c>
      <c r="AZ7197">
        <f t="shared" si="225"/>
        <v>2</v>
      </c>
    </row>
    <row r="7198" spans="1:52" ht="55.2">
      <c r="A7198" s="3" t="s">
        <v>7242</v>
      </c>
      <c r="B7198">
        <v>9</v>
      </c>
      <c r="C7198">
        <v>9</v>
      </c>
      <c r="M7198">
        <v>9</v>
      </c>
      <c r="AY7198">
        <f t="shared" si="224"/>
        <v>43</v>
      </c>
      <c r="AZ7198">
        <f t="shared" si="225"/>
        <v>2</v>
      </c>
    </row>
    <row r="7199" spans="1:52" ht="55.2">
      <c r="A7199" s="3" t="s">
        <v>7243</v>
      </c>
      <c r="B7199">
        <v>9</v>
      </c>
      <c r="C7199">
        <v>9</v>
      </c>
      <c r="M7199">
        <v>9</v>
      </c>
      <c r="AY7199">
        <f t="shared" si="224"/>
        <v>43</v>
      </c>
      <c r="AZ7199">
        <f t="shared" si="225"/>
        <v>2</v>
      </c>
    </row>
    <row r="7200" spans="1:52" ht="55.2">
      <c r="A7200" s="3" t="s">
        <v>7244</v>
      </c>
      <c r="B7200">
        <v>9</v>
      </c>
      <c r="C7200">
        <v>9</v>
      </c>
      <c r="M7200">
        <v>9</v>
      </c>
      <c r="AY7200">
        <f t="shared" si="224"/>
        <v>43</v>
      </c>
      <c r="AZ7200">
        <f t="shared" si="225"/>
        <v>2</v>
      </c>
    </row>
    <row r="7201" spans="1:52" ht="55.2">
      <c r="A7201" s="3" t="s">
        <v>7245</v>
      </c>
      <c r="B7201">
        <v>9</v>
      </c>
      <c r="C7201">
        <v>9</v>
      </c>
      <c r="M7201">
        <v>9</v>
      </c>
      <c r="AY7201">
        <f t="shared" ref="AY7201:AY7264" si="226">COUNTBLANK(F7201:AW7201)</f>
        <v>43</v>
      </c>
      <c r="AZ7201">
        <f t="shared" ref="AZ7201:AZ7264" si="227">COUNTBLANK(B7201:E7201)</f>
        <v>2</v>
      </c>
    </row>
    <row r="7202" spans="1:52" ht="55.2">
      <c r="A7202" s="3" t="s">
        <v>7246</v>
      </c>
      <c r="B7202">
        <v>9</v>
      </c>
      <c r="C7202">
        <v>9</v>
      </c>
      <c r="M7202">
        <v>9</v>
      </c>
      <c r="AY7202">
        <f t="shared" si="226"/>
        <v>43</v>
      </c>
      <c r="AZ7202">
        <f t="shared" si="227"/>
        <v>2</v>
      </c>
    </row>
    <row r="7203" spans="1:52" ht="55.2">
      <c r="A7203" s="3" t="s">
        <v>7247</v>
      </c>
      <c r="B7203">
        <v>9</v>
      </c>
      <c r="C7203">
        <v>9</v>
      </c>
      <c r="M7203">
        <v>9</v>
      </c>
      <c r="AY7203">
        <f t="shared" si="226"/>
        <v>43</v>
      </c>
      <c r="AZ7203">
        <f t="shared" si="227"/>
        <v>2</v>
      </c>
    </row>
    <row r="7204" spans="1:52" ht="55.2">
      <c r="A7204" s="3" t="s">
        <v>7248</v>
      </c>
      <c r="B7204">
        <v>9</v>
      </c>
      <c r="C7204">
        <v>9</v>
      </c>
      <c r="M7204">
        <v>9</v>
      </c>
      <c r="AY7204">
        <f t="shared" si="226"/>
        <v>43</v>
      </c>
      <c r="AZ7204">
        <f t="shared" si="227"/>
        <v>2</v>
      </c>
    </row>
    <row r="7205" spans="1:52" ht="55.2">
      <c r="A7205" s="3" t="s">
        <v>7249</v>
      </c>
      <c r="B7205">
        <v>9</v>
      </c>
      <c r="C7205">
        <v>9</v>
      </c>
      <c r="M7205">
        <v>9</v>
      </c>
      <c r="AY7205">
        <f t="shared" si="226"/>
        <v>43</v>
      </c>
      <c r="AZ7205">
        <f t="shared" si="227"/>
        <v>2</v>
      </c>
    </row>
    <row r="7206" spans="1:52" ht="55.2">
      <c r="A7206" s="3" t="s">
        <v>7250</v>
      </c>
      <c r="B7206">
        <v>9</v>
      </c>
      <c r="C7206">
        <v>9</v>
      </c>
      <c r="M7206">
        <v>9</v>
      </c>
      <c r="AY7206">
        <f t="shared" si="226"/>
        <v>43</v>
      </c>
      <c r="AZ7206">
        <f t="shared" si="227"/>
        <v>2</v>
      </c>
    </row>
    <row r="7207" spans="1:52" ht="55.2">
      <c r="A7207" s="3" t="s">
        <v>7251</v>
      </c>
      <c r="B7207">
        <v>9</v>
      </c>
      <c r="C7207">
        <v>9</v>
      </c>
      <c r="M7207">
        <v>9</v>
      </c>
      <c r="AY7207">
        <f t="shared" si="226"/>
        <v>43</v>
      </c>
      <c r="AZ7207">
        <f t="shared" si="227"/>
        <v>2</v>
      </c>
    </row>
    <row r="7208" spans="1:52" ht="55.2">
      <c r="A7208" s="3" t="s">
        <v>7252</v>
      </c>
      <c r="B7208">
        <v>9</v>
      </c>
      <c r="C7208">
        <v>9</v>
      </c>
      <c r="M7208">
        <v>9</v>
      </c>
      <c r="AY7208">
        <f t="shared" si="226"/>
        <v>43</v>
      </c>
      <c r="AZ7208">
        <f t="shared" si="227"/>
        <v>2</v>
      </c>
    </row>
    <row r="7209" spans="1:52" ht="55.2">
      <c r="A7209" s="3" t="s">
        <v>7253</v>
      </c>
      <c r="B7209">
        <v>9</v>
      </c>
      <c r="C7209">
        <v>9</v>
      </c>
      <c r="M7209">
        <v>9</v>
      </c>
      <c r="AY7209">
        <f t="shared" si="226"/>
        <v>43</v>
      </c>
      <c r="AZ7209">
        <f t="shared" si="227"/>
        <v>2</v>
      </c>
    </row>
    <row r="7210" spans="1:52" ht="55.2">
      <c r="A7210" s="3" t="s">
        <v>7254</v>
      </c>
      <c r="B7210">
        <v>9</v>
      </c>
      <c r="C7210">
        <v>9</v>
      </c>
      <c r="M7210">
        <v>9</v>
      </c>
      <c r="AY7210">
        <f t="shared" si="226"/>
        <v>43</v>
      </c>
      <c r="AZ7210">
        <f t="shared" si="227"/>
        <v>2</v>
      </c>
    </row>
    <row r="7211" spans="1:52" ht="55.2">
      <c r="A7211" s="3" t="s">
        <v>7255</v>
      </c>
      <c r="B7211">
        <v>9</v>
      </c>
      <c r="C7211">
        <v>9</v>
      </c>
      <c r="M7211">
        <v>9</v>
      </c>
      <c r="AY7211">
        <f t="shared" si="226"/>
        <v>43</v>
      </c>
      <c r="AZ7211">
        <f t="shared" si="227"/>
        <v>2</v>
      </c>
    </row>
    <row r="7212" spans="1:52" ht="55.2">
      <c r="A7212" s="3" t="s">
        <v>7256</v>
      </c>
      <c r="B7212">
        <v>9</v>
      </c>
      <c r="C7212">
        <v>9</v>
      </c>
      <c r="M7212">
        <v>9</v>
      </c>
      <c r="AY7212">
        <f t="shared" si="226"/>
        <v>43</v>
      </c>
      <c r="AZ7212">
        <f t="shared" si="227"/>
        <v>2</v>
      </c>
    </row>
    <row r="7213" spans="1:52" ht="55.2">
      <c r="A7213" s="3" t="s">
        <v>7257</v>
      </c>
      <c r="B7213">
        <v>9</v>
      </c>
      <c r="C7213">
        <v>9</v>
      </c>
      <c r="M7213">
        <v>9</v>
      </c>
      <c r="AY7213">
        <f t="shared" si="226"/>
        <v>43</v>
      </c>
      <c r="AZ7213">
        <f t="shared" si="227"/>
        <v>2</v>
      </c>
    </row>
    <row r="7214" spans="1:52" ht="55.2">
      <c r="A7214" s="3" t="s">
        <v>7258</v>
      </c>
      <c r="B7214">
        <v>9</v>
      </c>
      <c r="C7214">
        <v>9</v>
      </c>
      <c r="M7214">
        <v>9</v>
      </c>
      <c r="AY7214">
        <f t="shared" si="226"/>
        <v>43</v>
      </c>
      <c r="AZ7214">
        <f t="shared" si="227"/>
        <v>2</v>
      </c>
    </row>
    <row r="7215" spans="1:52" ht="55.2">
      <c r="A7215" s="3" t="s">
        <v>7259</v>
      </c>
      <c r="B7215">
        <v>9</v>
      </c>
      <c r="C7215">
        <v>9</v>
      </c>
      <c r="M7215">
        <v>9</v>
      </c>
      <c r="AY7215">
        <f t="shared" si="226"/>
        <v>43</v>
      </c>
      <c r="AZ7215">
        <f t="shared" si="227"/>
        <v>2</v>
      </c>
    </row>
    <row r="7216" spans="1:52" ht="55.2">
      <c r="A7216" s="3" t="s">
        <v>7260</v>
      </c>
      <c r="B7216">
        <v>9</v>
      </c>
      <c r="C7216">
        <v>9</v>
      </c>
      <c r="J7216">
        <v>82</v>
      </c>
      <c r="AY7216">
        <f t="shared" si="226"/>
        <v>43</v>
      </c>
      <c r="AZ7216">
        <f t="shared" si="227"/>
        <v>2</v>
      </c>
    </row>
    <row r="7217" spans="1:52" ht="55.2">
      <c r="A7217" s="3" t="s">
        <v>7261</v>
      </c>
      <c r="B7217">
        <v>9</v>
      </c>
      <c r="C7217">
        <v>9</v>
      </c>
      <c r="J7217">
        <v>82</v>
      </c>
      <c r="AY7217">
        <f t="shared" si="226"/>
        <v>43</v>
      </c>
      <c r="AZ7217">
        <f t="shared" si="227"/>
        <v>2</v>
      </c>
    </row>
    <row r="7218" spans="1:52" ht="55.2">
      <c r="A7218" s="3" t="s">
        <v>7262</v>
      </c>
      <c r="B7218">
        <v>9</v>
      </c>
      <c r="C7218">
        <v>9</v>
      </c>
      <c r="J7218">
        <v>82</v>
      </c>
      <c r="AY7218">
        <f t="shared" si="226"/>
        <v>43</v>
      </c>
      <c r="AZ7218">
        <f t="shared" si="227"/>
        <v>2</v>
      </c>
    </row>
    <row r="7219" spans="1:52" ht="55.2">
      <c r="A7219" s="3" t="s">
        <v>7263</v>
      </c>
      <c r="B7219">
        <v>9</v>
      </c>
      <c r="C7219">
        <v>9</v>
      </c>
      <c r="J7219">
        <v>82</v>
      </c>
      <c r="AY7219">
        <f t="shared" si="226"/>
        <v>43</v>
      </c>
      <c r="AZ7219">
        <f t="shared" si="227"/>
        <v>2</v>
      </c>
    </row>
    <row r="7220" spans="1:52" ht="55.2">
      <c r="A7220" s="3" t="s">
        <v>7264</v>
      </c>
      <c r="B7220">
        <v>9</v>
      </c>
      <c r="C7220">
        <v>9</v>
      </c>
      <c r="J7220">
        <v>82</v>
      </c>
      <c r="AY7220">
        <f t="shared" si="226"/>
        <v>43</v>
      </c>
      <c r="AZ7220">
        <f t="shared" si="227"/>
        <v>2</v>
      </c>
    </row>
    <row r="7221" spans="1:52" ht="55.2">
      <c r="A7221" s="3" t="s">
        <v>7265</v>
      </c>
      <c r="B7221">
        <v>9</v>
      </c>
      <c r="C7221">
        <v>9</v>
      </c>
      <c r="J7221">
        <v>82</v>
      </c>
      <c r="AY7221">
        <f t="shared" si="226"/>
        <v>43</v>
      </c>
      <c r="AZ7221">
        <f t="shared" si="227"/>
        <v>2</v>
      </c>
    </row>
    <row r="7222" spans="1:52" ht="55.2">
      <c r="A7222" s="3" t="s">
        <v>7266</v>
      </c>
      <c r="B7222">
        <v>9</v>
      </c>
      <c r="C7222">
        <v>9</v>
      </c>
      <c r="J7222">
        <v>82</v>
      </c>
      <c r="AY7222">
        <f t="shared" si="226"/>
        <v>43</v>
      </c>
      <c r="AZ7222">
        <f t="shared" si="227"/>
        <v>2</v>
      </c>
    </row>
    <row r="7223" spans="1:52" ht="55.2">
      <c r="A7223" s="3" t="s">
        <v>7267</v>
      </c>
      <c r="B7223">
        <v>9</v>
      </c>
      <c r="C7223">
        <v>9</v>
      </c>
      <c r="J7223">
        <v>82</v>
      </c>
      <c r="AY7223">
        <f t="shared" si="226"/>
        <v>43</v>
      </c>
      <c r="AZ7223">
        <f t="shared" si="227"/>
        <v>2</v>
      </c>
    </row>
    <row r="7224" spans="1:52" ht="55.2">
      <c r="A7224" s="3" t="s">
        <v>7268</v>
      </c>
      <c r="B7224">
        <v>9</v>
      </c>
      <c r="C7224">
        <v>9</v>
      </c>
      <c r="J7224">
        <v>82</v>
      </c>
      <c r="AY7224">
        <f t="shared" si="226"/>
        <v>43</v>
      </c>
      <c r="AZ7224">
        <f t="shared" si="227"/>
        <v>2</v>
      </c>
    </row>
    <row r="7225" spans="1:52" ht="55.2">
      <c r="A7225" s="3" t="s">
        <v>7269</v>
      </c>
      <c r="B7225">
        <v>9</v>
      </c>
      <c r="C7225">
        <v>9</v>
      </c>
      <c r="M7225">
        <v>10</v>
      </c>
      <c r="AY7225">
        <f t="shared" si="226"/>
        <v>43</v>
      </c>
      <c r="AZ7225">
        <f t="shared" si="227"/>
        <v>2</v>
      </c>
    </row>
    <row r="7226" spans="1:52" ht="55.2">
      <c r="A7226" s="3" t="s">
        <v>7270</v>
      </c>
      <c r="B7226">
        <v>9</v>
      </c>
      <c r="C7226">
        <v>9</v>
      </c>
      <c r="M7226">
        <v>10</v>
      </c>
      <c r="AY7226">
        <f t="shared" si="226"/>
        <v>43</v>
      </c>
      <c r="AZ7226">
        <f t="shared" si="227"/>
        <v>2</v>
      </c>
    </row>
    <row r="7227" spans="1:52" ht="55.2">
      <c r="A7227" s="3" t="s">
        <v>7271</v>
      </c>
      <c r="B7227">
        <v>9</v>
      </c>
      <c r="C7227">
        <v>9</v>
      </c>
      <c r="M7227">
        <v>10</v>
      </c>
      <c r="AY7227">
        <f t="shared" si="226"/>
        <v>43</v>
      </c>
      <c r="AZ7227">
        <f t="shared" si="227"/>
        <v>2</v>
      </c>
    </row>
    <row r="7228" spans="1:52" ht="55.2">
      <c r="A7228" s="3" t="s">
        <v>7272</v>
      </c>
      <c r="B7228">
        <v>9</v>
      </c>
      <c r="C7228">
        <v>9</v>
      </c>
      <c r="M7228">
        <v>10</v>
      </c>
      <c r="AY7228">
        <f t="shared" si="226"/>
        <v>43</v>
      </c>
      <c r="AZ7228">
        <f t="shared" si="227"/>
        <v>2</v>
      </c>
    </row>
    <row r="7229" spans="1:52" ht="55.2">
      <c r="A7229" s="3" t="s">
        <v>7273</v>
      </c>
      <c r="B7229">
        <v>9</v>
      </c>
      <c r="C7229">
        <v>9</v>
      </c>
      <c r="M7229">
        <v>10</v>
      </c>
      <c r="AY7229">
        <f t="shared" si="226"/>
        <v>43</v>
      </c>
      <c r="AZ7229">
        <f t="shared" si="227"/>
        <v>2</v>
      </c>
    </row>
    <row r="7230" spans="1:52" ht="55.2">
      <c r="A7230" s="3" t="s">
        <v>7274</v>
      </c>
      <c r="B7230">
        <v>9</v>
      </c>
      <c r="C7230">
        <v>9</v>
      </c>
      <c r="M7230">
        <v>10</v>
      </c>
      <c r="AY7230">
        <f t="shared" si="226"/>
        <v>43</v>
      </c>
      <c r="AZ7230">
        <f t="shared" si="227"/>
        <v>2</v>
      </c>
    </row>
    <row r="7231" spans="1:52" ht="55.2">
      <c r="A7231" s="3" t="s">
        <v>7275</v>
      </c>
      <c r="B7231">
        <v>9</v>
      </c>
      <c r="C7231">
        <v>9</v>
      </c>
      <c r="M7231">
        <v>10</v>
      </c>
      <c r="AY7231">
        <f t="shared" si="226"/>
        <v>43</v>
      </c>
      <c r="AZ7231">
        <f t="shared" si="227"/>
        <v>2</v>
      </c>
    </row>
    <row r="7232" spans="1:52" ht="55.2">
      <c r="A7232" s="3" t="s">
        <v>7276</v>
      </c>
      <c r="B7232">
        <v>9</v>
      </c>
      <c r="C7232">
        <v>9</v>
      </c>
      <c r="M7232">
        <v>10</v>
      </c>
      <c r="AY7232">
        <f t="shared" si="226"/>
        <v>43</v>
      </c>
      <c r="AZ7232">
        <f t="shared" si="227"/>
        <v>2</v>
      </c>
    </row>
    <row r="7233" spans="1:52" ht="55.2">
      <c r="A7233" s="3" t="s">
        <v>7277</v>
      </c>
      <c r="B7233">
        <v>9</v>
      </c>
      <c r="C7233">
        <v>9</v>
      </c>
      <c r="M7233">
        <v>10</v>
      </c>
      <c r="AY7233">
        <f t="shared" si="226"/>
        <v>43</v>
      </c>
      <c r="AZ7233">
        <f t="shared" si="227"/>
        <v>2</v>
      </c>
    </row>
    <row r="7234" spans="1:52" ht="55.2">
      <c r="A7234" s="3" t="s">
        <v>7278</v>
      </c>
      <c r="B7234">
        <v>9</v>
      </c>
      <c r="C7234">
        <v>9</v>
      </c>
      <c r="M7234">
        <v>10</v>
      </c>
      <c r="AY7234">
        <f t="shared" si="226"/>
        <v>43</v>
      </c>
      <c r="AZ7234">
        <f t="shared" si="227"/>
        <v>2</v>
      </c>
    </row>
    <row r="7235" spans="1:52" ht="55.2">
      <c r="A7235" s="3" t="s">
        <v>7279</v>
      </c>
      <c r="B7235">
        <v>9</v>
      </c>
      <c r="C7235">
        <v>9</v>
      </c>
      <c r="M7235">
        <v>10</v>
      </c>
      <c r="AY7235">
        <f t="shared" si="226"/>
        <v>43</v>
      </c>
      <c r="AZ7235">
        <f t="shared" si="227"/>
        <v>2</v>
      </c>
    </row>
    <row r="7236" spans="1:52" ht="55.2">
      <c r="A7236" s="3" t="s">
        <v>7280</v>
      </c>
      <c r="B7236">
        <v>9</v>
      </c>
      <c r="C7236">
        <v>9</v>
      </c>
      <c r="M7236">
        <v>10</v>
      </c>
      <c r="AY7236">
        <f t="shared" si="226"/>
        <v>43</v>
      </c>
      <c r="AZ7236">
        <f t="shared" si="227"/>
        <v>2</v>
      </c>
    </row>
    <row r="7237" spans="1:52" ht="55.2">
      <c r="A7237" s="3" t="s">
        <v>7281</v>
      </c>
      <c r="B7237">
        <v>9</v>
      </c>
      <c r="C7237">
        <v>9</v>
      </c>
      <c r="M7237">
        <v>10</v>
      </c>
      <c r="AY7237">
        <f t="shared" si="226"/>
        <v>43</v>
      </c>
      <c r="AZ7237">
        <f t="shared" si="227"/>
        <v>2</v>
      </c>
    </row>
    <row r="7238" spans="1:52" ht="55.2">
      <c r="A7238" s="3" t="s">
        <v>7282</v>
      </c>
      <c r="B7238">
        <v>9</v>
      </c>
      <c r="C7238">
        <v>9</v>
      </c>
      <c r="M7238">
        <v>10</v>
      </c>
      <c r="AY7238">
        <f t="shared" si="226"/>
        <v>43</v>
      </c>
      <c r="AZ7238">
        <f t="shared" si="227"/>
        <v>2</v>
      </c>
    </row>
    <row r="7239" spans="1:52" ht="55.2">
      <c r="A7239" s="3" t="s">
        <v>7283</v>
      </c>
      <c r="B7239">
        <v>9</v>
      </c>
      <c r="C7239">
        <v>9</v>
      </c>
      <c r="M7239">
        <v>10</v>
      </c>
      <c r="AY7239">
        <f t="shared" si="226"/>
        <v>43</v>
      </c>
      <c r="AZ7239">
        <f t="shared" si="227"/>
        <v>2</v>
      </c>
    </row>
    <row r="7240" spans="1:52" ht="55.2">
      <c r="A7240" s="3" t="s">
        <v>7284</v>
      </c>
      <c r="B7240">
        <v>9</v>
      </c>
      <c r="C7240">
        <v>9</v>
      </c>
      <c r="M7240">
        <v>10</v>
      </c>
      <c r="AY7240">
        <f t="shared" si="226"/>
        <v>43</v>
      </c>
      <c r="AZ7240">
        <f t="shared" si="227"/>
        <v>2</v>
      </c>
    </row>
    <row r="7241" spans="1:52" ht="55.2">
      <c r="A7241" s="3" t="s">
        <v>7285</v>
      </c>
      <c r="B7241">
        <v>9</v>
      </c>
      <c r="C7241">
        <v>9</v>
      </c>
      <c r="M7241">
        <v>10</v>
      </c>
      <c r="AY7241">
        <f t="shared" si="226"/>
        <v>43</v>
      </c>
      <c r="AZ7241">
        <f t="shared" si="227"/>
        <v>2</v>
      </c>
    </row>
    <row r="7242" spans="1:52" ht="55.2">
      <c r="A7242" s="3" t="s">
        <v>7286</v>
      </c>
      <c r="B7242">
        <v>9</v>
      </c>
      <c r="C7242">
        <v>9</v>
      </c>
      <c r="M7242">
        <v>10</v>
      </c>
      <c r="AY7242">
        <f t="shared" si="226"/>
        <v>43</v>
      </c>
      <c r="AZ7242">
        <f t="shared" si="227"/>
        <v>2</v>
      </c>
    </row>
    <row r="7243" spans="1:52" ht="55.2">
      <c r="A7243" s="3" t="s">
        <v>7287</v>
      </c>
      <c r="B7243">
        <v>9</v>
      </c>
      <c r="C7243">
        <v>9</v>
      </c>
      <c r="M7243">
        <v>10</v>
      </c>
      <c r="AY7243">
        <f t="shared" si="226"/>
        <v>43</v>
      </c>
      <c r="AZ7243">
        <f t="shared" si="227"/>
        <v>2</v>
      </c>
    </row>
    <row r="7244" spans="1:52" ht="55.2">
      <c r="A7244" s="3" t="s">
        <v>7288</v>
      </c>
      <c r="B7244">
        <v>9</v>
      </c>
      <c r="C7244">
        <v>9</v>
      </c>
      <c r="M7244">
        <v>10</v>
      </c>
      <c r="AY7244">
        <f t="shared" si="226"/>
        <v>43</v>
      </c>
      <c r="AZ7244">
        <f t="shared" si="227"/>
        <v>2</v>
      </c>
    </row>
    <row r="7245" spans="1:52" ht="55.2">
      <c r="A7245" s="3" t="s">
        <v>7289</v>
      </c>
      <c r="B7245">
        <v>9</v>
      </c>
      <c r="C7245">
        <v>9</v>
      </c>
      <c r="M7245">
        <v>10</v>
      </c>
      <c r="AY7245">
        <f t="shared" si="226"/>
        <v>43</v>
      </c>
      <c r="AZ7245">
        <f t="shared" si="227"/>
        <v>2</v>
      </c>
    </row>
    <row r="7246" spans="1:52" ht="55.2">
      <c r="A7246" s="3" t="s">
        <v>7290</v>
      </c>
      <c r="B7246">
        <v>9</v>
      </c>
      <c r="C7246">
        <v>9</v>
      </c>
      <c r="M7246">
        <v>10</v>
      </c>
      <c r="AY7246">
        <f t="shared" si="226"/>
        <v>43</v>
      </c>
      <c r="AZ7246">
        <f t="shared" si="227"/>
        <v>2</v>
      </c>
    </row>
    <row r="7247" spans="1:52" ht="55.2">
      <c r="A7247" s="3" t="s">
        <v>7291</v>
      </c>
      <c r="B7247">
        <v>9</v>
      </c>
      <c r="C7247">
        <v>9</v>
      </c>
      <c r="M7247">
        <v>10</v>
      </c>
      <c r="AY7247">
        <f t="shared" si="226"/>
        <v>43</v>
      </c>
      <c r="AZ7247">
        <f t="shared" si="227"/>
        <v>2</v>
      </c>
    </row>
    <row r="7248" spans="1:52" ht="55.2">
      <c r="A7248" s="3" t="s">
        <v>7292</v>
      </c>
      <c r="B7248">
        <v>9</v>
      </c>
      <c r="C7248">
        <v>9</v>
      </c>
      <c r="M7248">
        <v>10</v>
      </c>
      <c r="AY7248">
        <f t="shared" si="226"/>
        <v>43</v>
      </c>
      <c r="AZ7248">
        <f t="shared" si="227"/>
        <v>2</v>
      </c>
    </row>
    <row r="7249" spans="1:52" ht="55.2">
      <c r="A7249" s="3" t="s">
        <v>7293</v>
      </c>
      <c r="B7249">
        <v>9</v>
      </c>
      <c r="C7249">
        <v>9</v>
      </c>
      <c r="M7249">
        <v>10</v>
      </c>
      <c r="AY7249">
        <f t="shared" si="226"/>
        <v>43</v>
      </c>
      <c r="AZ7249">
        <f t="shared" si="227"/>
        <v>2</v>
      </c>
    </row>
    <row r="7250" spans="1:52" ht="55.2">
      <c r="A7250" s="3" t="s">
        <v>7294</v>
      </c>
      <c r="B7250">
        <v>9</v>
      </c>
      <c r="C7250">
        <v>9</v>
      </c>
      <c r="M7250">
        <v>10</v>
      </c>
      <c r="AY7250">
        <f t="shared" si="226"/>
        <v>43</v>
      </c>
      <c r="AZ7250">
        <f t="shared" si="227"/>
        <v>2</v>
      </c>
    </row>
    <row r="7251" spans="1:52" ht="55.2">
      <c r="A7251" s="3" t="s">
        <v>7295</v>
      </c>
      <c r="B7251">
        <v>9</v>
      </c>
      <c r="C7251">
        <v>9</v>
      </c>
      <c r="M7251">
        <v>10</v>
      </c>
      <c r="AY7251">
        <f t="shared" si="226"/>
        <v>43</v>
      </c>
      <c r="AZ7251">
        <f t="shared" si="227"/>
        <v>2</v>
      </c>
    </row>
    <row r="7252" spans="1:52" ht="55.2">
      <c r="A7252" s="3" t="s">
        <v>7296</v>
      </c>
      <c r="B7252">
        <v>9</v>
      </c>
      <c r="C7252">
        <v>9</v>
      </c>
      <c r="M7252">
        <v>10</v>
      </c>
      <c r="AY7252">
        <f t="shared" si="226"/>
        <v>43</v>
      </c>
      <c r="AZ7252">
        <f t="shared" si="227"/>
        <v>2</v>
      </c>
    </row>
    <row r="7253" spans="1:52" ht="55.2">
      <c r="A7253" s="3" t="s">
        <v>7297</v>
      </c>
      <c r="B7253">
        <v>9</v>
      </c>
      <c r="C7253">
        <v>9</v>
      </c>
      <c r="M7253">
        <v>10</v>
      </c>
      <c r="AY7253">
        <f t="shared" si="226"/>
        <v>43</v>
      </c>
      <c r="AZ7253">
        <f t="shared" si="227"/>
        <v>2</v>
      </c>
    </row>
    <row r="7254" spans="1:52" ht="55.2">
      <c r="A7254" s="3" t="s">
        <v>7298</v>
      </c>
      <c r="B7254">
        <v>9</v>
      </c>
      <c r="C7254">
        <v>9</v>
      </c>
      <c r="M7254">
        <v>10</v>
      </c>
      <c r="AY7254">
        <f t="shared" si="226"/>
        <v>43</v>
      </c>
      <c r="AZ7254">
        <f t="shared" si="227"/>
        <v>2</v>
      </c>
    </row>
    <row r="7255" spans="1:52" ht="55.2">
      <c r="A7255" s="3" t="s">
        <v>7299</v>
      </c>
      <c r="B7255">
        <v>9</v>
      </c>
      <c r="C7255">
        <v>9</v>
      </c>
      <c r="M7255">
        <v>10</v>
      </c>
      <c r="AY7255">
        <f t="shared" si="226"/>
        <v>43</v>
      </c>
      <c r="AZ7255">
        <f t="shared" si="227"/>
        <v>2</v>
      </c>
    </row>
    <row r="7256" spans="1:52" ht="55.2">
      <c r="A7256" s="3" t="s">
        <v>7300</v>
      </c>
      <c r="B7256">
        <v>9</v>
      </c>
      <c r="C7256">
        <v>9</v>
      </c>
      <c r="M7256">
        <v>10</v>
      </c>
      <c r="AY7256">
        <f t="shared" si="226"/>
        <v>43</v>
      </c>
      <c r="AZ7256">
        <f t="shared" si="227"/>
        <v>2</v>
      </c>
    </row>
    <row r="7257" spans="1:52" ht="55.2">
      <c r="A7257" s="3" t="s">
        <v>7301</v>
      </c>
      <c r="B7257">
        <v>9</v>
      </c>
      <c r="C7257">
        <v>9</v>
      </c>
      <c r="M7257">
        <v>10</v>
      </c>
      <c r="AY7257">
        <f t="shared" si="226"/>
        <v>43</v>
      </c>
      <c r="AZ7257">
        <f t="shared" si="227"/>
        <v>2</v>
      </c>
    </row>
    <row r="7258" spans="1:52" ht="55.2">
      <c r="A7258" s="3" t="s">
        <v>7302</v>
      </c>
      <c r="B7258">
        <v>9</v>
      </c>
      <c r="C7258">
        <v>9</v>
      </c>
      <c r="M7258">
        <v>10</v>
      </c>
      <c r="AY7258">
        <f t="shared" si="226"/>
        <v>43</v>
      </c>
      <c r="AZ7258">
        <f t="shared" si="227"/>
        <v>2</v>
      </c>
    </row>
    <row r="7259" spans="1:52" ht="55.2">
      <c r="A7259" s="3" t="s">
        <v>7303</v>
      </c>
      <c r="B7259">
        <v>9</v>
      </c>
      <c r="C7259">
        <v>9</v>
      </c>
      <c r="M7259">
        <v>10</v>
      </c>
      <c r="AY7259">
        <f t="shared" si="226"/>
        <v>43</v>
      </c>
      <c r="AZ7259">
        <f t="shared" si="227"/>
        <v>2</v>
      </c>
    </row>
    <row r="7260" spans="1:52" ht="55.2">
      <c r="A7260" s="3" t="s">
        <v>7304</v>
      </c>
      <c r="B7260">
        <v>9</v>
      </c>
      <c r="C7260">
        <v>9</v>
      </c>
      <c r="M7260">
        <v>10</v>
      </c>
      <c r="AY7260">
        <f t="shared" si="226"/>
        <v>43</v>
      </c>
      <c r="AZ7260">
        <f t="shared" si="227"/>
        <v>2</v>
      </c>
    </row>
    <row r="7261" spans="1:52" ht="55.2">
      <c r="A7261" s="3" t="s">
        <v>7305</v>
      </c>
      <c r="B7261">
        <v>9</v>
      </c>
      <c r="C7261">
        <v>9</v>
      </c>
      <c r="M7261">
        <v>10</v>
      </c>
      <c r="AY7261">
        <f t="shared" si="226"/>
        <v>43</v>
      </c>
      <c r="AZ7261">
        <f t="shared" si="227"/>
        <v>2</v>
      </c>
    </row>
    <row r="7262" spans="1:52" ht="55.2">
      <c r="A7262" s="3" t="s">
        <v>7306</v>
      </c>
      <c r="B7262">
        <v>9</v>
      </c>
      <c r="C7262">
        <v>9</v>
      </c>
      <c r="M7262">
        <v>10</v>
      </c>
      <c r="AY7262">
        <f t="shared" si="226"/>
        <v>43</v>
      </c>
      <c r="AZ7262">
        <f t="shared" si="227"/>
        <v>2</v>
      </c>
    </row>
    <row r="7263" spans="1:52" ht="55.2">
      <c r="A7263" s="3" t="s">
        <v>7307</v>
      </c>
      <c r="B7263">
        <v>9</v>
      </c>
      <c r="C7263">
        <v>9</v>
      </c>
      <c r="M7263">
        <v>10</v>
      </c>
      <c r="AY7263">
        <f t="shared" si="226"/>
        <v>43</v>
      </c>
      <c r="AZ7263">
        <f t="shared" si="227"/>
        <v>2</v>
      </c>
    </row>
    <row r="7264" spans="1:52" ht="55.2">
      <c r="A7264" s="3" t="s">
        <v>7308</v>
      </c>
      <c r="B7264">
        <v>9</v>
      </c>
      <c r="C7264">
        <v>9</v>
      </c>
      <c r="M7264">
        <v>10</v>
      </c>
      <c r="AY7264">
        <f t="shared" si="226"/>
        <v>43</v>
      </c>
      <c r="AZ7264">
        <f t="shared" si="227"/>
        <v>2</v>
      </c>
    </row>
    <row r="7265" spans="1:52" ht="55.2">
      <c r="A7265" s="3" t="s">
        <v>7309</v>
      </c>
      <c r="B7265">
        <v>9</v>
      </c>
      <c r="C7265">
        <v>9</v>
      </c>
      <c r="M7265">
        <v>10</v>
      </c>
      <c r="AY7265">
        <f t="shared" ref="AY7265:AY7328" si="228">COUNTBLANK(F7265:AW7265)</f>
        <v>43</v>
      </c>
      <c r="AZ7265">
        <f t="shared" ref="AZ7265:AZ7328" si="229">COUNTBLANK(B7265:E7265)</f>
        <v>2</v>
      </c>
    </row>
    <row r="7266" spans="1:52" ht="55.2">
      <c r="A7266" s="3" t="s">
        <v>7310</v>
      </c>
      <c r="B7266">
        <v>9</v>
      </c>
      <c r="C7266">
        <v>9</v>
      </c>
      <c r="M7266">
        <v>10</v>
      </c>
      <c r="AY7266">
        <f t="shared" si="228"/>
        <v>43</v>
      </c>
      <c r="AZ7266">
        <f t="shared" si="229"/>
        <v>2</v>
      </c>
    </row>
    <row r="7267" spans="1:52" ht="55.2">
      <c r="A7267" s="3" t="s">
        <v>7311</v>
      </c>
      <c r="B7267">
        <v>9</v>
      </c>
      <c r="C7267">
        <v>9</v>
      </c>
      <c r="M7267">
        <v>10</v>
      </c>
      <c r="AY7267">
        <f t="shared" si="228"/>
        <v>43</v>
      </c>
      <c r="AZ7267">
        <f t="shared" si="229"/>
        <v>2</v>
      </c>
    </row>
    <row r="7268" spans="1:52" ht="55.2">
      <c r="A7268" s="3" t="s">
        <v>7312</v>
      </c>
      <c r="B7268">
        <v>9</v>
      </c>
      <c r="C7268">
        <v>9</v>
      </c>
      <c r="M7268">
        <v>10</v>
      </c>
      <c r="AY7268">
        <f t="shared" si="228"/>
        <v>43</v>
      </c>
      <c r="AZ7268">
        <f t="shared" si="229"/>
        <v>2</v>
      </c>
    </row>
    <row r="7269" spans="1:52" ht="55.2">
      <c r="A7269" s="3" t="s">
        <v>7313</v>
      </c>
      <c r="B7269">
        <v>9</v>
      </c>
      <c r="C7269">
        <v>9</v>
      </c>
      <c r="M7269">
        <v>10</v>
      </c>
      <c r="AY7269">
        <f t="shared" si="228"/>
        <v>43</v>
      </c>
      <c r="AZ7269">
        <f t="shared" si="229"/>
        <v>2</v>
      </c>
    </row>
    <row r="7270" spans="1:52" ht="55.2">
      <c r="A7270" s="3" t="s">
        <v>7314</v>
      </c>
      <c r="B7270">
        <v>9</v>
      </c>
      <c r="C7270">
        <v>9</v>
      </c>
      <c r="M7270">
        <v>10</v>
      </c>
      <c r="AY7270">
        <f t="shared" si="228"/>
        <v>43</v>
      </c>
      <c r="AZ7270">
        <f t="shared" si="229"/>
        <v>2</v>
      </c>
    </row>
    <row r="7271" spans="1:52" ht="55.2">
      <c r="A7271" s="3" t="s">
        <v>7315</v>
      </c>
      <c r="B7271">
        <v>9</v>
      </c>
      <c r="C7271">
        <v>9</v>
      </c>
      <c r="M7271">
        <v>10</v>
      </c>
      <c r="AY7271">
        <f t="shared" si="228"/>
        <v>43</v>
      </c>
      <c r="AZ7271">
        <f t="shared" si="229"/>
        <v>2</v>
      </c>
    </row>
    <row r="7272" spans="1:52" ht="55.2">
      <c r="A7272" s="3" t="s">
        <v>7316</v>
      </c>
      <c r="B7272">
        <v>9</v>
      </c>
      <c r="C7272">
        <v>9</v>
      </c>
      <c r="M7272">
        <v>10</v>
      </c>
      <c r="AY7272">
        <f t="shared" si="228"/>
        <v>43</v>
      </c>
      <c r="AZ7272">
        <f t="shared" si="229"/>
        <v>2</v>
      </c>
    </row>
    <row r="7273" spans="1:52" ht="55.2">
      <c r="A7273" s="3" t="s">
        <v>7317</v>
      </c>
      <c r="B7273">
        <v>9</v>
      </c>
      <c r="C7273">
        <v>9</v>
      </c>
      <c r="M7273">
        <v>10</v>
      </c>
      <c r="AY7273">
        <f t="shared" si="228"/>
        <v>43</v>
      </c>
      <c r="AZ7273">
        <f t="shared" si="229"/>
        <v>2</v>
      </c>
    </row>
    <row r="7274" spans="1:52" ht="55.2">
      <c r="A7274" s="3" t="s">
        <v>7318</v>
      </c>
      <c r="B7274">
        <v>9</v>
      </c>
      <c r="C7274">
        <v>9</v>
      </c>
      <c r="M7274">
        <v>10</v>
      </c>
      <c r="AY7274">
        <f t="shared" si="228"/>
        <v>43</v>
      </c>
      <c r="AZ7274">
        <f t="shared" si="229"/>
        <v>2</v>
      </c>
    </row>
    <row r="7275" spans="1:52" ht="55.2">
      <c r="A7275" s="3" t="s">
        <v>7319</v>
      </c>
      <c r="B7275">
        <v>9</v>
      </c>
      <c r="C7275">
        <v>9</v>
      </c>
      <c r="M7275">
        <v>10</v>
      </c>
      <c r="AY7275">
        <f t="shared" si="228"/>
        <v>43</v>
      </c>
      <c r="AZ7275">
        <f t="shared" si="229"/>
        <v>2</v>
      </c>
    </row>
    <row r="7276" spans="1:52" ht="55.2">
      <c r="A7276" s="3" t="s">
        <v>7320</v>
      </c>
      <c r="B7276">
        <v>9</v>
      </c>
      <c r="C7276">
        <v>9</v>
      </c>
      <c r="M7276">
        <v>10</v>
      </c>
      <c r="AY7276">
        <f t="shared" si="228"/>
        <v>43</v>
      </c>
      <c r="AZ7276">
        <f t="shared" si="229"/>
        <v>2</v>
      </c>
    </row>
    <row r="7277" spans="1:52" ht="55.2">
      <c r="A7277" s="3" t="s">
        <v>7321</v>
      </c>
      <c r="B7277">
        <v>9</v>
      </c>
      <c r="C7277">
        <v>9</v>
      </c>
      <c r="M7277">
        <v>10</v>
      </c>
      <c r="AY7277">
        <f t="shared" si="228"/>
        <v>43</v>
      </c>
      <c r="AZ7277">
        <f t="shared" si="229"/>
        <v>2</v>
      </c>
    </row>
    <row r="7278" spans="1:52" ht="55.2">
      <c r="A7278" s="3" t="s">
        <v>7322</v>
      </c>
      <c r="B7278">
        <v>9</v>
      </c>
      <c r="C7278">
        <v>9</v>
      </c>
      <c r="M7278">
        <v>10</v>
      </c>
      <c r="AY7278">
        <f t="shared" si="228"/>
        <v>43</v>
      </c>
      <c r="AZ7278">
        <f t="shared" si="229"/>
        <v>2</v>
      </c>
    </row>
    <row r="7279" spans="1:52" ht="55.2">
      <c r="A7279" s="3" t="s">
        <v>7323</v>
      </c>
      <c r="B7279">
        <v>9</v>
      </c>
      <c r="C7279">
        <v>9</v>
      </c>
      <c r="M7279">
        <v>10</v>
      </c>
      <c r="AY7279">
        <f t="shared" si="228"/>
        <v>43</v>
      </c>
      <c r="AZ7279">
        <f t="shared" si="229"/>
        <v>2</v>
      </c>
    </row>
    <row r="7280" spans="1:52" ht="55.2">
      <c r="A7280" s="3" t="s">
        <v>7324</v>
      </c>
      <c r="B7280">
        <v>9</v>
      </c>
      <c r="C7280">
        <v>9</v>
      </c>
      <c r="M7280">
        <v>10</v>
      </c>
      <c r="AY7280">
        <f t="shared" si="228"/>
        <v>43</v>
      </c>
      <c r="AZ7280">
        <f t="shared" si="229"/>
        <v>2</v>
      </c>
    </row>
    <row r="7281" spans="1:52" ht="55.2">
      <c r="A7281" s="3" t="s">
        <v>7325</v>
      </c>
      <c r="B7281">
        <v>9</v>
      </c>
      <c r="C7281">
        <v>9</v>
      </c>
      <c r="M7281">
        <v>10</v>
      </c>
      <c r="AY7281">
        <f t="shared" si="228"/>
        <v>43</v>
      </c>
      <c r="AZ7281">
        <f t="shared" si="229"/>
        <v>2</v>
      </c>
    </row>
    <row r="7282" spans="1:52" ht="55.2">
      <c r="A7282" s="3" t="s">
        <v>7326</v>
      </c>
      <c r="B7282">
        <v>9</v>
      </c>
      <c r="C7282">
        <v>9</v>
      </c>
      <c r="M7282">
        <v>10</v>
      </c>
      <c r="AY7282">
        <f t="shared" si="228"/>
        <v>43</v>
      </c>
      <c r="AZ7282">
        <f t="shared" si="229"/>
        <v>2</v>
      </c>
    </row>
    <row r="7283" spans="1:52" ht="55.2">
      <c r="A7283" s="3" t="s">
        <v>7327</v>
      </c>
      <c r="B7283">
        <v>9</v>
      </c>
      <c r="C7283">
        <v>9</v>
      </c>
      <c r="M7283">
        <v>10</v>
      </c>
      <c r="AY7283">
        <f t="shared" si="228"/>
        <v>43</v>
      </c>
      <c r="AZ7283">
        <f t="shared" si="229"/>
        <v>2</v>
      </c>
    </row>
    <row r="7284" spans="1:52" ht="55.2">
      <c r="A7284" s="3" t="s">
        <v>7328</v>
      </c>
      <c r="B7284">
        <v>9</v>
      </c>
      <c r="C7284">
        <v>9</v>
      </c>
      <c r="M7284">
        <v>10</v>
      </c>
      <c r="AY7284">
        <f t="shared" si="228"/>
        <v>43</v>
      </c>
      <c r="AZ7284">
        <f t="shared" si="229"/>
        <v>2</v>
      </c>
    </row>
    <row r="7285" spans="1:52" ht="55.2">
      <c r="A7285" s="3" t="s">
        <v>7329</v>
      </c>
      <c r="B7285">
        <v>9</v>
      </c>
      <c r="C7285">
        <v>9</v>
      </c>
      <c r="M7285">
        <v>10</v>
      </c>
      <c r="AY7285">
        <f t="shared" si="228"/>
        <v>43</v>
      </c>
      <c r="AZ7285">
        <f t="shared" si="229"/>
        <v>2</v>
      </c>
    </row>
    <row r="7286" spans="1:52" ht="55.2">
      <c r="A7286" s="3" t="s">
        <v>7330</v>
      </c>
      <c r="B7286">
        <v>9</v>
      </c>
      <c r="C7286">
        <v>9</v>
      </c>
      <c r="M7286">
        <v>10</v>
      </c>
      <c r="AY7286">
        <f t="shared" si="228"/>
        <v>43</v>
      </c>
      <c r="AZ7286">
        <f t="shared" si="229"/>
        <v>2</v>
      </c>
    </row>
    <row r="7287" spans="1:52" ht="55.2">
      <c r="A7287" s="3" t="s">
        <v>7331</v>
      </c>
      <c r="B7287">
        <v>9</v>
      </c>
      <c r="C7287">
        <v>9</v>
      </c>
      <c r="M7287">
        <v>10</v>
      </c>
      <c r="AY7287">
        <f t="shared" si="228"/>
        <v>43</v>
      </c>
      <c r="AZ7287">
        <f t="shared" si="229"/>
        <v>2</v>
      </c>
    </row>
    <row r="7288" spans="1:52" ht="55.2">
      <c r="A7288" s="3" t="s">
        <v>7332</v>
      </c>
      <c r="B7288">
        <v>9</v>
      </c>
      <c r="C7288">
        <v>9</v>
      </c>
      <c r="M7288">
        <v>10</v>
      </c>
      <c r="AY7288">
        <f t="shared" si="228"/>
        <v>43</v>
      </c>
      <c r="AZ7288">
        <f t="shared" si="229"/>
        <v>2</v>
      </c>
    </row>
    <row r="7289" spans="1:52" ht="55.2">
      <c r="A7289" s="3" t="s">
        <v>7333</v>
      </c>
      <c r="B7289">
        <v>9</v>
      </c>
      <c r="C7289">
        <v>9</v>
      </c>
      <c r="M7289">
        <v>10</v>
      </c>
      <c r="AY7289">
        <f t="shared" si="228"/>
        <v>43</v>
      </c>
      <c r="AZ7289">
        <f t="shared" si="229"/>
        <v>2</v>
      </c>
    </row>
    <row r="7290" spans="1:52" ht="55.2">
      <c r="A7290" s="3" t="s">
        <v>7334</v>
      </c>
      <c r="B7290">
        <v>9</v>
      </c>
      <c r="C7290">
        <v>9</v>
      </c>
      <c r="M7290">
        <v>10</v>
      </c>
      <c r="AY7290">
        <f t="shared" si="228"/>
        <v>43</v>
      </c>
      <c r="AZ7290">
        <f t="shared" si="229"/>
        <v>2</v>
      </c>
    </row>
    <row r="7291" spans="1:52" ht="55.2">
      <c r="A7291" s="3" t="s">
        <v>7335</v>
      </c>
      <c r="B7291">
        <v>9</v>
      </c>
      <c r="C7291">
        <v>9</v>
      </c>
      <c r="M7291">
        <v>10</v>
      </c>
      <c r="AY7291">
        <f t="shared" si="228"/>
        <v>43</v>
      </c>
      <c r="AZ7291">
        <f t="shared" si="229"/>
        <v>2</v>
      </c>
    </row>
    <row r="7292" spans="1:52" ht="55.2">
      <c r="A7292" s="3" t="s">
        <v>7336</v>
      </c>
      <c r="B7292">
        <v>9</v>
      </c>
      <c r="C7292">
        <v>9</v>
      </c>
      <c r="M7292">
        <v>10</v>
      </c>
      <c r="AY7292">
        <f t="shared" si="228"/>
        <v>43</v>
      </c>
      <c r="AZ7292">
        <f t="shared" si="229"/>
        <v>2</v>
      </c>
    </row>
    <row r="7293" spans="1:52" ht="55.2">
      <c r="A7293" s="3" t="s">
        <v>7337</v>
      </c>
      <c r="B7293">
        <v>9</v>
      </c>
      <c r="C7293">
        <v>9</v>
      </c>
      <c r="J7293">
        <v>83</v>
      </c>
      <c r="AY7293">
        <f t="shared" si="228"/>
        <v>43</v>
      </c>
      <c r="AZ7293">
        <f t="shared" si="229"/>
        <v>2</v>
      </c>
    </row>
    <row r="7294" spans="1:52" ht="55.2">
      <c r="A7294" s="3" t="s">
        <v>7338</v>
      </c>
      <c r="B7294">
        <v>9</v>
      </c>
      <c r="C7294">
        <v>9</v>
      </c>
      <c r="J7294">
        <v>83</v>
      </c>
      <c r="AY7294">
        <f t="shared" si="228"/>
        <v>43</v>
      </c>
      <c r="AZ7294">
        <f t="shared" si="229"/>
        <v>2</v>
      </c>
    </row>
    <row r="7295" spans="1:52" ht="55.2">
      <c r="A7295" s="3" t="s">
        <v>7339</v>
      </c>
      <c r="B7295">
        <v>9</v>
      </c>
      <c r="C7295">
        <v>9</v>
      </c>
      <c r="J7295">
        <v>83</v>
      </c>
      <c r="AY7295">
        <f t="shared" si="228"/>
        <v>43</v>
      </c>
      <c r="AZ7295">
        <f t="shared" si="229"/>
        <v>2</v>
      </c>
    </row>
    <row r="7296" spans="1:52" ht="55.2">
      <c r="A7296" s="3" t="s">
        <v>7340</v>
      </c>
      <c r="B7296">
        <v>9</v>
      </c>
      <c r="J7296">
        <v>83</v>
      </c>
      <c r="AY7296">
        <f t="shared" si="228"/>
        <v>43</v>
      </c>
      <c r="AZ7296">
        <f t="shared" si="229"/>
        <v>3</v>
      </c>
    </row>
    <row r="7297" spans="1:52" ht="55.2">
      <c r="A7297" s="3" t="s">
        <v>7341</v>
      </c>
      <c r="B7297">
        <v>9</v>
      </c>
      <c r="P7297">
        <v>5</v>
      </c>
      <c r="AY7297">
        <f t="shared" si="228"/>
        <v>43</v>
      </c>
      <c r="AZ7297">
        <f t="shared" si="229"/>
        <v>3</v>
      </c>
    </row>
    <row r="7298" spans="1:52" ht="55.2">
      <c r="A7298" s="3" t="s">
        <v>7342</v>
      </c>
      <c r="B7298">
        <v>9</v>
      </c>
      <c r="P7298">
        <v>5</v>
      </c>
      <c r="AY7298">
        <f t="shared" si="228"/>
        <v>43</v>
      </c>
      <c r="AZ7298">
        <f t="shared" si="229"/>
        <v>3</v>
      </c>
    </row>
    <row r="7299" spans="1:52" ht="55.2">
      <c r="A7299" s="3" t="s">
        <v>7343</v>
      </c>
      <c r="B7299">
        <v>9</v>
      </c>
      <c r="P7299">
        <v>5</v>
      </c>
      <c r="AY7299">
        <f t="shared" si="228"/>
        <v>43</v>
      </c>
      <c r="AZ7299">
        <f t="shared" si="229"/>
        <v>3</v>
      </c>
    </row>
    <row r="7300" spans="1:52" ht="55.2">
      <c r="A7300" s="3" t="s">
        <v>7344</v>
      </c>
      <c r="B7300">
        <v>9</v>
      </c>
      <c r="P7300">
        <v>5</v>
      </c>
      <c r="AY7300">
        <f t="shared" si="228"/>
        <v>43</v>
      </c>
      <c r="AZ7300">
        <f t="shared" si="229"/>
        <v>3</v>
      </c>
    </row>
    <row r="7301" spans="1:52" ht="55.2">
      <c r="A7301" s="3" t="s">
        <v>7345</v>
      </c>
      <c r="B7301">
        <v>9</v>
      </c>
      <c r="P7301">
        <v>5</v>
      </c>
      <c r="AY7301">
        <f t="shared" si="228"/>
        <v>43</v>
      </c>
      <c r="AZ7301">
        <f t="shared" si="229"/>
        <v>3</v>
      </c>
    </row>
    <row r="7302" spans="1:52" ht="55.2">
      <c r="A7302" s="3" t="s">
        <v>7346</v>
      </c>
      <c r="B7302">
        <v>9</v>
      </c>
      <c r="P7302">
        <v>5</v>
      </c>
      <c r="AY7302">
        <f t="shared" si="228"/>
        <v>43</v>
      </c>
      <c r="AZ7302">
        <f t="shared" si="229"/>
        <v>3</v>
      </c>
    </row>
    <row r="7303" spans="1:52" ht="55.2">
      <c r="A7303" s="3" t="s">
        <v>7347</v>
      </c>
      <c r="B7303">
        <v>9</v>
      </c>
      <c r="P7303">
        <v>5</v>
      </c>
      <c r="AY7303">
        <f t="shared" si="228"/>
        <v>43</v>
      </c>
      <c r="AZ7303">
        <f t="shared" si="229"/>
        <v>3</v>
      </c>
    </row>
    <row r="7304" spans="1:52" ht="55.2">
      <c r="A7304" s="3" t="s">
        <v>7348</v>
      </c>
      <c r="B7304">
        <v>9</v>
      </c>
      <c r="P7304">
        <v>5</v>
      </c>
      <c r="AY7304">
        <f t="shared" si="228"/>
        <v>43</v>
      </c>
      <c r="AZ7304">
        <f t="shared" si="229"/>
        <v>3</v>
      </c>
    </row>
    <row r="7305" spans="1:52" ht="55.2">
      <c r="A7305" s="3" t="s">
        <v>7349</v>
      </c>
      <c r="B7305">
        <v>9</v>
      </c>
      <c r="AW7305">
        <v>26</v>
      </c>
      <c r="AY7305">
        <f t="shared" si="228"/>
        <v>43</v>
      </c>
      <c r="AZ7305">
        <f t="shared" si="229"/>
        <v>3</v>
      </c>
    </row>
    <row r="7306" spans="1:52" ht="55.2">
      <c r="A7306" s="3" t="s">
        <v>7350</v>
      </c>
      <c r="B7306">
        <v>9</v>
      </c>
      <c r="J7306">
        <v>84</v>
      </c>
      <c r="AY7306">
        <f t="shared" si="228"/>
        <v>43</v>
      </c>
      <c r="AZ7306">
        <f t="shared" si="229"/>
        <v>3</v>
      </c>
    </row>
    <row r="7307" spans="1:52" ht="55.2">
      <c r="A7307" s="3" t="s">
        <v>7351</v>
      </c>
      <c r="B7307">
        <v>9</v>
      </c>
      <c r="J7307">
        <v>84</v>
      </c>
      <c r="AY7307">
        <f t="shared" si="228"/>
        <v>43</v>
      </c>
      <c r="AZ7307">
        <f t="shared" si="229"/>
        <v>3</v>
      </c>
    </row>
    <row r="7308" spans="1:52" ht="55.2">
      <c r="A7308" s="3" t="s">
        <v>7352</v>
      </c>
      <c r="B7308">
        <v>9</v>
      </c>
      <c r="J7308">
        <v>84</v>
      </c>
      <c r="AY7308">
        <f t="shared" si="228"/>
        <v>43</v>
      </c>
      <c r="AZ7308">
        <f t="shared" si="229"/>
        <v>3</v>
      </c>
    </row>
    <row r="7309" spans="1:52" ht="55.2">
      <c r="A7309" s="3" t="s">
        <v>7353</v>
      </c>
      <c r="B7309">
        <v>9</v>
      </c>
      <c r="J7309">
        <v>84</v>
      </c>
      <c r="AY7309">
        <f t="shared" si="228"/>
        <v>43</v>
      </c>
      <c r="AZ7309">
        <f t="shared" si="229"/>
        <v>3</v>
      </c>
    </row>
    <row r="7310" spans="1:52" ht="55.2">
      <c r="A7310" s="3" t="s">
        <v>7354</v>
      </c>
      <c r="B7310">
        <v>9</v>
      </c>
      <c r="J7310">
        <v>84</v>
      </c>
      <c r="AY7310">
        <f t="shared" si="228"/>
        <v>43</v>
      </c>
      <c r="AZ7310">
        <f t="shared" si="229"/>
        <v>3</v>
      </c>
    </row>
    <row r="7311" spans="1:52" ht="55.2">
      <c r="A7311" s="3" t="s">
        <v>7355</v>
      </c>
      <c r="B7311">
        <v>9</v>
      </c>
      <c r="J7311">
        <v>84</v>
      </c>
      <c r="AY7311">
        <f t="shared" si="228"/>
        <v>43</v>
      </c>
      <c r="AZ7311">
        <f t="shared" si="229"/>
        <v>3</v>
      </c>
    </row>
    <row r="7312" spans="1:52" ht="55.2">
      <c r="A7312" s="3" t="s">
        <v>7356</v>
      </c>
      <c r="B7312">
        <v>9</v>
      </c>
      <c r="J7312">
        <v>84</v>
      </c>
      <c r="AY7312">
        <f t="shared" si="228"/>
        <v>43</v>
      </c>
      <c r="AZ7312">
        <f t="shared" si="229"/>
        <v>3</v>
      </c>
    </row>
    <row r="7313" spans="1:52" ht="55.2">
      <c r="A7313" s="3" t="s">
        <v>7357</v>
      </c>
      <c r="B7313">
        <v>9</v>
      </c>
      <c r="J7313">
        <v>84</v>
      </c>
      <c r="AY7313">
        <f t="shared" si="228"/>
        <v>43</v>
      </c>
      <c r="AZ7313">
        <f t="shared" si="229"/>
        <v>3</v>
      </c>
    </row>
    <row r="7314" spans="1:52" ht="55.2">
      <c r="A7314" s="3" t="s">
        <v>7358</v>
      </c>
      <c r="B7314">
        <v>9</v>
      </c>
      <c r="N7314">
        <v>1</v>
      </c>
      <c r="AY7314">
        <f t="shared" si="228"/>
        <v>43</v>
      </c>
      <c r="AZ7314">
        <f t="shared" si="229"/>
        <v>3</v>
      </c>
    </row>
    <row r="7315" spans="1:52" ht="55.2">
      <c r="A7315" s="3" t="s">
        <v>7359</v>
      </c>
      <c r="B7315">
        <v>9</v>
      </c>
      <c r="N7315">
        <v>1</v>
      </c>
      <c r="AY7315">
        <f t="shared" si="228"/>
        <v>43</v>
      </c>
      <c r="AZ7315">
        <f t="shared" si="229"/>
        <v>3</v>
      </c>
    </row>
    <row r="7316" spans="1:52" ht="55.2">
      <c r="A7316" s="3" t="s">
        <v>7360</v>
      </c>
      <c r="B7316">
        <v>9</v>
      </c>
      <c r="N7316">
        <v>1</v>
      </c>
      <c r="AY7316">
        <f t="shared" si="228"/>
        <v>43</v>
      </c>
      <c r="AZ7316">
        <f t="shared" si="229"/>
        <v>3</v>
      </c>
    </row>
    <row r="7317" spans="1:52" ht="55.2">
      <c r="A7317" s="3" t="s">
        <v>7361</v>
      </c>
      <c r="B7317">
        <v>9</v>
      </c>
      <c r="N7317">
        <v>1</v>
      </c>
      <c r="AY7317">
        <f t="shared" si="228"/>
        <v>43</v>
      </c>
      <c r="AZ7317">
        <f t="shared" si="229"/>
        <v>3</v>
      </c>
    </row>
    <row r="7318" spans="1:52" ht="55.2">
      <c r="A7318" s="3" t="s">
        <v>7362</v>
      </c>
      <c r="B7318">
        <v>9</v>
      </c>
      <c r="N7318">
        <v>1</v>
      </c>
      <c r="AY7318">
        <f t="shared" si="228"/>
        <v>43</v>
      </c>
      <c r="AZ7318">
        <f t="shared" si="229"/>
        <v>3</v>
      </c>
    </row>
    <row r="7319" spans="1:52" ht="55.2">
      <c r="A7319" s="3" t="s">
        <v>7363</v>
      </c>
      <c r="B7319">
        <v>9</v>
      </c>
      <c r="N7319">
        <v>1</v>
      </c>
      <c r="AY7319">
        <f t="shared" si="228"/>
        <v>43</v>
      </c>
      <c r="AZ7319">
        <f t="shared" si="229"/>
        <v>3</v>
      </c>
    </row>
    <row r="7320" spans="1:52" ht="55.2">
      <c r="A7320" s="3" t="s">
        <v>7364</v>
      </c>
      <c r="B7320">
        <v>9</v>
      </c>
      <c r="N7320">
        <v>1</v>
      </c>
      <c r="AY7320">
        <f t="shared" si="228"/>
        <v>43</v>
      </c>
      <c r="AZ7320">
        <f t="shared" si="229"/>
        <v>3</v>
      </c>
    </row>
    <row r="7321" spans="1:52" ht="55.2">
      <c r="A7321" s="3" t="s">
        <v>7365</v>
      </c>
      <c r="B7321">
        <v>9</v>
      </c>
      <c r="N7321">
        <v>1</v>
      </c>
      <c r="AY7321">
        <f t="shared" si="228"/>
        <v>43</v>
      </c>
      <c r="AZ7321">
        <f t="shared" si="229"/>
        <v>3</v>
      </c>
    </row>
    <row r="7322" spans="1:52" ht="55.2">
      <c r="A7322" s="3" t="s">
        <v>7366</v>
      </c>
      <c r="B7322">
        <v>9</v>
      </c>
      <c r="N7322">
        <v>1</v>
      </c>
      <c r="AY7322">
        <f t="shared" si="228"/>
        <v>43</v>
      </c>
      <c r="AZ7322">
        <f t="shared" si="229"/>
        <v>3</v>
      </c>
    </row>
    <row r="7323" spans="1:52" ht="55.2">
      <c r="A7323" s="3" t="s">
        <v>7367</v>
      </c>
      <c r="B7323">
        <v>9</v>
      </c>
      <c r="N7323">
        <v>1</v>
      </c>
      <c r="AY7323">
        <f t="shared" si="228"/>
        <v>43</v>
      </c>
      <c r="AZ7323">
        <f t="shared" si="229"/>
        <v>3</v>
      </c>
    </row>
    <row r="7324" spans="1:52" ht="55.2">
      <c r="A7324" s="3" t="s">
        <v>7368</v>
      </c>
      <c r="B7324">
        <v>9</v>
      </c>
      <c r="N7324">
        <v>1</v>
      </c>
      <c r="AY7324">
        <f t="shared" si="228"/>
        <v>43</v>
      </c>
      <c r="AZ7324">
        <f t="shared" si="229"/>
        <v>3</v>
      </c>
    </row>
    <row r="7325" spans="1:52" ht="55.2">
      <c r="A7325" s="3" t="s">
        <v>7369</v>
      </c>
      <c r="B7325">
        <v>9</v>
      </c>
      <c r="N7325">
        <v>1</v>
      </c>
      <c r="AY7325">
        <f t="shared" si="228"/>
        <v>43</v>
      </c>
      <c r="AZ7325">
        <f t="shared" si="229"/>
        <v>3</v>
      </c>
    </row>
    <row r="7326" spans="1:52" ht="55.2">
      <c r="A7326" s="3" t="s">
        <v>7370</v>
      </c>
      <c r="B7326">
        <v>9</v>
      </c>
      <c r="N7326">
        <v>1</v>
      </c>
      <c r="AY7326">
        <f t="shared" si="228"/>
        <v>43</v>
      </c>
      <c r="AZ7326">
        <f t="shared" si="229"/>
        <v>3</v>
      </c>
    </row>
    <row r="7327" spans="1:52" ht="55.2">
      <c r="A7327" s="3" t="s">
        <v>7371</v>
      </c>
      <c r="B7327">
        <v>9</v>
      </c>
      <c r="N7327">
        <v>1</v>
      </c>
      <c r="AY7327">
        <f t="shared" si="228"/>
        <v>43</v>
      </c>
      <c r="AZ7327">
        <f t="shared" si="229"/>
        <v>3</v>
      </c>
    </row>
    <row r="7328" spans="1:52" ht="55.2">
      <c r="A7328" s="3" t="s">
        <v>7372</v>
      </c>
      <c r="B7328">
        <v>9</v>
      </c>
      <c r="N7328">
        <v>1</v>
      </c>
      <c r="AY7328">
        <f t="shared" si="228"/>
        <v>43</v>
      </c>
      <c r="AZ7328">
        <f t="shared" si="229"/>
        <v>3</v>
      </c>
    </row>
    <row r="7329" spans="1:52" ht="55.2">
      <c r="A7329" s="3" t="s">
        <v>7373</v>
      </c>
      <c r="B7329">
        <v>9</v>
      </c>
      <c r="N7329">
        <v>1</v>
      </c>
      <c r="AY7329">
        <f t="shared" ref="AY7329:AY7392" si="230">COUNTBLANK(F7329:AW7329)</f>
        <v>43</v>
      </c>
      <c r="AZ7329">
        <f t="shared" ref="AZ7329:AZ7392" si="231">COUNTBLANK(B7329:E7329)</f>
        <v>3</v>
      </c>
    </row>
    <row r="7330" spans="1:52" ht="55.2">
      <c r="A7330" s="3" t="s">
        <v>7374</v>
      </c>
      <c r="B7330">
        <v>9</v>
      </c>
      <c r="N7330">
        <v>1</v>
      </c>
      <c r="AY7330">
        <f t="shared" si="230"/>
        <v>43</v>
      </c>
      <c r="AZ7330">
        <f t="shared" si="231"/>
        <v>3</v>
      </c>
    </row>
    <row r="7331" spans="1:52" ht="55.2">
      <c r="A7331" s="3" t="s">
        <v>7375</v>
      </c>
      <c r="B7331">
        <v>9</v>
      </c>
      <c r="N7331">
        <v>1</v>
      </c>
      <c r="AY7331">
        <f t="shared" si="230"/>
        <v>43</v>
      </c>
      <c r="AZ7331">
        <f t="shared" si="231"/>
        <v>3</v>
      </c>
    </row>
    <row r="7332" spans="1:52" ht="55.2">
      <c r="A7332" s="3" t="s">
        <v>7376</v>
      </c>
      <c r="B7332">
        <v>9</v>
      </c>
      <c r="N7332">
        <v>1</v>
      </c>
      <c r="AY7332">
        <f t="shared" si="230"/>
        <v>43</v>
      </c>
      <c r="AZ7332">
        <f t="shared" si="231"/>
        <v>3</v>
      </c>
    </row>
    <row r="7333" spans="1:52" ht="55.2">
      <c r="A7333" s="3" t="s">
        <v>7377</v>
      </c>
      <c r="B7333">
        <v>9</v>
      </c>
      <c r="N7333">
        <v>1</v>
      </c>
      <c r="AY7333">
        <f t="shared" si="230"/>
        <v>43</v>
      </c>
      <c r="AZ7333">
        <f t="shared" si="231"/>
        <v>3</v>
      </c>
    </row>
    <row r="7334" spans="1:52" ht="55.2">
      <c r="A7334" s="3" t="s">
        <v>7378</v>
      </c>
      <c r="B7334">
        <v>9</v>
      </c>
      <c r="N7334">
        <v>1</v>
      </c>
      <c r="AY7334">
        <f t="shared" si="230"/>
        <v>43</v>
      </c>
      <c r="AZ7334">
        <f t="shared" si="231"/>
        <v>3</v>
      </c>
    </row>
    <row r="7335" spans="1:52" ht="55.2">
      <c r="A7335" s="3" t="s">
        <v>7379</v>
      </c>
      <c r="B7335">
        <v>9</v>
      </c>
      <c r="N7335">
        <v>1</v>
      </c>
      <c r="AY7335">
        <f t="shared" si="230"/>
        <v>43</v>
      </c>
      <c r="AZ7335">
        <f t="shared" si="231"/>
        <v>3</v>
      </c>
    </row>
    <row r="7336" spans="1:52" ht="55.2">
      <c r="A7336" s="3" t="s">
        <v>7380</v>
      </c>
      <c r="B7336">
        <v>9</v>
      </c>
      <c r="N7336">
        <v>1</v>
      </c>
      <c r="AY7336">
        <f t="shared" si="230"/>
        <v>43</v>
      </c>
      <c r="AZ7336">
        <f t="shared" si="231"/>
        <v>3</v>
      </c>
    </row>
    <row r="7337" spans="1:52" ht="55.2">
      <c r="A7337" s="3" t="s">
        <v>7381</v>
      </c>
      <c r="B7337">
        <v>9</v>
      </c>
      <c r="N7337">
        <v>1</v>
      </c>
      <c r="AY7337">
        <f t="shared" si="230"/>
        <v>43</v>
      </c>
      <c r="AZ7337">
        <f t="shared" si="231"/>
        <v>3</v>
      </c>
    </row>
    <row r="7338" spans="1:52" ht="55.2">
      <c r="A7338" s="3" t="s">
        <v>7382</v>
      </c>
      <c r="B7338">
        <v>9</v>
      </c>
      <c r="N7338">
        <v>1</v>
      </c>
      <c r="AY7338">
        <f t="shared" si="230"/>
        <v>43</v>
      </c>
      <c r="AZ7338">
        <f t="shared" si="231"/>
        <v>3</v>
      </c>
    </row>
    <row r="7339" spans="1:52" ht="55.2">
      <c r="A7339" s="3" t="s">
        <v>7383</v>
      </c>
      <c r="B7339">
        <v>9</v>
      </c>
      <c r="O7339">
        <v>1</v>
      </c>
      <c r="AY7339">
        <f t="shared" si="230"/>
        <v>43</v>
      </c>
      <c r="AZ7339">
        <f t="shared" si="231"/>
        <v>3</v>
      </c>
    </row>
    <row r="7340" spans="1:52" ht="55.2">
      <c r="A7340" s="3" t="s">
        <v>7384</v>
      </c>
      <c r="B7340">
        <v>9</v>
      </c>
      <c r="O7340">
        <v>1</v>
      </c>
      <c r="AY7340">
        <f t="shared" si="230"/>
        <v>43</v>
      </c>
      <c r="AZ7340">
        <f t="shared" si="231"/>
        <v>3</v>
      </c>
    </row>
    <row r="7341" spans="1:52" ht="55.2">
      <c r="A7341" s="3" t="s">
        <v>7385</v>
      </c>
      <c r="B7341">
        <v>9</v>
      </c>
      <c r="O7341">
        <v>1</v>
      </c>
      <c r="AY7341">
        <f t="shared" si="230"/>
        <v>43</v>
      </c>
      <c r="AZ7341">
        <f t="shared" si="231"/>
        <v>3</v>
      </c>
    </row>
    <row r="7342" spans="1:52" ht="55.2">
      <c r="A7342" s="3" t="s">
        <v>7386</v>
      </c>
      <c r="B7342">
        <v>9</v>
      </c>
      <c r="O7342">
        <v>1</v>
      </c>
      <c r="AY7342">
        <f t="shared" si="230"/>
        <v>43</v>
      </c>
      <c r="AZ7342">
        <f t="shared" si="231"/>
        <v>3</v>
      </c>
    </row>
    <row r="7343" spans="1:52" ht="55.2">
      <c r="A7343" s="3" t="s">
        <v>7387</v>
      </c>
      <c r="B7343">
        <v>9</v>
      </c>
      <c r="O7343">
        <v>1</v>
      </c>
      <c r="AY7343">
        <f t="shared" si="230"/>
        <v>43</v>
      </c>
      <c r="AZ7343">
        <f t="shared" si="231"/>
        <v>3</v>
      </c>
    </row>
    <row r="7344" spans="1:52" ht="55.2">
      <c r="A7344" s="3" t="s">
        <v>7388</v>
      </c>
      <c r="B7344">
        <v>9</v>
      </c>
      <c r="O7344">
        <v>1</v>
      </c>
      <c r="AY7344">
        <f t="shared" si="230"/>
        <v>43</v>
      </c>
      <c r="AZ7344">
        <f t="shared" si="231"/>
        <v>3</v>
      </c>
    </row>
    <row r="7345" spans="1:52" ht="55.2">
      <c r="A7345" s="3" t="s">
        <v>7389</v>
      </c>
      <c r="B7345">
        <v>9</v>
      </c>
      <c r="O7345">
        <v>1</v>
      </c>
      <c r="AY7345">
        <f t="shared" si="230"/>
        <v>43</v>
      </c>
      <c r="AZ7345">
        <f t="shared" si="231"/>
        <v>3</v>
      </c>
    </row>
    <row r="7346" spans="1:52" ht="55.2">
      <c r="A7346" s="3" t="s">
        <v>7390</v>
      </c>
      <c r="B7346">
        <v>9</v>
      </c>
      <c r="O7346">
        <v>1</v>
      </c>
      <c r="AY7346">
        <f t="shared" si="230"/>
        <v>43</v>
      </c>
      <c r="AZ7346">
        <f t="shared" si="231"/>
        <v>3</v>
      </c>
    </row>
    <row r="7347" spans="1:52" ht="55.2">
      <c r="A7347" s="3" t="s">
        <v>7391</v>
      </c>
      <c r="B7347">
        <v>9</v>
      </c>
      <c r="O7347">
        <v>1</v>
      </c>
      <c r="AY7347">
        <f t="shared" si="230"/>
        <v>43</v>
      </c>
      <c r="AZ7347">
        <f t="shared" si="231"/>
        <v>3</v>
      </c>
    </row>
    <row r="7348" spans="1:52" ht="55.2">
      <c r="A7348" s="3" t="s">
        <v>7392</v>
      </c>
      <c r="B7348">
        <v>9</v>
      </c>
      <c r="O7348">
        <v>1</v>
      </c>
      <c r="AY7348">
        <f t="shared" si="230"/>
        <v>43</v>
      </c>
      <c r="AZ7348">
        <f t="shared" si="231"/>
        <v>3</v>
      </c>
    </row>
    <row r="7349" spans="1:52" ht="55.2">
      <c r="A7349" s="3" t="s">
        <v>7393</v>
      </c>
      <c r="B7349">
        <v>9</v>
      </c>
      <c r="O7349">
        <v>1</v>
      </c>
      <c r="AY7349">
        <f t="shared" si="230"/>
        <v>43</v>
      </c>
      <c r="AZ7349">
        <f t="shared" si="231"/>
        <v>3</v>
      </c>
    </row>
    <row r="7350" spans="1:52" ht="55.2">
      <c r="A7350" s="3" t="s">
        <v>7394</v>
      </c>
      <c r="B7350">
        <v>9</v>
      </c>
      <c r="O7350">
        <v>1</v>
      </c>
      <c r="AY7350">
        <f t="shared" si="230"/>
        <v>43</v>
      </c>
      <c r="AZ7350">
        <f t="shared" si="231"/>
        <v>3</v>
      </c>
    </row>
    <row r="7351" spans="1:52" ht="55.2">
      <c r="A7351" s="3" t="s">
        <v>7395</v>
      </c>
      <c r="B7351">
        <v>9</v>
      </c>
      <c r="O7351">
        <v>1</v>
      </c>
      <c r="AY7351">
        <f t="shared" si="230"/>
        <v>43</v>
      </c>
      <c r="AZ7351">
        <f t="shared" si="231"/>
        <v>3</v>
      </c>
    </row>
    <row r="7352" spans="1:52" ht="55.2">
      <c r="A7352" s="3" t="s">
        <v>7396</v>
      </c>
      <c r="B7352">
        <v>9</v>
      </c>
      <c r="O7352">
        <v>1</v>
      </c>
      <c r="AY7352">
        <f t="shared" si="230"/>
        <v>43</v>
      </c>
      <c r="AZ7352">
        <f t="shared" si="231"/>
        <v>3</v>
      </c>
    </row>
    <row r="7353" spans="1:52" ht="55.2">
      <c r="A7353" s="3" t="s">
        <v>7397</v>
      </c>
      <c r="B7353">
        <v>9</v>
      </c>
      <c r="O7353">
        <v>1</v>
      </c>
      <c r="AY7353">
        <f t="shared" si="230"/>
        <v>43</v>
      </c>
      <c r="AZ7353">
        <f t="shared" si="231"/>
        <v>3</v>
      </c>
    </row>
    <row r="7354" spans="1:52" ht="55.2">
      <c r="A7354" s="3" t="s">
        <v>7398</v>
      </c>
      <c r="B7354">
        <v>9</v>
      </c>
      <c r="O7354">
        <v>1</v>
      </c>
      <c r="AY7354">
        <f t="shared" si="230"/>
        <v>43</v>
      </c>
      <c r="AZ7354">
        <f t="shared" si="231"/>
        <v>3</v>
      </c>
    </row>
    <row r="7355" spans="1:52" ht="55.2">
      <c r="A7355" s="3" t="s">
        <v>7399</v>
      </c>
      <c r="B7355">
        <v>9</v>
      </c>
      <c r="O7355">
        <v>1</v>
      </c>
      <c r="AY7355">
        <f t="shared" si="230"/>
        <v>43</v>
      </c>
      <c r="AZ7355">
        <f t="shared" si="231"/>
        <v>3</v>
      </c>
    </row>
    <row r="7356" spans="1:52" ht="55.2">
      <c r="A7356" s="3" t="s">
        <v>7400</v>
      </c>
      <c r="B7356">
        <v>9</v>
      </c>
      <c r="O7356">
        <v>1</v>
      </c>
      <c r="AY7356">
        <f t="shared" si="230"/>
        <v>43</v>
      </c>
      <c r="AZ7356">
        <f t="shared" si="231"/>
        <v>3</v>
      </c>
    </row>
    <row r="7357" spans="1:52" ht="55.2">
      <c r="A7357" s="3" t="s">
        <v>7401</v>
      </c>
      <c r="B7357">
        <v>9</v>
      </c>
      <c r="O7357">
        <v>1</v>
      </c>
      <c r="AY7357">
        <f t="shared" si="230"/>
        <v>43</v>
      </c>
      <c r="AZ7357">
        <f t="shared" si="231"/>
        <v>3</v>
      </c>
    </row>
    <row r="7358" spans="1:52" ht="55.2">
      <c r="A7358" s="3" t="s">
        <v>7402</v>
      </c>
      <c r="B7358">
        <v>9</v>
      </c>
      <c r="O7358">
        <v>1</v>
      </c>
      <c r="AY7358">
        <f t="shared" si="230"/>
        <v>43</v>
      </c>
      <c r="AZ7358">
        <f t="shared" si="231"/>
        <v>3</v>
      </c>
    </row>
    <row r="7359" spans="1:52" ht="55.2">
      <c r="A7359" s="3" t="s">
        <v>7403</v>
      </c>
      <c r="B7359">
        <v>9</v>
      </c>
      <c r="O7359">
        <v>1</v>
      </c>
      <c r="AY7359">
        <f t="shared" si="230"/>
        <v>43</v>
      </c>
      <c r="AZ7359">
        <f t="shared" si="231"/>
        <v>3</v>
      </c>
    </row>
    <row r="7360" spans="1:52" ht="55.2">
      <c r="A7360" s="3" t="s">
        <v>7404</v>
      </c>
      <c r="B7360">
        <v>9</v>
      </c>
      <c r="O7360">
        <v>1</v>
      </c>
      <c r="AY7360">
        <f t="shared" si="230"/>
        <v>43</v>
      </c>
      <c r="AZ7360">
        <f t="shared" si="231"/>
        <v>3</v>
      </c>
    </row>
    <row r="7361" spans="1:52" ht="55.2">
      <c r="A7361" s="3" t="s">
        <v>7405</v>
      </c>
      <c r="B7361">
        <v>9</v>
      </c>
      <c r="O7361">
        <v>1</v>
      </c>
      <c r="AY7361">
        <f t="shared" si="230"/>
        <v>43</v>
      </c>
      <c r="AZ7361">
        <f t="shared" si="231"/>
        <v>3</v>
      </c>
    </row>
    <row r="7362" spans="1:52" ht="55.2">
      <c r="A7362" s="3" t="s">
        <v>7406</v>
      </c>
      <c r="B7362">
        <v>9</v>
      </c>
      <c r="O7362">
        <v>1</v>
      </c>
      <c r="AY7362">
        <f t="shared" si="230"/>
        <v>43</v>
      </c>
      <c r="AZ7362">
        <f t="shared" si="231"/>
        <v>3</v>
      </c>
    </row>
    <row r="7363" spans="1:52" ht="55.2">
      <c r="A7363" s="3" t="s">
        <v>7407</v>
      </c>
      <c r="B7363">
        <v>9</v>
      </c>
      <c r="O7363">
        <v>1</v>
      </c>
      <c r="AY7363">
        <f t="shared" si="230"/>
        <v>43</v>
      </c>
      <c r="AZ7363">
        <f t="shared" si="231"/>
        <v>3</v>
      </c>
    </row>
    <row r="7364" spans="1:52" ht="55.2">
      <c r="A7364" s="3" t="s">
        <v>7408</v>
      </c>
      <c r="B7364">
        <v>9</v>
      </c>
      <c r="O7364">
        <v>1</v>
      </c>
      <c r="AY7364">
        <f t="shared" si="230"/>
        <v>43</v>
      </c>
      <c r="AZ7364">
        <f t="shared" si="231"/>
        <v>3</v>
      </c>
    </row>
    <row r="7365" spans="1:52" ht="55.2">
      <c r="A7365" s="3" t="s">
        <v>7409</v>
      </c>
      <c r="B7365">
        <v>9</v>
      </c>
      <c r="O7365">
        <v>1</v>
      </c>
      <c r="AY7365">
        <f t="shared" si="230"/>
        <v>43</v>
      </c>
      <c r="AZ7365">
        <f t="shared" si="231"/>
        <v>3</v>
      </c>
    </row>
    <row r="7366" spans="1:52" ht="55.2">
      <c r="A7366" s="3" t="s">
        <v>7410</v>
      </c>
      <c r="B7366">
        <v>9</v>
      </c>
      <c r="O7366">
        <v>1</v>
      </c>
      <c r="AY7366">
        <f t="shared" si="230"/>
        <v>43</v>
      </c>
      <c r="AZ7366">
        <f t="shared" si="231"/>
        <v>3</v>
      </c>
    </row>
    <row r="7367" spans="1:52" ht="55.2">
      <c r="A7367" s="3" t="s">
        <v>7411</v>
      </c>
      <c r="B7367">
        <v>9</v>
      </c>
      <c r="O7367">
        <v>1</v>
      </c>
      <c r="AY7367">
        <f t="shared" si="230"/>
        <v>43</v>
      </c>
      <c r="AZ7367">
        <f t="shared" si="231"/>
        <v>3</v>
      </c>
    </row>
    <row r="7368" spans="1:52" ht="55.2">
      <c r="A7368" s="3" t="s">
        <v>7412</v>
      </c>
      <c r="B7368">
        <v>9</v>
      </c>
      <c r="O7368">
        <v>1</v>
      </c>
      <c r="AY7368">
        <f t="shared" si="230"/>
        <v>43</v>
      </c>
      <c r="AZ7368">
        <f t="shared" si="231"/>
        <v>3</v>
      </c>
    </row>
    <row r="7369" spans="1:52" ht="55.2">
      <c r="A7369" s="3" t="s">
        <v>7413</v>
      </c>
      <c r="B7369">
        <v>9</v>
      </c>
      <c r="O7369">
        <v>1</v>
      </c>
      <c r="AY7369">
        <f t="shared" si="230"/>
        <v>43</v>
      </c>
      <c r="AZ7369">
        <f t="shared" si="231"/>
        <v>3</v>
      </c>
    </row>
    <row r="7370" spans="1:52" ht="55.2">
      <c r="A7370" s="3" t="s">
        <v>7414</v>
      </c>
      <c r="B7370">
        <v>9</v>
      </c>
      <c r="O7370">
        <v>1</v>
      </c>
      <c r="AY7370">
        <f t="shared" si="230"/>
        <v>43</v>
      </c>
      <c r="AZ7370">
        <f t="shared" si="231"/>
        <v>3</v>
      </c>
    </row>
    <row r="7371" spans="1:52" ht="55.2">
      <c r="A7371" s="3" t="s">
        <v>7415</v>
      </c>
      <c r="B7371">
        <v>9</v>
      </c>
      <c r="O7371">
        <v>1</v>
      </c>
      <c r="AY7371">
        <f t="shared" si="230"/>
        <v>43</v>
      </c>
      <c r="AZ7371">
        <f t="shared" si="231"/>
        <v>3</v>
      </c>
    </row>
    <row r="7372" spans="1:52" ht="55.2">
      <c r="A7372" s="3" t="s">
        <v>7416</v>
      </c>
      <c r="B7372">
        <v>9</v>
      </c>
      <c r="O7372">
        <v>1</v>
      </c>
      <c r="AY7372">
        <f t="shared" si="230"/>
        <v>43</v>
      </c>
      <c r="AZ7372">
        <f t="shared" si="231"/>
        <v>3</v>
      </c>
    </row>
    <row r="7373" spans="1:52" ht="55.2">
      <c r="A7373" s="3" t="s">
        <v>7417</v>
      </c>
      <c r="B7373">
        <v>9</v>
      </c>
      <c r="N7373">
        <v>2</v>
      </c>
      <c r="AY7373">
        <f t="shared" si="230"/>
        <v>43</v>
      </c>
      <c r="AZ7373">
        <f t="shared" si="231"/>
        <v>3</v>
      </c>
    </row>
    <row r="7374" spans="1:52" ht="55.2">
      <c r="A7374" s="3" t="s">
        <v>7418</v>
      </c>
      <c r="B7374">
        <v>9</v>
      </c>
      <c r="N7374">
        <v>2</v>
      </c>
      <c r="AY7374">
        <f t="shared" si="230"/>
        <v>43</v>
      </c>
      <c r="AZ7374">
        <f t="shared" si="231"/>
        <v>3</v>
      </c>
    </row>
    <row r="7375" spans="1:52" ht="55.2">
      <c r="A7375" s="3" t="s">
        <v>7419</v>
      </c>
      <c r="B7375">
        <v>9</v>
      </c>
      <c r="N7375">
        <v>2</v>
      </c>
      <c r="AY7375">
        <f t="shared" si="230"/>
        <v>43</v>
      </c>
      <c r="AZ7375">
        <f t="shared" si="231"/>
        <v>3</v>
      </c>
    </row>
    <row r="7376" spans="1:52" ht="55.2">
      <c r="A7376" s="3" t="s">
        <v>7420</v>
      </c>
      <c r="B7376">
        <v>9</v>
      </c>
      <c r="N7376">
        <v>2</v>
      </c>
      <c r="AY7376">
        <f t="shared" si="230"/>
        <v>43</v>
      </c>
      <c r="AZ7376">
        <f t="shared" si="231"/>
        <v>3</v>
      </c>
    </row>
    <row r="7377" spans="1:52" ht="55.2">
      <c r="A7377" s="3" t="s">
        <v>7421</v>
      </c>
      <c r="B7377">
        <v>9</v>
      </c>
      <c r="N7377">
        <v>2</v>
      </c>
      <c r="AY7377">
        <f t="shared" si="230"/>
        <v>43</v>
      </c>
      <c r="AZ7377">
        <f t="shared" si="231"/>
        <v>3</v>
      </c>
    </row>
    <row r="7378" spans="1:52" ht="55.2">
      <c r="A7378" s="3" t="s">
        <v>7422</v>
      </c>
      <c r="B7378">
        <v>9</v>
      </c>
      <c r="N7378">
        <v>2</v>
      </c>
      <c r="AY7378">
        <f t="shared" si="230"/>
        <v>43</v>
      </c>
      <c r="AZ7378">
        <f t="shared" si="231"/>
        <v>3</v>
      </c>
    </row>
    <row r="7379" spans="1:52" ht="55.2">
      <c r="A7379" s="3" t="s">
        <v>7423</v>
      </c>
      <c r="B7379">
        <v>9</v>
      </c>
      <c r="N7379">
        <v>2</v>
      </c>
      <c r="AY7379">
        <f t="shared" si="230"/>
        <v>43</v>
      </c>
      <c r="AZ7379">
        <f t="shared" si="231"/>
        <v>3</v>
      </c>
    </row>
    <row r="7380" spans="1:52" ht="55.2">
      <c r="A7380" s="3" t="s">
        <v>7424</v>
      </c>
      <c r="B7380">
        <v>9</v>
      </c>
      <c r="N7380">
        <v>2</v>
      </c>
      <c r="AY7380">
        <f t="shared" si="230"/>
        <v>43</v>
      </c>
      <c r="AZ7380">
        <f t="shared" si="231"/>
        <v>3</v>
      </c>
    </row>
    <row r="7381" spans="1:52" ht="55.2">
      <c r="A7381" s="3" t="s">
        <v>7425</v>
      </c>
      <c r="B7381">
        <v>9</v>
      </c>
      <c r="N7381">
        <v>2</v>
      </c>
      <c r="AY7381">
        <f t="shared" si="230"/>
        <v>43</v>
      </c>
      <c r="AZ7381">
        <f t="shared" si="231"/>
        <v>3</v>
      </c>
    </row>
    <row r="7382" spans="1:52" ht="55.2">
      <c r="A7382" s="3" t="s">
        <v>7426</v>
      </c>
      <c r="B7382">
        <v>9</v>
      </c>
      <c r="N7382">
        <v>2</v>
      </c>
      <c r="AY7382">
        <f t="shared" si="230"/>
        <v>43</v>
      </c>
      <c r="AZ7382">
        <f t="shared" si="231"/>
        <v>3</v>
      </c>
    </row>
    <row r="7383" spans="1:52" ht="55.2">
      <c r="A7383" s="3" t="s">
        <v>7427</v>
      </c>
      <c r="B7383">
        <v>9</v>
      </c>
      <c r="N7383">
        <v>2</v>
      </c>
      <c r="AY7383">
        <f t="shared" si="230"/>
        <v>43</v>
      </c>
      <c r="AZ7383">
        <f t="shared" si="231"/>
        <v>3</v>
      </c>
    </row>
    <row r="7384" spans="1:52" ht="55.2">
      <c r="A7384" s="3" t="s">
        <v>7428</v>
      </c>
      <c r="B7384">
        <v>9</v>
      </c>
      <c r="N7384">
        <v>2</v>
      </c>
      <c r="AY7384">
        <f t="shared" si="230"/>
        <v>43</v>
      </c>
      <c r="AZ7384">
        <f t="shared" si="231"/>
        <v>3</v>
      </c>
    </row>
    <row r="7385" spans="1:52" ht="55.2">
      <c r="A7385" s="3" t="s">
        <v>7429</v>
      </c>
      <c r="B7385">
        <v>9</v>
      </c>
      <c r="N7385">
        <v>2</v>
      </c>
      <c r="AY7385">
        <f t="shared" si="230"/>
        <v>43</v>
      </c>
      <c r="AZ7385">
        <f t="shared" si="231"/>
        <v>3</v>
      </c>
    </row>
    <row r="7386" spans="1:52" ht="55.2">
      <c r="A7386" s="3" t="s">
        <v>7430</v>
      </c>
      <c r="B7386">
        <v>9</v>
      </c>
      <c r="N7386">
        <v>2</v>
      </c>
      <c r="AY7386">
        <f t="shared" si="230"/>
        <v>43</v>
      </c>
      <c r="AZ7386">
        <f t="shared" si="231"/>
        <v>3</v>
      </c>
    </row>
    <row r="7387" spans="1:52" ht="55.2">
      <c r="A7387" s="3" t="s">
        <v>7431</v>
      </c>
      <c r="B7387">
        <v>9</v>
      </c>
      <c r="N7387">
        <v>2</v>
      </c>
      <c r="AY7387">
        <f t="shared" si="230"/>
        <v>43</v>
      </c>
      <c r="AZ7387">
        <f t="shared" si="231"/>
        <v>3</v>
      </c>
    </row>
    <row r="7388" spans="1:52" ht="55.2">
      <c r="A7388" s="3" t="s">
        <v>7432</v>
      </c>
      <c r="B7388">
        <v>9</v>
      </c>
      <c r="N7388">
        <v>2</v>
      </c>
      <c r="AY7388">
        <f t="shared" si="230"/>
        <v>43</v>
      </c>
      <c r="AZ7388">
        <f t="shared" si="231"/>
        <v>3</v>
      </c>
    </row>
    <row r="7389" spans="1:52" ht="55.2">
      <c r="A7389" s="3" t="s">
        <v>7433</v>
      </c>
      <c r="B7389">
        <v>9</v>
      </c>
      <c r="N7389">
        <v>2</v>
      </c>
      <c r="AY7389">
        <f t="shared" si="230"/>
        <v>43</v>
      </c>
      <c r="AZ7389">
        <f t="shared" si="231"/>
        <v>3</v>
      </c>
    </row>
    <row r="7390" spans="1:52" ht="55.2">
      <c r="A7390" s="3" t="s">
        <v>7434</v>
      </c>
      <c r="B7390">
        <v>9</v>
      </c>
      <c r="N7390">
        <v>2</v>
      </c>
      <c r="AY7390">
        <f t="shared" si="230"/>
        <v>43</v>
      </c>
      <c r="AZ7390">
        <f t="shared" si="231"/>
        <v>3</v>
      </c>
    </row>
    <row r="7391" spans="1:52" ht="55.2">
      <c r="A7391" s="3" t="s">
        <v>7435</v>
      </c>
      <c r="B7391">
        <v>9</v>
      </c>
      <c r="N7391">
        <v>2</v>
      </c>
      <c r="AY7391">
        <f t="shared" si="230"/>
        <v>43</v>
      </c>
      <c r="AZ7391">
        <f t="shared" si="231"/>
        <v>3</v>
      </c>
    </row>
    <row r="7392" spans="1:52" ht="55.2">
      <c r="A7392" s="3" t="s">
        <v>7436</v>
      </c>
      <c r="B7392">
        <v>9</v>
      </c>
      <c r="N7392">
        <v>2</v>
      </c>
      <c r="AY7392">
        <f t="shared" si="230"/>
        <v>43</v>
      </c>
      <c r="AZ7392">
        <f t="shared" si="231"/>
        <v>3</v>
      </c>
    </row>
    <row r="7393" spans="1:52" ht="55.2">
      <c r="A7393" s="3" t="s">
        <v>7437</v>
      </c>
      <c r="B7393">
        <v>9</v>
      </c>
      <c r="N7393">
        <v>2</v>
      </c>
      <c r="AY7393">
        <f t="shared" ref="AY7393:AY7456" si="232">COUNTBLANK(F7393:AW7393)</f>
        <v>43</v>
      </c>
      <c r="AZ7393">
        <f t="shared" ref="AZ7393:AZ7456" si="233">COUNTBLANK(B7393:E7393)</f>
        <v>3</v>
      </c>
    </row>
    <row r="7394" spans="1:52" ht="55.2">
      <c r="A7394" s="3" t="s">
        <v>7438</v>
      </c>
      <c r="B7394">
        <v>9</v>
      </c>
      <c r="N7394">
        <v>2</v>
      </c>
      <c r="AY7394">
        <f t="shared" si="232"/>
        <v>43</v>
      </c>
      <c r="AZ7394">
        <f t="shared" si="233"/>
        <v>3</v>
      </c>
    </row>
    <row r="7395" spans="1:52" ht="55.2">
      <c r="A7395" s="3" t="s">
        <v>7439</v>
      </c>
      <c r="B7395">
        <v>9</v>
      </c>
      <c r="N7395">
        <v>2</v>
      </c>
      <c r="AY7395">
        <f t="shared" si="232"/>
        <v>43</v>
      </c>
      <c r="AZ7395">
        <f t="shared" si="233"/>
        <v>3</v>
      </c>
    </row>
    <row r="7396" spans="1:52" ht="55.2">
      <c r="A7396" s="3" t="s">
        <v>7440</v>
      </c>
      <c r="B7396">
        <v>9</v>
      </c>
      <c r="N7396">
        <v>2</v>
      </c>
      <c r="AY7396">
        <f t="shared" si="232"/>
        <v>43</v>
      </c>
      <c r="AZ7396">
        <f t="shared" si="233"/>
        <v>3</v>
      </c>
    </row>
    <row r="7397" spans="1:52" ht="55.2">
      <c r="A7397" s="3" t="s">
        <v>7441</v>
      </c>
      <c r="B7397">
        <v>9</v>
      </c>
      <c r="N7397">
        <v>2</v>
      </c>
      <c r="AY7397">
        <f t="shared" si="232"/>
        <v>43</v>
      </c>
      <c r="AZ7397">
        <f t="shared" si="233"/>
        <v>3</v>
      </c>
    </row>
    <row r="7398" spans="1:52" ht="55.2">
      <c r="A7398" s="3" t="s">
        <v>7442</v>
      </c>
      <c r="B7398">
        <v>9</v>
      </c>
      <c r="N7398">
        <v>2</v>
      </c>
      <c r="AY7398">
        <f t="shared" si="232"/>
        <v>43</v>
      </c>
      <c r="AZ7398">
        <f t="shared" si="233"/>
        <v>3</v>
      </c>
    </row>
    <row r="7399" spans="1:52" ht="55.2">
      <c r="A7399" s="3" t="s">
        <v>7443</v>
      </c>
      <c r="B7399">
        <v>9</v>
      </c>
      <c r="N7399">
        <v>2</v>
      </c>
      <c r="AY7399">
        <f t="shared" si="232"/>
        <v>43</v>
      </c>
      <c r="AZ7399">
        <f t="shared" si="233"/>
        <v>3</v>
      </c>
    </row>
    <row r="7400" spans="1:52" ht="55.2">
      <c r="A7400" s="3" t="s">
        <v>7444</v>
      </c>
      <c r="B7400">
        <v>9</v>
      </c>
      <c r="N7400">
        <v>2</v>
      </c>
      <c r="AY7400">
        <f t="shared" si="232"/>
        <v>43</v>
      </c>
      <c r="AZ7400">
        <f t="shared" si="233"/>
        <v>3</v>
      </c>
    </row>
    <row r="7401" spans="1:52" ht="55.2">
      <c r="A7401" s="3" t="s">
        <v>7445</v>
      </c>
      <c r="B7401">
        <v>9</v>
      </c>
      <c r="N7401">
        <v>2</v>
      </c>
      <c r="AY7401">
        <f t="shared" si="232"/>
        <v>43</v>
      </c>
      <c r="AZ7401">
        <f t="shared" si="233"/>
        <v>3</v>
      </c>
    </row>
    <row r="7402" spans="1:52" ht="55.2">
      <c r="A7402" s="3" t="s">
        <v>7446</v>
      </c>
      <c r="B7402">
        <v>9</v>
      </c>
      <c r="N7402">
        <v>2</v>
      </c>
      <c r="AY7402">
        <f t="shared" si="232"/>
        <v>43</v>
      </c>
      <c r="AZ7402">
        <f t="shared" si="233"/>
        <v>3</v>
      </c>
    </row>
    <row r="7403" spans="1:52" ht="55.2">
      <c r="A7403" s="3" t="s">
        <v>7447</v>
      </c>
      <c r="B7403">
        <v>9</v>
      </c>
      <c r="N7403">
        <v>2</v>
      </c>
      <c r="AY7403">
        <f t="shared" si="232"/>
        <v>43</v>
      </c>
      <c r="AZ7403">
        <f t="shared" si="233"/>
        <v>3</v>
      </c>
    </row>
    <row r="7404" spans="1:52" ht="55.2">
      <c r="A7404" s="3" t="s">
        <v>7448</v>
      </c>
      <c r="B7404">
        <v>9</v>
      </c>
      <c r="N7404">
        <v>2</v>
      </c>
      <c r="AY7404">
        <f t="shared" si="232"/>
        <v>43</v>
      </c>
      <c r="AZ7404">
        <f t="shared" si="233"/>
        <v>3</v>
      </c>
    </row>
    <row r="7405" spans="1:52" ht="55.2">
      <c r="A7405" s="3" t="s">
        <v>7449</v>
      </c>
      <c r="B7405">
        <v>9</v>
      </c>
      <c r="N7405">
        <v>2</v>
      </c>
      <c r="AY7405">
        <f t="shared" si="232"/>
        <v>43</v>
      </c>
      <c r="AZ7405">
        <f t="shared" si="233"/>
        <v>3</v>
      </c>
    </row>
    <row r="7406" spans="1:52" ht="55.2">
      <c r="A7406" s="3" t="s">
        <v>7450</v>
      </c>
      <c r="B7406">
        <v>9</v>
      </c>
      <c r="N7406">
        <v>2</v>
      </c>
      <c r="AY7406">
        <f t="shared" si="232"/>
        <v>43</v>
      </c>
      <c r="AZ7406">
        <f t="shared" si="233"/>
        <v>3</v>
      </c>
    </row>
    <row r="7407" spans="1:52" ht="55.2">
      <c r="A7407" s="3" t="s">
        <v>7451</v>
      </c>
      <c r="B7407">
        <v>9</v>
      </c>
      <c r="N7407">
        <v>2</v>
      </c>
      <c r="AY7407">
        <f t="shared" si="232"/>
        <v>43</v>
      </c>
      <c r="AZ7407">
        <f t="shared" si="233"/>
        <v>3</v>
      </c>
    </row>
    <row r="7408" spans="1:52" ht="55.2">
      <c r="A7408" s="3" t="s">
        <v>7452</v>
      </c>
      <c r="B7408">
        <v>9</v>
      </c>
      <c r="N7408">
        <v>2</v>
      </c>
      <c r="AY7408">
        <f t="shared" si="232"/>
        <v>43</v>
      </c>
      <c r="AZ7408">
        <f t="shared" si="233"/>
        <v>3</v>
      </c>
    </row>
    <row r="7409" spans="1:52" ht="55.2">
      <c r="A7409" s="3" t="s">
        <v>7453</v>
      </c>
      <c r="B7409">
        <v>9</v>
      </c>
      <c r="N7409">
        <v>2</v>
      </c>
      <c r="AY7409">
        <f t="shared" si="232"/>
        <v>43</v>
      </c>
      <c r="AZ7409">
        <f t="shared" si="233"/>
        <v>3</v>
      </c>
    </row>
    <row r="7410" spans="1:52" ht="55.2">
      <c r="A7410" s="3" t="s">
        <v>7454</v>
      </c>
      <c r="B7410">
        <v>9</v>
      </c>
      <c r="N7410">
        <v>2</v>
      </c>
      <c r="AY7410">
        <f t="shared" si="232"/>
        <v>43</v>
      </c>
      <c r="AZ7410">
        <f t="shared" si="233"/>
        <v>3</v>
      </c>
    </row>
    <row r="7411" spans="1:52" ht="55.2">
      <c r="A7411" s="3" t="s">
        <v>7455</v>
      </c>
      <c r="B7411">
        <v>9</v>
      </c>
      <c r="N7411">
        <v>2</v>
      </c>
      <c r="AY7411">
        <f t="shared" si="232"/>
        <v>43</v>
      </c>
      <c r="AZ7411">
        <f t="shared" si="233"/>
        <v>3</v>
      </c>
    </row>
    <row r="7412" spans="1:52" ht="55.2">
      <c r="A7412" s="3" t="s">
        <v>7456</v>
      </c>
      <c r="B7412">
        <v>9</v>
      </c>
      <c r="N7412">
        <v>2</v>
      </c>
      <c r="AY7412">
        <f t="shared" si="232"/>
        <v>43</v>
      </c>
      <c r="AZ7412">
        <f t="shared" si="233"/>
        <v>3</v>
      </c>
    </row>
    <row r="7413" spans="1:52" ht="55.2">
      <c r="A7413" s="3" t="s">
        <v>7457</v>
      </c>
      <c r="B7413">
        <v>9</v>
      </c>
      <c r="N7413">
        <v>2</v>
      </c>
      <c r="AY7413">
        <f t="shared" si="232"/>
        <v>43</v>
      </c>
      <c r="AZ7413">
        <f t="shared" si="233"/>
        <v>3</v>
      </c>
    </row>
    <row r="7414" spans="1:52" ht="55.2">
      <c r="A7414" s="3" t="s">
        <v>7458</v>
      </c>
      <c r="B7414">
        <v>9</v>
      </c>
      <c r="N7414">
        <v>2</v>
      </c>
      <c r="AY7414">
        <f t="shared" si="232"/>
        <v>43</v>
      </c>
      <c r="AZ7414">
        <f t="shared" si="233"/>
        <v>3</v>
      </c>
    </row>
    <row r="7415" spans="1:52" ht="55.2">
      <c r="A7415" s="3" t="s">
        <v>7459</v>
      </c>
      <c r="B7415">
        <v>9</v>
      </c>
      <c r="N7415">
        <v>2</v>
      </c>
      <c r="AY7415">
        <f t="shared" si="232"/>
        <v>43</v>
      </c>
      <c r="AZ7415">
        <f t="shared" si="233"/>
        <v>3</v>
      </c>
    </row>
    <row r="7416" spans="1:52" ht="55.2">
      <c r="A7416" s="3" t="s">
        <v>7460</v>
      </c>
      <c r="B7416">
        <v>9</v>
      </c>
      <c r="N7416">
        <v>2</v>
      </c>
      <c r="AY7416">
        <f t="shared" si="232"/>
        <v>43</v>
      </c>
      <c r="AZ7416">
        <f t="shared" si="233"/>
        <v>3</v>
      </c>
    </row>
    <row r="7417" spans="1:52" ht="55.2">
      <c r="A7417" s="3" t="s">
        <v>7461</v>
      </c>
      <c r="B7417">
        <v>9</v>
      </c>
      <c r="N7417">
        <v>2</v>
      </c>
      <c r="AY7417">
        <f t="shared" si="232"/>
        <v>43</v>
      </c>
      <c r="AZ7417">
        <f t="shared" si="233"/>
        <v>3</v>
      </c>
    </row>
    <row r="7418" spans="1:52" ht="55.2">
      <c r="A7418" s="3" t="s">
        <v>7462</v>
      </c>
      <c r="B7418">
        <v>9</v>
      </c>
      <c r="N7418">
        <v>2</v>
      </c>
      <c r="AY7418">
        <f t="shared" si="232"/>
        <v>43</v>
      </c>
      <c r="AZ7418">
        <f t="shared" si="233"/>
        <v>3</v>
      </c>
    </row>
    <row r="7419" spans="1:52" ht="55.2">
      <c r="A7419" s="3" t="s">
        <v>7463</v>
      </c>
      <c r="B7419">
        <v>9</v>
      </c>
      <c r="N7419">
        <v>2</v>
      </c>
      <c r="AY7419">
        <f t="shared" si="232"/>
        <v>43</v>
      </c>
      <c r="AZ7419">
        <f t="shared" si="233"/>
        <v>3</v>
      </c>
    </row>
    <row r="7420" spans="1:52" ht="55.2">
      <c r="A7420" s="3" t="s">
        <v>7464</v>
      </c>
      <c r="B7420">
        <v>9</v>
      </c>
      <c r="N7420">
        <v>2</v>
      </c>
      <c r="AY7420">
        <f t="shared" si="232"/>
        <v>43</v>
      </c>
      <c r="AZ7420">
        <f t="shared" si="233"/>
        <v>3</v>
      </c>
    </row>
    <row r="7421" spans="1:52" ht="55.2">
      <c r="A7421" s="3" t="s">
        <v>7465</v>
      </c>
      <c r="B7421">
        <v>9</v>
      </c>
      <c r="N7421">
        <v>2</v>
      </c>
      <c r="AY7421">
        <f t="shared" si="232"/>
        <v>43</v>
      </c>
      <c r="AZ7421">
        <f t="shared" si="233"/>
        <v>3</v>
      </c>
    </row>
    <row r="7422" spans="1:52" ht="55.2">
      <c r="A7422" s="3" t="s">
        <v>7466</v>
      </c>
      <c r="B7422">
        <v>9</v>
      </c>
      <c r="N7422">
        <v>2</v>
      </c>
      <c r="AY7422">
        <f t="shared" si="232"/>
        <v>43</v>
      </c>
      <c r="AZ7422">
        <f t="shared" si="233"/>
        <v>3</v>
      </c>
    </row>
    <row r="7423" spans="1:52" ht="55.2">
      <c r="A7423" s="3" t="s">
        <v>7467</v>
      </c>
      <c r="B7423">
        <v>9</v>
      </c>
      <c r="N7423">
        <v>2</v>
      </c>
      <c r="AY7423">
        <f t="shared" si="232"/>
        <v>43</v>
      </c>
      <c r="AZ7423">
        <f t="shared" si="233"/>
        <v>3</v>
      </c>
    </row>
    <row r="7424" spans="1:52" ht="55.2">
      <c r="A7424" s="3" t="s">
        <v>7468</v>
      </c>
      <c r="B7424">
        <v>9</v>
      </c>
      <c r="N7424">
        <v>2</v>
      </c>
      <c r="AY7424">
        <f t="shared" si="232"/>
        <v>43</v>
      </c>
      <c r="AZ7424">
        <f t="shared" si="233"/>
        <v>3</v>
      </c>
    </row>
    <row r="7425" spans="1:52" ht="55.2">
      <c r="A7425" s="3" t="s">
        <v>7469</v>
      </c>
      <c r="B7425">
        <v>9</v>
      </c>
      <c r="N7425">
        <v>2</v>
      </c>
      <c r="AY7425">
        <f t="shared" si="232"/>
        <v>43</v>
      </c>
      <c r="AZ7425">
        <f t="shared" si="233"/>
        <v>3</v>
      </c>
    </row>
    <row r="7426" spans="1:52" ht="55.2">
      <c r="A7426" s="3" t="s">
        <v>7470</v>
      </c>
      <c r="B7426">
        <v>9</v>
      </c>
      <c r="N7426">
        <v>2</v>
      </c>
      <c r="AY7426">
        <f t="shared" si="232"/>
        <v>43</v>
      </c>
      <c r="AZ7426">
        <f t="shared" si="233"/>
        <v>3</v>
      </c>
    </row>
    <row r="7427" spans="1:52" ht="55.2">
      <c r="A7427" s="3" t="s">
        <v>7471</v>
      </c>
      <c r="B7427">
        <v>9</v>
      </c>
      <c r="N7427">
        <v>2</v>
      </c>
      <c r="AY7427">
        <f t="shared" si="232"/>
        <v>43</v>
      </c>
      <c r="AZ7427">
        <f t="shared" si="233"/>
        <v>3</v>
      </c>
    </row>
    <row r="7428" spans="1:52" ht="55.2">
      <c r="A7428" s="3" t="s">
        <v>7472</v>
      </c>
      <c r="B7428">
        <v>9</v>
      </c>
      <c r="N7428">
        <v>2</v>
      </c>
      <c r="AY7428">
        <f t="shared" si="232"/>
        <v>43</v>
      </c>
      <c r="AZ7428">
        <f t="shared" si="233"/>
        <v>3</v>
      </c>
    </row>
    <row r="7429" spans="1:52" ht="55.2">
      <c r="A7429" s="3" t="s">
        <v>7473</v>
      </c>
      <c r="B7429">
        <v>9</v>
      </c>
      <c r="N7429">
        <v>2</v>
      </c>
      <c r="AY7429">
        <f t="shared" si="232"/>
        <v>43</v>
      </c>
      <c r="AZ7429">
        <f t="shared" si="233"/>
        <v>3</v>
      </c>
    </row>
    <row r="7430" spans="1:52" ht="55.2">
      <c r="A7430" s="3" t="s">
        <v>7474</v>
      </c>
      <c r="B7430">
        <v>9</v>
      </c>
      <c r="N7430">
        <v>2</v>
      </c>
      <c r="AY7430">
        <f t="shared" si="232"/>
        <v>43</v>
      </c>
      <c r="AZ7430">
        <f t="shared" si="233"/>
        <v>3</v>
      </c>
    </row>
    <row r="7431" spans="1:52" ht="55.2">
      <c r="A7431" s="3" t="s">
        <v>7475</v>
      </c>
      <c r="B7431">
        <v>9</v>
      </c>
      <c r="N7431">
        <v>2</v>
      </c>
      <c r="AY7431">
        <f t="shared" si="232"/>
        <v>43</v>
      </c>
      <c r="AZ7431">
        <f t="shared" si="233"/>
        <v>3</v>
      </c>
    </row>
    <row r="7432" spans="1:52" ht="55.2">
      <c r="A7432" s="3" t="s">
        <v>7476</v>
      </c>
      <c r="B7432">
        <v>9</v>
      </c>
      <c r="N7432">
        <v>2</v>
      </c>
      <c r="AY7432">
        <f t="shared" si="232"/>
        <v>43</v>
      </c>
      <c r="AZ7432">
        <f t="shared" si="233"/>
        <v>3</v>
      </c>
    </row>
    <row r="7433" spans="1:52" ht="55.2">
      <c r="A7433" s="3" t="s">
        <v>7477</v>
      </c>
      <c r="B7433">
        <v>9</v>
      </c>
      <c r="N7433">
        <v>2</v>
      </c>
      <c r="AY7433">
        <f t="shared" si="232"/>
        <v>43</v>
      </c>
      <c r="AZ7433">
        <f t="shared" si="233"/>
        <v>3</v>
      </c>
    </row>
    <row r="7434" spans="1:52" ht="55.2">
      <c r="A7434" s="3" t="s">
        <v>7478</v>
      </c>
      <c r="B7434">
        <v>9</v>
      </c>
      <c r="N7434">
        <v>2</v>
      </c>
      <c r="AY7434">
        <f t="shared" si="232"/>
        <v>43</v>
      </c>
      <c r="AZ7434">
        <f t="shared" si="233"/>
        <v>3</v>
      </c>
    </row>
    <row r="7435" spans="1:52" ht="55.2">
      <c r="A7435" s="3" t="s">
        <v>7479</v>
      </c>
      <c r="B7435">
        <v>9</v>
      </c>
      <c r="N7435">
        <v>2</v>
      </c>
      <c r="AY7435">
        <f t="shared" si="232"/>
        <v>43</v>
      </c>
      <c r="AZ7435">
        <f t="shared" si="233"/>
        <v>3</v>
      </c>
    </row>
    <row r="7436" spans="1:52" ht="55.2">
      <c r="A7436" s="3" t="s">
        <v>7480</v>
      </c>
      <c r="B7436">
        <v>9</v>
      </c>
      <c r="J7436">
        <v>85</v>
      </c>
      <c r="AY7436">
        <f t="shared" si="232"/>
        <v>43</v>
      </c>
      <c r="AZ7436">
        <f t="shared" si="233"/>
        <v>3</v>
      </c>
    </row>
    <row r="7437" spans="1:52" ht="55.2">
      <c r="A7437" s="3" t="s">
        <v>7481</v>
      </c>
      <c r="B7437">
        <v>9</v>
      </c>
      <c r="J7437">
        <v>85</v>
      </c>
      <c r="AY7437">
        <f t="shared" si="232"/>
        <v>43</v>
      </c>
      <c r="AZ7437">
        <f t="shared" si="233"/>
        <v>3</v>
      </c>
    </row>
    <row r="7438" spans="1:52" ht="55.2">
      <c r="A7438" s="3" t="s">
        <v>7482</v>
      </c>
      <c r="B7438">
        <v>9</v>
      </c>
      <c r="J7438">
        <v>85</v>
      </c>
      <c r="AY7438">
        <f t="shared" si="232"/>
        <v>43</v>
      </c>
      <c r="AZ7438">
        <f t="shared" si="233"/>
        <v>3</v>
      </c>
    </row>
    <row r="7439" spans="1:52" ht="55.2">
      <c r="A7439" s="3" t="s">
        <v>7483</v>
      </c>
      <c r="B7439">
        <v>9</v>
      </c>
      <c r="J7439">
        <v>85</v>
      </c>
      <c r="AY7439">
        <f t="shared" si="232"/>
        <v>43</v>
      </c>
      <c r="AZ7439">
        <f t="shared" si="233"/>
        <v>3</v>
      </c>
    </row>
    <row r="7440" spans="1:52" ht="55.2">
      <c r="A7440" s="3" t="s">
        <v>7484</v>
      </c>
      <c r="B7440">
        <v>9</v>
      </c>
      <c r="J7440">
        <v>85</v>
      </c>
      <c r="AY7440">
        <f t="shared" si="232"/>
        <v>43</v>
      </c>
      <c r="AZ7440">
        <f t="shared" si="233"/>
        <v>3</v>
      </c>
    </row>
    <row r="7441" spans="1:52" ht="55.2">
      <c r="A7441" s="3" t="s">
        <v>7485</v>
      </c>
      <c r="B7441">
        <v>9</v>
      </c>
      <c r="J7441">
        <v>85</v>
      </c>
      <c r="AY7441">
        <f t="shared" si="232"/>
        <v>43</v>
      </c>
      <c r="AZ7441">
        <f t="shared" si="233"/>
        <v>3</v>
      </c>
    </row>
    <row r="7442" spans="1:52" ht="55.2">
      <c r="A7442" s="3" t="s">
        <v>7486</v>
      </c>
      <c r="B7442">
        <v>9</v>
      </c>
      <c r="J7442">
        <v>85</v>
      </c>
      <c r="AY7442">
        <f t="shared" si="232"/>
        <v>43</v>
      </c>
      <c r="AZ7442">
        <f t="shared" si="233"/>
        <v>3</v>
      </c>
    </row>
    <row r="7443" spans="1:52" ht="55.2">
      <c r="A7443" s="3" t="s">
        <v>7487</v>
      </c>
      <c r="B7443">
        <v>9</v>
      </c>
      <c r="J7443">
        <v>85</v>
      </c>
      <c r="AY7443">
        <f t="shared" si="232"/>
        <v>43</v>
      </c>
      <c r="AZ7443">
        <f t="shared" si="233"/>
        <v>3</v>
      </c>
    </row>
    <row r="7444" spans="1:52" ht="55.2">
      <c r="A7444" s="3" t="s">
        <v>7488</v>
      </c>
      <c r="B7444">
        <v>9</v>
      </c>
      <c r="J7444">
        <v>85</v>
      </c>
      <c r="AY7444">
        <f t="shared" si="232"/>
        <v>43</v>
      </c>
      <c r="AZ7444">
        <f t="shared" si="233"/>
        <v>3</v>
      </c>
    </row>
    <row r="7445" spans="1:52" ht="55.2">
      <c r="A7445" s="3" t="s">
        <v>7489</v>
      </c>
      <c r="B7445">
        <v>9</v>
      </c>
      <c r="J7445">
        <v>85</v>
      </c>
      <c r="AY7445">
        <f t="shared" si="232"/>
        <v>43</v>
      </c>
      <c r="AZ7445">
        <f t="shared" si="233"/>
        <v>3</v>
      </c>
    </row>
    <row r="7446" spans="1:52" ht="55.2">
      <c r="A7446" s="3" t="s">
        <v>7490</v>
      </c>
      <c r="B7446">
        <v>9</v>
      </c>
      <c r="J7446">
        <v>85</v>
      </c>
      <c r="AY7446">
        <f t="shared" si="232"/>
        <v>43</v>
      </c>
      <c r="AZ7446">
        <f t="shared" si="233"/>
        <v>3</v>
      </c>
    </row>
    <row r="7447" spans="1:52" ht="55.2">
      <c r="A7447" s="3" t="s">
        <v>7491</v>
      </c>
      <c r="B7447">
        <v>9</v>
      </c>
      <c r="J7447">
        <v>85</v>
      </c>
      <c r="AY7447">
        <f t="shared" si="232"/>
        <v>43</v>
      </c>
      <c r="AZ7447">
        <f t="shared" si="233"/>
        <v>3</v>
      </c>
    </row>
    <row r="7448" spans="1:52" ht="55.2">
      <c r="A7448" s="3" t="s">
        <v>7492</v>
      </c>
      <c r="B7448">
        <v>9</v>
      </c>
      <c r="J7448">
        <v>85</v>
      </c>
      <c r="AY7448">
        <f t="shared" si="232"/>
        <v>43</v>
      </c>
      <c r="AZ7448">
        <f t="shared" si="233"/>
        <v>3</v>
      </c>
    </row>
    <row r="7449" spans="1:52" ht="55.2">
      <c r="A7449" s="3" t="s">
        <v>7493</v>
      </c>
      <c r="B7449">
        <v>9</v>
      </c>
      <c r="J7449">
        <v>85</v>
      </c>
      <c r="AY7449">
        <f t="shared" si="232"/>
        <v>43</v>
      </c>
      <c r="AZ7449">
        <f t="shared" si="233"/>
        <v>3</v>
      </c>
    </row>
    <row r="7450" spans="1:52" ht="55.2">
      <c r="A7450" s="3" t="s">
        <v>7494</v>
      </c>
      <c r="B7450">
        <v>9</v>
      </c>
      <c r="J7450">
        <v>85</v>
      </c>
      <c r="AY7450">
        <f t="shared" si="232"/>
        <v>43</v>
      </c>
      <c r="AZ7450">
        <f t="shared" si="233"/>
        <v>3</v>
      </c>
    </row>
    <row r="7451" spans="1:52" ht="55.2">
      <c r="A7451" s="3" t="s">
        <v>7495</v>
      </c>
      <c r="B7451">
        <v>9</v>
      </c>
      <c r="J7451">
        <v>85</v>
      </c>
      <c r="AY7451">
        <f t="shared" si="232"/>
        <v>43</v>
      </c>
      <c r="AZ7451">
        <f t="shared" si="233"/>
        <v>3</v>
      </c>
    </row>
    <row r="7452" spans="1:52" ht="55.2">
      <c r="A7452" s="3" t="s">
        <v>7496</v>
      </c>
      <c r="B7452">
        <v>9</v>
      </c>
      <c r="J7452">
        <v>85</v>
      </c>
      <c r="AY7452">
        <f t="shared" si="232"/>
        <v>43</v>
      </c>
      <c r="AZ7452">
        <f t="shared" si="233"/>
        <v>3</v>
      </c>
    </row>
    <row r="7453" spans="1:52" ht="55.2">
      <c r="A7453" s="3" t="s">
        <v>7497</v>
      </c>
      <c r="B7453">
        <v>9</v>
      </c>
      <c r="J7453">
        <v>85</v>
      </c>
      <c r="AY7453">
        <f t="shared" si="232"/>
        <v>43</v>
      </c>
      <c r="AZ7453">
        <f t="shared" si="233"/>
        <v>3</v>
      </c>
    </row>
    <row r="7454" spans="1:52" ht="55.2">
      <c r="A7454" s="3" t="s">
        <v>7498</v>
      </c>
      <c r="B7454">
        <v>9</v>
      </c>
      <c r="J7454">
        <v>85</v>
      </c>
      <c r="AY7454">
        <f t="shared" si="232"/>
        <v>43</v>
      </c>
      <c r="AZ7454">
        <f t="shared" si="233"/>
        <v>3</v>
      </c>
    </row>
    <row r="7455" spans="1:52" ht="55.2">
      <c r="A7455" s="3" t="s">
        <v>7499</v>
      </c>
      <c r="B7455">
        <v>9</v>
      </c>
      <c r="J7455">
        <v>85</v>
      </c>
      <c r="AY7455">
        <f t="shared" si="232"/>
        <v>43</v>
      </c>
      <c r="AZ7455">
        <f t="shared" si="233"/>
        <v>3</v>
      </c>
    </row>
    <row r="7456" spans="1:52" ht="55.2">
      <c r="A7456" s="3" t="s">
        <v>7500</v>
      </c>
      <c r="B7456">
        <v>9</v>
      </c>
      <c r="J7456">
        <v>85</v>
      </c>
      <c r="AY7456">
        <f t="shared" si="232"/>
        <v>43</v>
      </c>
      <c r="AZ7456">
        <f t="shared" si="233"/>
        <v>3</v>
      </c>
    </row>
    <row r="7457" spans="1:52" ht="55.2">
      <c r="A7457" s="3" t="s">
        <v>7501</v>
      </c>
      <c r="B7457">
        <v>9</v>
      </c>
      <c r="J7457">
        <v>85</v>
      </c>
      <c r="AY7457">
        <f t="shared" ref="AY7457:AY7520" si="234">COUNTBLANK(F7457:AW7457)</f>
        <v>43</v>
      </c>
      <c r="AZ7457">
        <f t="shared" ref="AZ7457:AZ7520" si="235">COUNTBLANK(B7457:E7457)</f>
        <v>3</v>
      </c>
    </row>
    <row r="7458" spans="1:52" ht="55.2">
      <c r="A7458" s="3" t="s">
        <v>7502</v>
      </c>
      <c r="B7458">
        <v>9</v>
      </c>
      <c r="J7458">
        <v>85</v>
      </c>
      <c r="AY7458">
        <f t="shared" si="234"/>
        <v>43</v>
      </c>
      <c r="AZ7458">
        <f t="shared" si="235"/>
        <v>3</v>
      </c>
    </row>
    <row r="7459" spans="1:52" ht="55.2">
      <c r="A7459" s="3" t="s">
        <v>7503</v>
      </c>
      <c r="B7459">
        <v>9</v>
      </c>
      <c r="J7459">
        <v>85</v>
      </c>
      <c r="AY7459">
        <f t="shared" si="234"/>
        <v>43</v>
      </c>
      <c r="AZ7459">
        <f t="shared" si="235"/>
        <v>3</v>
      </c>
    </row>
    <row r="7460" spans="1:52" ht="55.2">
      <c r="A7460" s="3" t="s">
        <v>7504</v>
      </c>
      <c r="B7460">
        <v>9</v>
      </c>
      <c r="J7460">
        <v>85</v>
      </c>
      <c r="AY7460">
        <f t="shared" si="234"/>
        <v>43</v>
      </c>
      <c r="AZ7460">
        <f t="shared" si="235"/>
        <v>3</v>
      </c>
    </row>
    <row r="7461" spans="1:52" ht="55.2">
      <c r="A7461" s="3" t="s">
        <v>7505</v>
      </c>
      <c r="B7461">
        <v>9</v>
      </c>
      <c r="J7461">
        <v>85</v>
      </c>
      <c r="AY7461">
        <f t="shared" si="234"/>
        <v>43</v>
      </c>
      <c r="AZ7461">
        <f t="shared" si="235"/>
        <v>3</v>
      </c>
    </row>
    <row r="7462" spans="1:52" ht="55.2">
      <c r="A7462" s="3" t="s">
        <v>7506</v>
      </c>
      <c r="B7462">
        <v>9</v>
      </c>
      <c r="J7462">
        <v>85</v>
      </c>
      <c r="AY7462">
        <f t="shared" si="234"/>
        <v>43</v>
      </c>
      <c r="AZ7462">
        <f t="shared" si="235"/>
        <v>3</v>
      </c>
    </row>
    <row r="7463" spans="1:52" ht="55.2">
      <c r="A7463" s="3" t="s">
        <v>7507</v>
      </c>
      <c r="B7463">
        <v>9</v>
      </c>
      <c r="J7463">
        <v>85</v>
      </c>
      <c r="AY7463">
        <f t="shared" si="234"/>
        <v>43</v>
      </c>
      <c r="AZ7463">
        <f t="shared" si="235"/>
        <v>3</v>
      </c>
    </row>
    <row r="7464" spans="1:52" ht="55.2">
      <c r="A7464" s="3" t="s">
        <v>7508</v>
      </c>
      <c r="B7464">
        <v>9</v>
      </c>
      <c r="J7464">
        <v>85</v>
      </c>
      <c r="AY7464">
        <f t="shared" si="234"/>
        <v>43</v>
      </c>
      <c r="AZ7464">
        <f t="shared" si="235"/>
        <v>3</v>
      </c>
    </row>
    <row r="7465" spans="1:52" ht="55.2">
      <c r="A7465" s="3" t="s">
        <v>7509</v>
      </c>
      <c r="B7465">
        <v>9</v>
      </c>
      <c r="J7465">
        <v>85</v>
      </c>
      <c r="AY7465">
        <f t="shared" si="234"/>
        <v>43</v>
      </c>
      <c r="AZ7465">
        <f t="shared" si="235"/>
        <v>3</v>
      </c>
    </row>
    <row r="7466" spans="1:52" ht="55.2">
      <c r="A7466" s="3" t="s">
        <v>7510</v>
      </c>
      <c r="B7466">
        <v>9</v>
      </c>
      <c r="J7466">
        <v>85</v>
      </c>
      <c r="AY7466">
        <f t="shared" si="234"/>
        <v>43</v>
      </c>
      <c r="AZ7466">
        <f t="shared" si="235"/>
        <v>3</v>
      </c>
    </row>
    <row r="7467" spans="1:52" ht="55.2">
      <c r="A7467" s="3" t="s">
        <v>7511</v>
      </c>
      <c r="B7467">
        <v>9</v>
      </c>
      <c r="AW7467">
        <v>27</v>
      </c>
      <c r="AY7467">
        <f t="shared" si="234"/>
        <v>43</v>
      </c>
      <c r="AZ7467">
        <f t="shared" si="235"/>
        <v>3</v>
      </c>
    </row>
    <row r="7468" spans="1:52" ht="55.2">
      <c r="A7468" s="3" t="s">
        <v>7512</v>
      </c>
      <c r="B7468">
        <v>9</v>
      </c>
      <c r="AW7468">
        <v>27</v>
      </c>
      <c r="AY7468">
        <f t="shared" si="234"/>
        <v>43</v>
      </c>
      <c r="AZ7468">
        <f t="shared" si="235"/>
        <v>3</v>
      </c>
    </row>
    <row r="7469" spans="1:52" ht="55.2">
      <c r="A7469" s="3" t="s">
        <v>7513</v>
      </c>
      <c r="B7469">
        <v>9</v>
      </c>
      <c r="AW7469">
        <v>27</v>
      </c>
      <c r="AY7469">
        <f t="shared" si="234"/>
        <v>43</v>
      </c>
      <c r="AZ7469">
        <f t="shared" si="235"/>
        <v>3</v>
      </c>
    </row>
    <row r="7470" spans="1:52" ht="55.2">
      <c r="A7470" s="3" t="s">
        <v>7514</v>
      </c>
      <c r="B7470">
        <v>9</v>
      </c>
      <c r="AW7470">
        <v>27</v>
      </c>
      <c r="AY7470">
        <f t="shared" si="234"/>
        <v>43</v>
      </c>
      <c r="AZ7470">
        <f t="shared" si="235"/>
        <v>3</v>
      </c>
    </row>
    <row r="7471" spans="1:52" ht="55.2">
      <c r="A7471" s="3" t="s">
        <v>7515</v>
      </c>
      <c r="B7471">
        <v>9</v>
      </c>
      <c r="AW7471">
        <v>27</v>
      </c>
      <c r="AY7471">
        <f t="shared" si="234"/>
        <v>43</v>
      </c>
      <c r="AZ7471">
        <f t="shared" si="235"/>
        <v>3</v>
      </c>
    </row>
    <row r="7472" spans="1:52" ht="55.2">
      <c r="A7472" s="3" t="s">
        <v>7516</v>
      </c>
      <c r="B7472">
        <v>9</v>
      </c>
      <c r="AW7472">
        <v>27</v>
      </c>
      <c r="AY7472">
        <f t="shared" si="234"/>
        <v>43</v>
      </c>
      <c r="AZ7472">
        <f t="shared" si="235"/>
        <v>3</v>
      </c>
    </row>
    <row r="7473" spans="1:52" ht="55.2">
      <c r="A7473" s="3" t="s">
        <v>7517</v>
      </c>
      <c r="B7473">
        <v>9</v>
      </c>
      <c r="AW7473">
        <v>27</v>
      </c>
      <c r="AY7473">
        <f t="shared" si="234"/>
        <v>43</v>
      </c>
      <c r="AZ7473">
        <f t="shared" si="235"/>
        <v>3</v>
      </c>
    </row>
    <row r="7474" spans="1:52" ht="55.2">
      <c r="A7474" s="3" t="s">
        <v>7518</v>
      </c>
      <c r="B7474">
        <v>9</v>
      </c>
      <c r="J7474">
        <v>86</v>
      </c>
      <c r="AY7474">
        <f t="shared" si="234"/>
        <v>43</v>
      </c>
      <c r="AZ7474">
        <f t="shared" si="235"/>
        <v>3</v>
      </c>
    </row>
    <row r="7475" spans="1:52" ht="55.2">
      <c r="A7475" s="3" t="s">
        <v>7519</v>
      </c>
      <c r="B7475">
        <v>9</v>
      </c>
      <c r="J7475">
        <v>86</v>
      </c>
      <c r="AY7475">
        <f t="shared" si="234"/>
        <v>43</v>
      </c>
      <c r="AZ7475">
        <f t="shared" si="235"/>
        <v>3</v>
      </c>
    </row>
    <row r="7476" spans="1:52" ht="55.2">
      <c r="A7476" s="3" t="s">
        <v>7520</v>
      </c>
      <c r="B7476">
        <v>9</v>
      </c>
      <c r="J7476">
        <v>86</v>
      </c>
      <c r="AY7476">
        <f t="shared" si="234"/>
        <v>43</v>
      </c>
      <c r="AZ7476">
        <f t="shared" si="235"/>
        <v>3</v>
      </c>
    </row>
    <row r="7477" spans="1:52" ht="55.2">
      <c r="A7477" s="3" t="s">
        <v>7521</v>
      </c>
      <c r="B7477">
        <v>9</v>
      </c>
      <c r="J7477">
        <v>86</v>
      </c>
      <c r="AY7477">
        <f t="shared" si="234"/>
        <v>43</v>
      </c>
      <c r="AZ7477">
        <f t="shared" si="235"/>
        <v>3</v>
      </c>
    </row>
    <row r="7478" spans="1:52" ht="55.2">
      <c r="A7478" s="3" t="s">
        <v>7522</v>
      </c>
      <c r="B7478">
        <v>9</v>
      </c>
      <c r="J7478">
        <v>86</v>
      </c>
      <c r="AY7478">
        <f t="shared" si="234"/>
        <v>43</v>
      </c>
      <c r="AZ7478">
        <f t="shared" si="235"/>
        <v>3</v>
      </c>
    </row>
    <row r="7479" spans="1:52" ht="55.2">
      <c r="A7479" s="3" t="s">
        <v>7523</v>
      </c>
      <c r="B7479">
        <v>9</v>
      </c>
      <c r="J7479">
        <v>86</v>
      </c>
      <c r="AY7479">
        <f t="shared" si="234"/>
        <v>43</v>
      </c>
      <c r="AZ7479">
        <f t="shared" si="235"/>
        <v>3</v>
      </c>
    </row>
    <row r="7480" spans="1:52" ht="55.2">
      <c r="A7480" s="3" t="s">
        <v>7524</v>
      </c>
      <c r="B7480">
        <v>9</v>
      </c>
      <c r="J7480">
        <v>86</v>
      </c>
      <c r="AY7480">
        <f t="shared" si="234"/>
        <v>43</v>
      </c>
      <c r="AZ7480">
        <f t="shared" si="235"/>
        <v>3</v>
      </c>
    </row>
    <row r="7481" spans="1:52" ht="55.2">
      <c r="A7481" s="3" t="s">
        <v>7529</v>
      </c>
      <c r="B7481">
        <v>9</v>
      </c>
      <c r="AP7481">
        <v>1</v>
      </c>
      <c r="AY7481">
        <f t="shared" si="234"/>
        <v>43</v>
      </c>
      <c r="AZ7481">
        <f t="shared" si="235"/>
        <v>3</v>
      </c>
    </row>
    <row r="7482" spans="1:52" ht="55.2">
      <c r="A7482" s="3" t="s">
        <v>7530</v>
      </c>
      <c r="B7482">
        <v>9</v>
      </c>
      <c r="AP7482">
        <v>1</v>
      </c>
      <c r="AY7482">
        <f t="shared" si="234"/>
        <v>43</v>
      </c>
      <c r="AZ7482">
        <f t="shared" si="235"/>
        <v>3</v>
      </c>
    </row>
    <row r="7483" spans="1:52" ht="55.2">
      <c r="A7483" s="3" t="s">
        <v>7531</v>
      </c>
      <c r="B7483">
        <v>9</v>
      </c>
      <c r="AP7483">
        <v>1</v>
      </c>
      <c r="AY7483">
        <f t="shared" si="234"/>
        <v>43</v>
      </c>
      <c r="AZ7483">
        <f t="shared" si="235"/>
        <v>3</v>
      </c>
    </row>
    <row r="7484" spans="1:52" ht="55.2">
      <c r="A7484" s="3" t="s">
        <v>7532</v>
      </c>
      <c r="B7484">
        <v>9</v>
      </c>
      <c r="AP7484">
        <v>1</v>
      </c>
      <c r="AY7484">
        <f t="shared" si="234"/>
        <v>43</v>
      </c>
      <c r="AZ7484">
        <f t="shared" si="235"/>
        <v>3</v>
      </c>
    </row>
    <row r="7485" spans="1:52" ht="55.2">
      <c r="A7485" s="3" t="s">
        <v>7533</v>
      </c>
      <c r="B7485">
        <v>9</v>
      </c>
      <c r="AP7485">
        <v>1</v>
      </c>
      <c r="AY7485">
        <f t="shared" si="234"/>
        <v>43</v>
      </c>
      <c r="AZ7485">
        <f t="shared" si="235"/>
        <v>3</v>
      </c>
    </row>
    <row r="7486" spans="1:52" ht="55.2">
      <c r="A7486" s="3" t="s">
        <v>7534</v>
      </c>
      <c r="B7486">
        <v>9</v>
      </c>
      <c r="AP7486">
        <v>1</v>
      </c>
      <c r="AY7486">
        <f t="shared" si="234"/>
        <v>43</v>
      </c>
      <c r="AZ7486">
        <f t="shared" si="235"/>
        <v>3</v>
      </c>
    </row>
    <row r="7487" spans="1:52" ht="55.2">
      <c r="A7487" s="3" t="s">
        <v>7535</v>
      </c>
      <c r="B7487">
        <v>9</v>
      </c>
      <c r="AP7487">
        <v>1</v>
      </c>
      <c r="AY7487">
        <f t="shared" si="234"/>
        <v>43</v>
      </c>
      <c r="AZ7487">
        <f t="shared" si="235"/>
        <v>3</v>
      </c>
    </row>
    <row r="7488" spans="1:52" ht="55.2">
      <c r="A7488" s="3" t="s">
        <v>7536</v>
      </c>
      <c r="B7488">
        <v>9</v>
      </c>
      <c r="AP7488">
        <v>1</v>
      </c>
      <c r="AY7488">
        <f t="shared" si="234"/>
        <v>43</v>
      </c>
      <c r="AZ7488">
        <f t="shared" si="235"/>
        <v>3</v>
      </c>
    </row>
    <row r="7489" spans="1:52" ht="55.2">
      <c r="A7489" s="3" t="s">
        <v>7537</v>
      </c>
      <c r="B7489">
        <v>9</v>
      </c>
      <c r="AP7489">
        <v>1</v>
      </c>
      <c r="AY7489">
        <f t="shared" si="234"/>
        <v>43</v>
      </c>
      <c r="AZ7489">
        <f t="shared" si="235"/>
        <v>3</v>
      </c>
    </row>
    <row r="7490" spans="1:52" ht="55.2">
      <c r="A7490" s="3" t="s">
        <v>7538</v>
      </c>
      <c r="B7490">
        <v>9</v>
      </c>
      <c r="AP7490">
        <v>1</v>
      </c>
      <c r="AY7490">
        <f t="shared" si="234"/>
        <v>43</v>
      </c>
      <c r="AZ7490">
        <f t="shared" si="235"/>
        <v>3</v>
      </c>
    </row>
    <row r="7491" spans="1:52" ht="55.2">
      <c r="A7491" s="3" t="s">
        <v>7539</v>
      </c>
      <c r="B7491">
        <v>9</v>
      </c>
      <c r="AP7491">
        <v>1</v>
      </c>
      <c r="AY7491">
        <f t="shared" si="234"/>
        <v>43</v>
      </c>
      <c r="AZ7491">
        <f t="shared" si="235"/>
        <v>3</v>
      </c>
    </row>
    <row r="7492" spans="1:52" ht="55.2">
      <c r="A7492" s="3" t="s">
        <v>7540</v>
      </c>
      <c r="B7492">
        <v>9</v>
      </c>
      <c r="J7492">
        <v>87</v>
      </c>
      <c r="AY7492">
        <f t="shared" si="234"/>
        <v>43</v>
      </c>
      <c r="AZ7492">
        <f t="shared" si="235"/>
        <v>3</v>
      </c>
    </row>
    <row r="7493" spans="1:52" ht="55.2">
      <c r="A7493" s="3" t="s">
        <v>7541</v>
      </c>
      <c r="B7493">
        <v>9</v>
      </c>
      <c r="J7493">
        <v>87</v>
      </c>
      <c r="AY7493">
        <f t="shared" si="234"/>
        <v>43</v>
      </c>
      <c r="AZ7493">
        <f t="shared" si="235"/>
        <v>3</v>
      </c>
    </row>
    <row r="7494" spans="1:52" ht="55.2">
      <c r="A7494" s="3" t="s">
        <v>7542</v>
      </c>
      <c r="B7494">
        <v>9</v>
      </c>
      <c r="J7494">
        <v>87</v>
      </c>
      <c r="AY7494">
        <f t="shared" si="234"/>
        <v>43</v>
      </c>
      <c r="AZ7494">
        <f t="shared" si="235"/>
        <v>3</v>
      </c>
    </row>
    <row r="7495" spans="1:52" ht="55.2">
      <c r="A7495" s="3" t="s">
        <v>7543</v>
      </c>
      <c r="B7495">
        <v>9</v>
      </c>
      <c r="J7495">
        <v>87</v>
      </c>
      <c r="AY7495">
        <f t="shared" si="234"/>
        <v>43</v>
      </c>
      <c r="AZ7495">
        <f t="shared" si="235"/>
        <v>3</v>
      </c>
    </row>
    <row r="7496" spans="1:52" ht="55.2">
      <c r="A7496" s="3" t="s">
        <v>7544</v>
      </c>
      <c r="B7496">
        <v>9</v>
      </c>
      <c r="J7496">
        <v>87</v>
      </c>
      <c r="AY7496">
        <f t="shared" si="234"/>
        <v>43</v>
      </c>
      <c r="AZ7496">
        <f t="shared" si="235"/>
        <v>3</v>
      </c>
    </row>
    <row r="7497" spans="1:52" ht="55.2">
      <c r="A7497" s="3" t="s">
        <v>7545</v>
      </c>
      <c r="B7497">
        <v>9</v>
      </c>
      <c r="J7497">
        <v>87</v>
      </c>
      <c r="AY7497">
        <f t="shared" si="234"/>
        <v>43</v>
      </c>
      <c r="AZ7497">
        <f t="shared" si="235"/>
        <v>3</v>
      </c>
    </row>
    <row r="7498" spans="1:52" ht="55.2">
      <c r="A7498" s="3" t="s">
        <v>7546</v>
      </c>
      <c r="B7498">
        <v>9</v>
      </c>
      <c r="J7498">
        <v>87</v>
      </c>
      <c r="AY7498">
        <f t="shared" si="234"/>
        <v>43</v>
      </c>
      <c r="AZ7498">
        <f t="shared" si="235"/>
        <v>3</v>
      </c>
    </row>
    <row r="7499" spans="1:52" ht="55.2">
      <c r="A7499" s="3" t="s">
        <v>7547</v>
      </c>
      <c r="AW7499">
        <v>28</v>
      </c>
      <c r="AY7499">
        <f t="shared" si="234"/>
        <v>43</v>
      </c>
      <c r="AZ7499">
        <f t="shared" si="235"/>
        <v>4</v>
      </c>
    </row>
    <row r="7500" spans="1:52" ht="55.2">
      <c r="A7500" s="3" t="s">
        <v>7548</v>
      </c>
      <c r="AW7500">
        <v>28</v>
      </c>
      <c r="AY7500">
        <f t="shared" si="234"/>
        <v>43</v>
      </c>
      <c r="AZ7500">
        <f t="shared" si="235"/>
        <v>4</v>
      </c>
    </row>
    <row r="7501" spans="1:52" ht="55.2">
      <c r="A7501" s="3" t="s">
        <v>7549</v>
      </c>
      <c r="AW7501">
        <v>28</v>
      </c>
      <c r="AY7501">
        <f t="shared" si="234"/>
        <v>43</v>
      </c>
      <c r="AZ7501">
        <f t="shared" si="235"/>
        <v>4</v>
      </c>
    </row>
    <row r="7502" spans="1:52" ht="55.2">
      <c r="A7502" s="3" t="s">
        <v>7550</v>
      </c>
      <c r="AW7502">
        <v>28</v>
      </c>
      <c r="AY7502">
        <f t="shared" si="234"/>
        <v>43</v>
      </c>
      <c r="AZ7502">
        <f t="shared" si="235"/>
        <v>4</v>
      </c>
    </row>
    <row r="7503" spans="1:52">
      <c r="A7503" s="3"/>
      <c r="AY7503">
        <f t="shared" si="234"/>
        <v>44</v>
      </c>
      <c r="AZ7503">
        <f t="shared" si="235"/>
        <v>4</v>
      </c>
    </row>
    <row r="7504" spans="1:52">
      <c r="A7504" s="3"/>
      <c r="AY7504">
        <f t="shared" si="234"/>
        <v>44</v>
      </c>
      <c r="AZ7504">
        <f t="shared" si="235"/>
        <v>4</v>
      </c>
    </row>
    <row r="7505" spans="1:52">
      <c r="A7505" s="3"/>
      <c r="AY7505">
        <f t="shared" si="234"/>
        <v>44</v>
      </c>
      <c r="AZ7505">
        <f t="shared" si="235"/>
        <v>4</v>
      </c>
    </row>
    <row r="7506" spans="1:52">
      <c r="A7506" s="3"/>
      <c r="AY7506">
        <f t="shared" si="234"/>
        <v>44</v>
      </c>
      <c r="AZ7506">
        <f t="shared" si="235"/>
        <v>4</v>
      </c>
    </row>
    <row r="7507" spans="1:52">
      <c r="A7507" s="3"/>
      <c r="AY7507">
        <f t="shared" si="234"/>
        <v>44</v>
      </c>
      <c r="AZ7507">
        <f t="shared" si="235"/>
        <v>4</v>
      </c>
    </row>
    <row r="7508" spans="1:52">
      <c r="A7508" s="3"/>
      <c r="AY7508">
        <f t="shared" si="234"/>
        <v>44</v>
      </c>
      <c r="AZ7508">
        <f t="shared" si="235"/>
        <v>4</v>
      </c>
    </row>
    <row r="7509" spans="1:52">
      <c r="A7509" s="3"/>
      <c r="AY7509">
        <f t="shared" si="234"/>
        <v>44</v>
      </c>
      <c r="AZ7509">
        <f t="shared" si="235"/>
        <v>4</v>
      </c>
    </row>
    <row r="7510" spans="1:52">
      <c r="A7510" s="3"/>
      <c r="AY7510">
        <f t="shared" si="234"/>
        <v>44</v>
      </c>
      <c r="AZ7510">
        <f t="shared" si="235"/>
        <v>4</v>
      </c>
    </row>
    <row r="7511" spans="1:52">
      <c r="A7511" s="3"/>
      <c r="AY7511">
        <f t="shared" si="234"/>
        <v>44</v>
      </c>
      <c r="AZ7511">
        <f t="shared" si="235"/>
        <v>4</v>
      </c>
    </row>
    <row r="7512" spans="1:52">
      <c r="A7512" s="3"/>
      <c r="AY7512">
        <f t="shared" si="234"/>
        <v>44</v>
      </c>
      <c r="AZ7512">
        <f t="shared" si="235"/>
        <v>4</v>
      </c>
    </row>
    <row r="7513" spans="1:52">
      <c r="A7513" s="3"/>
      <c r="AY7513">
        <f t="shared" si="234"/>
        <v>44</v>
      </c>
      <c r="AZ7513">
        <f t="shared" si="235"/>
        <v>4</v>
      </c>
    </row>
    <row r="7514" spans="1:52">
      <c r="A7514" s="3"/>
      <c r="AY7514">
        <f t="shared" si="234"/>
        <v>44</v>
      </c>
      <c r="AZ7514">
        <f t="shared" si="235"/>
        <v>4</v>
      </c>
    </row>
    <row r="7515" spans="1:52">
      <c r="A7515" s="3"/>
      <c r="AY7515">
        <f t="shared" si="234"/>
        <v>44</v>
      </c>
      <c r="AZ7515">
        <f t="shared" si="235"/>
        <v>4</v>
      </c>
    </row>
    <row r="7516" spans="1:52">
      <c r="A7516" s="3"/>
      <c r="AY7516">
        <f t="shared" si="234"/>
        <v>44</v>
      </c>
      <c r="AZ7516">
        <f t="shared" si="235"/>
        <v>4</v>
      </c>
    </row>
    <row r="7517" spans="1:52">
      <c r="A7517" s="3"/>
      <c r="AY7517">
        <f t="shared" si="234"/>
        <v>44</v>
      </c>
      <c r="AZ7517">
        <f t="shared" si="235"/>
        <v>4</v>
      </c>
    </row>
    <row r="7518" spans="1:52">
      <c r="A7518" s="3"/>
      <c r="AY7518">
        <f t="shared" si="234"/>
        <v>44</v>
      </c>
      <c r="AZ7518">
        <f t="shared" si="235"/>
        <v>4</v>
      </c>
    </row>
    <row r="7519" spans="1:52">
      <c r="A7519" s="3"/>
      <c r="AY7519">
        <f t="shared" si="234"/>
        <v>44</v>
      </c>
      <c r="AZ7519">
        <f t="shared" si="235"/>
        <v>4</v>
      </c>
    </row>
    <row r="7520" spans="1:52">
      <c r="A7520" s="3"/>
      <c r="AY7520">
        <f t="shared" si="234"/>
        <v>44</v>
      </c>
      <c r="AZ7520">
        <f t="shared" si="235"/>
        <v>4</v>
      </c>
    </row>
    <row r="7521" spans="1:52">
      <c r="A7521" s="3"/>
      <c r="AY7521">
        <f t="shared" ref="AY7521:AY7545" si="236">COUNTBLANK(F7521:AW7521)</f>
        <v>44</v>
      </c>
      <c r="AZ7521">
        <f t="shared" ref="AZ7521:AZ7545" si="237">COUNTBLANK(B7521:E7521)</f>
        <v>4</v>
      </c>
    </row>
    <row r="7522" spans="1:52">
      <c r="A7522" s="3"/>
      <c r="AY7522">
        <f t="shared" si="236"/>
        <v>44</v>
      </c>
      <c r="AZ7522">
        <f t="shared" si="237"/>
        <v>4</v>
      </c>
    </row>
    <row r="7523" spans="1:52">
      <c r="A7523" s="4"/>
      <c r="AY7523">
        <f t="shared" si="236"/>
        <v>44</v>
      </c>
      <c r="AZ7523">
        <f t="shared" si="237"/>
        <v>4</v>
      </c>
    </row>
    <row r="7524" spans="1:52">
      <c r="A7524" s="3"/>
      <c r="AY7524">
        <f t="shared" si="236"/>
        <v>44</v>
      </c>
      <c r="AZ7524">
        <f t="shared" si="237"/>
        <v>4</v>
      </c>
    </row>
    <row r="7525" spans="1:52">
      <c r="A7525" s="3"/>
      <c r="AY7525">
        <f t="shared" si="236"/>
        <v>44</v>
      </c>
      <c r="AZ7525">
        <f t="shared" si="237"/>
        <v>4</v>
      </c>
    </row>
    <row r="7526" spans="1:52">
      <c r="A7526" s="3"/>
      <c r="AY7526">
        <f t="shared" si="236"/>
        <v>44</v>
      </c>
      <c r="AZ7526">
        <f t="shared" si="237"/>
        <v>4</v>
      </c>
    </row>
    <row r="7527" spans="1:52">
      <c r="A7527" s="3"/>
      <c r="AY7527">
        <f t="shared" si="236"/>
        <v>44</v>
      </c>
      <c r="AZ7527">
        <f t="shared" si="237"/>
        <v>4</v>
      </c>
    </row>
    <row r="7528" spans="1:52">
      <c r="A7528" s="3"/>
      <c r="AY7528">
        <f t="shared" si="236"/>
        <v>44</v>
      </c>
      <c r="AZ7528">
        <f t="shared" si="237"/>
        <v>4</v>
      </c>
    </row>
    <row r="7529" spans="1:52">
      <c r="A7529" s="3"/>
      <c r="AY7529">
        <f t="shared" si="236"/>
        <v>44</v>
      </c>
      <c r="AZ7529">
        <f t="shared" si="237"/>
        <v>4</v>
      </c>
    </row>
    <row r="7530" spans="1:52">
      <c r="A7530" s="3"/>
      <c r="AY7530">
        <f t="shared" si="236"/>
        <v>44</v>
      </c>
      <c r="AZ7530">
        <f t="shared" si="237"/>
        <v>4</v>
      </c>
    </row>
    <row r="7531" spans="1:52">
      <c r="A7531" s="3"/>
      <c r="AY7531">
        <f t="shared" si="236"/>
        <v>44</v>
      </c>
      <c r="AZ7531">
        <f t="shared" si="237"/>
        <v>4</v>
      </c>
    </row>
    <row r="7532" spans="1:52">
      <c r="A7532" s="3"/>
      <c r="AY7532">
        <f t="shared" si="236"/>
        <v>44</v>
      </c>
      <c r="AZ7532">
        <f t="shared" si="237"/>
        <v>4</v>
      </c>
    </row>
    <row r="7533" spans="1:52">
      <c r="A7533" s="3"/>
      <c r="AY7533">
        <f t="shared" si="236"/>
        <v>44</v>
      </c>
      <c r="AZ7533">
        <f t="shared" si="237"/>
        <v>4</v>
      </c>
    </row>
    <row r="7534" spans="1:52">
      <c r="A7534" s="3"/>
      <c r="AY7534">
        <f t="shared" si="236"/>
        <v>44</v>
      </c>
      <c r="AZ7534">
        <f t="shared" si="237"/>
        <v>4</v>
      </c>
    </row>
    <row r="7535" spans="1:52">
      <c r="A7535" s="3"/>
      <c r="AY7535">
        <f t="shared" si="236"/>
        <v>44</v>
      </c>
      <c r="AZ7535">
        <f t="shared" si="237"/>
        <v>4</v>
      </c>
    </row>
    <row r="7536" spans="1:52">
      <c r="A7536" s="2"/>
      <c r="AY7536">
        <f t="shared" si="236"/>
        <v>44</v>
      </c>
      <c r="AZ7536">
        <f t="shared" si="237"/>
        <v>4</v>
      </c>
    </row>
    <row r="7537" spans="1:102">
      <c r="A7537" s="2"/>
      <c r="AY7537">
        <f t="shared" si="236"/>
        <v>44</v>
      </c>
      <c r="AZ7537">
        <f t="shared" si="237"/>
        <v>4</v>
      </c>
    </row>
    <row r="7538" spans="1:102">
      <c r="A7538" s="2"/>
      <c r="AY7538">
        <f t="shared" si="236"/>
        <v>44</v>
      </c>
      <c r="AZ7538">
        <f t="shared" si="237"/>
        <v>4</v>
      </c>
    </row>
    <row r="7539" spans="1:102">
      <c r="A7539" s="2"/>
      <c r="AY7539">
        <f t="shared" si="236"/>
        <v>44</v>
      </c>
      <c r="AZ7539">
        <f t="shared" si="237"/>
        <v>4</v>
      </c>
    </row>
    <row r="7540" spans="1:102">
      <c r="A7540" s="2"/>
      <c r="AY7540">
        <f t="shared" si="236"/>
        <v>44</v>
      </c>
      <c r="AZ7540">
        <f t="shared" si="237"/>
        <v>4</v>
      </c>
    </row>
    <row r="7541" spans="1:102">
      <c r="A7541" s="2"/>
      <c r="AY7541">
        <f t="shared" si="236"/>
        <v>44</v>
      </c>
      <c r="AZ7541">
        <f t="shared" si="237"/>
        <v>4</v>
      </c>
    </row>
    <row r="7542" spans="1:102">
      <c r="A7542" s="2"/>
      <c r="AY7542">
        <f t="shared" si="236"/>
        <v>44</v>
      </c>
      <c r="AZ7542">
        <f t="shared" si="237"/>
        <v>4</v>
      </c>
    </row>
    <row r="7543" spans="1:102">
      <c r="A7543" s="2"/>
      <c r="AY7543">
        <f t="shared" si="236"/>
        <v>44</v>
      </c>
      <c r="AZ7543">
        <f t="shared" si="237"/>
        <v>4</v>
      </c>
    </row>
    <row r="7544" spans="1:102">
      <c r="A7544" s="2"/>
      <c r="AY7544">
        <f t="shared" si="236"/>
        <v>44</v>
      </c>
      <c r="AZ7544">
        <f t="shared" si="237"/>
        <v>4</v>
      </c>
    </row>
    <row r="7545" spans="1:102">
      <c r="A7545" s="2"/>
      <c r="AY7545">
        <f t="shared" si="236"/>
        <v>44</v>
      </c>
      <c r="AZ7545">
        <f t="shared" si="237"/>
        <v>4</v>
      </c>
    </row>
    <row r="7546" spans="1:102">
      <c r="A7546" s="2"/>
      <c r="AY7546" s="1">
        <v>1</v>
      </c>
      <c r="AZ7546" s="4"/>
      <c r="BC7546">
        <f t="shared" ref="BC7546:CX7546" si="238">COUNTIF(B$3:B$7503,"1")</f>
        <v>354</v>
      </c>
      <c r="BD7546">
        <f t="shared" si="238"/>
        <v>287</v>
      </c>
      <c r="BE7546">
        <f t="shared" si="238"/>
        <v>165</v>
      </c>
      <c r="BF7546">
        <f t="shared" si="238"/>
        <v>414</v>
      </c>
      <c r="BG7546">
        <f t="shared" si="238"/>
        <v>0</v>
      </c>
      <c r="BH7546">
        <f t="shared" si="238"/>
        <v>17</v>
      </c>
      <c r="BI7546">
        <f t="shared" si="238"/>
        <v>5</v>
      </c>
      <c r="BJ7546">
        <f t="shared" si="238"/>
        <v>0</v>
      </c>
      <c r="BK7546">
        <f t="shared" si="238"/>
        <v>53</v>
      </c>
      <c r="BL7546">
        <f t="shared" si="238"/>
        <v>30</v>
      </c>
      <c r="BM7546">
        <f t="shared" si="238"/>
        <v>59</v>
      </c>
      <c r="BN7546">
        <f t="shared" si="238"/>
        <v>16</v>
      </c>
      <c r="BO7546">
        <f t="shared" si="238"/>
        <v>25</v>
      </c>
      <c r="BP7546">
        <f t="shared" si="238"/>
        <v>34</v>
      </c>
      <c r="BQ7546">
        <f t="shared" si="238"/>
        <v>38</v>
      </c>
      <c r="BR7546">
        <f t="shared" si="238"/>
        <v>149</v>
      </c>
      <c r="BS7546">
        <f t="shared" si="238"/>
        <v>0</v>
      </c>
      <c r="BT7546">
        <f t="shared" si="238"/>
        <v>0</v>
      </c>
      <c r="BU7546">
        <f t="shared" si="238"/>
        <v>16</v>
      </c>
      <c r="BV7546">
        <f t="shared" si="238"/>
        <v>50</v>
      </c>
      <c r="BW7546">
        <f t="shared" si="238"/>
        <v>30</v>
      </c>
      <c r="BX7546">
        <f t="shared" si="238"/>
        <v>53</v>
      </c>
      <c r="BY7546">
        <f t="shared" si="238"/>
        <v>82</v>
      </c>
      <c r="BZ7546">
        <f t="shared" si="238"/>
        <v>30</v>
      </c>
      <c r="CA7546">
        <f t="shared" si="238"/>
        <v>15</v>
      </c>
      <c r="CB7546">
        <f t="shared" si="238"/>
        <v>0</v>
      </c>
      <c r="CC7546">
        <f t="shared" si="238"/>
        <v>5</v>
      </c>
      <c r="CD7546">
        <f t="shared" si="238"/>
        <v>39</v>
      </c>
      <c r="CE7546">
        <f t="shared" si="238"/>
        <v>44</v>
      </c>
      <c r="CF7546">
        <f t="shared" si="238"/>
        <v>72</v>
      </c>
      <c r="CG7546">
        <f t="shared" si="238"/>
        <v>17</v>
      </c>
      <c r="CH7546">
        <f t="shared" si="238"/>
        <v>63</v>
      </c>
      <c r="CI7546">
        <f t="shared" si="238"/>
        <v>0</v>
      </c>
      <c r="CJ7546">
        <f t="shared" si="238"/>
        <v>0</v>
      </c>
      <c r="CK7546">
        <f t="shared" si="238"/>
        <v>6</v>
      </c>
      <c r="CL7546">
        <f t="shared" si="238"/>
        <v>45</v>
      </c>
      <c r="CM7546">
        <f t="shared" si="238"/>
        <v>0</v>
      </c>
      <c r="CN7546">
        <f t="shared" si="238"/>
        <v>0</v>
      </c>
      <c r="CO7546">
        <f t="shared" si="238"/>
        <v>66</v>
      </c>
      <c r="CP7546">
        <f t="shared" si="238"/>
        <v>40</v>
      </c>
      <c r="CQ7546">
        <f t="shared" si="238"/>
        <v>11</v>
      </c>
      <c r="CR7546">
        <f t="shared" si="238"/>
        <v>0</v>
      </c>
      <c r="CS7546">
        <f t="shared" si="238"/>
        <v>32</v>
      </c>
      <c r="CT7546">
        <f t="shared" si="238"/>
        <v>5</v>
      </c>
      <c r="CU7546">
        <f t="shared" si="238"/>
        <v>59</v>
      </c>
      <c r="CV7546">
        <f t="shared" si="238"/>
        <v>4</v>
      </c>
      <c r="CW7546">
        <f t="shared" si="238"/>
        <v>30</v>
      </c>
      <c r="CX7546">
        <f t="shared" si="238"/>
        <v>3</v>
      </c>
    </row>
    <row r="7547" spans="1:102">
      <c r="A7547" s="2"/>
      <c r="AY7547">
        <v>2</v>
      </c>
      <c r="AZ7547" s="3"/>
      <c r="BC7547">
        <f t="shared" ref="BC7547:CX7547" si="239">COUNTIF(B$3:B$7503,"2")</f>
        <v>282</v>
      </c>
      <c r="BD7547">
        <f t="shared" si="239"/>
        <v>564</v>
      </c>
      <c r="BE7547">
        <f t="shared" si="239"/>
        <v>282</v>
      </c>
      <c r="BF7547">
        <f t="shared" si="239"/>
        <v>368</v>
      </c>
      <c r="BG7547">
        <f t="shared" si="239"/>
        <v>0</v>
      </c>
      <c r="BH7547">
        <f t="shared" si="239"/>
        <v>8</v>
      </c>
      <c r="BI7547">
        <f t="shared" si="239"/>
        <v>0</v>
      </c>
      <c r="BJ7547">
        <f t="shared" si="239"/>
        <v>0</v>
      </c>
      <c r="BK7547">
        <f t="shared" si="239"/>
        <v>74</v>
      </c>
      <c r="BL7547">
        <f t="shared" si="239"/>
        <v>49</v>
      </c>
      <c r="BM7547">
        <f t="shared" si="239"/>
        <v>58</v>
      </c>
      <c r="BN7547">
        <f t="shared" si="239"/>
        <v>106</v>
      </c>
      <c r="BO7547">
        <f t="shared" si="239"/>
        <v>63</v>
      </c>
      <c r="BP7547">
        <f t="shared" si="239"/>
        <v>0</v>
      </c>
      <c r="BQ7547">
        <f t="shared" si="239"/>
        <v>102</v>
      </c>
      <c r="BR7547">
        <f t="shared" si="239"/>
        <v>0</v>
      </c>
      <c r="BS7547">
        <f t="shared" si="239"/>
        <v>0</v>
      </c>
      <c r="BT7547">
        <f t="shared" si="239"/>
        <v>0</v>
      </c>
      <c r="BU7547">
        <f t="shared" si="239"/>
        <v>19</v>
      </c>
      <c r="BV7547">
        <f t="shared" si="239"/>
        <v>0</v>
      </c>
      <c r="BW7547">
        <f t="shared" si="239"/>
        <v>113</v>
      </c>
      <c r="BX7547">
        <f t="shared" si="239"/>
        <v>0</v>
      </c>
      <c r="BY7547">
        <f t="shared" si="239"/>
        <v>35</v>
      </c>
      <c r="BZ7547">
        <f t="shared" si="239"/>
        <v>0</v>
      </c>
      <c r="CA7547">
        <f t="shared" si="239"/>
        <v>0</v>
      </c>
      <c r="CB7547">
        <f t="shared" si="239"/>
        <v>0</v>
      </c>
      <c r="CC7547">
        <f t="shared" si="239"/>
        <v>20</v>
      </c>
      <c r="CD7547">
        <f t="shared" si="239"/>
        <v>0</v>
      </c>
      <c r="CE7547">
        <f t="shared" si="239"/>
        <v>144</v>
      </c>
      <c r="CF7547">
        <f t="shared" si="239"/>
        <v>0</v>
      </c>
      <c r="CG7547">
        <f t="shared" si="239"/>
        <v>17</v>
      </c>
      <c r="CH7547">
        <f t="shared" si="239"/>
        <v>0</v>
      </c>
      <c r="CI7547">
        <f t="shared" si="239"/>
        <v>0</v>
      </c>
      <c r="CJ7547">
        <f t="shared" si="239"/>
        <v>0</v>
      </c>
      <c r="CK7547">
        <f t="shared" si="239"/>
        <v>6</v>
      </c>
      <c r="CL7547">
        <f t="shared" si="239"/>
        <v>0</v>
      </c>
      <c r="CM7547">
        <f t="shared" si="239"/>
        <v>0</v>
      </c>
      <c r="CN7547">
        <f t="shared" si="239"/>
        <v>0</v>
      </c>
      <c r="CO7547">
        <f t="shared" si="239"/>
        <v>20</v>
      </c>
      <c r="CP7547">
        <f t="shared" si="239"/>
        <v>0</v>
      </c>
      <c r="CQ7547">
        <f t="shared" si="239"/>
        <v>0</v>
      </c>
      <c r="CR7547">
        <f t="shared" si="239"/>
        <v>0</v>
      </c>
      <c r="CS7547">
        <f t="shared" si="239"/>
        <v>3</v>
      </c>
      <c r="CT7547">
        <f t="shared" si="239"/>
        <v>0</v>
      </c>
      <c r="CU7547">
        <f t="shared" si="239"/>
        <v>42</v>
      </c>
      <c r="CV7547">
        <f t="shared" si="239"/>
        <v>7</v>
      </c>
      <c r="CW7547">
        <f t="shared" si="239"/>
        <v>53</v>
      </c>
      <c r="CX7547">
        <f t="shared" si="239"/>
        <v>4</v>
      </c>
    </row>
    <row r="7548" spans="1:102">
      <c r="A7548" s="2"/>
      <c r="AY7548">
        <v>3</v>
      </c>
      <c r="AZ7548" s="3"/>
      <c r="BC7548">
        <f t="shared" ref="BC7548:CX7548" si="240">COUNTIF(B$3:B$7503,"3")</f>
        <v>166</v>
      </c>
      <c r="BD7548">
        <f t="shared" si="240"/>
        <v>766</v>
      </c>
      <c r="BE7548">
        <f t="shared" si="240"/>
        <v>207</v>
      </c>
      <c r="BF7548">
        <f t="shared" si="240"/>
        <v>101</v>
      </c>
      <c r="BG7548">
        <f t="shared" si="240"/>
        <v>0</v>
      </c>
      <c r="BH7548">
        <f t="shared" si="240"/>
        <v>3</v>
      </c>
      <c r="BI7548">
        <f t="shared" si="240"/>
        <v>0</v>
      </c>
      <c r="BJ7548">
        <f t="shared" si="240"/>
        <v>0</v>
      </c>
      <c r="BK7548">
        <f t="shared" si="240"/>
        <v>97</v>
      </c>
      <c r="BL7548">
        <f t="shared" si="240"/>
        <v>42</v>
      </c>
      <c r="BM7548">
        <f t="shared" si="240"/>
        <v>12</v>
      </c>
      <c r="BN7548">
        <f t="shared" si="240"/>
        <v>52</v>
      </c>
      <c r="BO7548">
        <f t="shared" si="240"/>
        <v>0</v>
      </c>
      <c r="BP7548">
        <f t="shared" si="240"/>
        <v>0</v>
      </c>
      <c r="BQ7548">
        <f t="shared" si="240"/>
        <v>28</v>
      </c>
      <c r="BR7548">
        <f t="shared" si="240"/>
        <v>0</v>
      </c>
      <c r="BS7548">
        <f t="shared" si="240"/>
        <v>0</v>
      </c>
      <c r="BT7548">
        <f t="shared" si="240"/>
        <v>0</v>
      </c>
      <c r="BU7548">
        <f t="shared" si="240"/>
        <v>24</v>
      </c>
      <c r="BV7548">
        <f t="shared" si="240"/>
        <v>0</v>
      </c>
      <c r="BW7548">
        <f t="shared" si="240"/>
        <v>22</v>
      </c>
      <c r="BX7548">
        <f t="shared" si="240"/>
        <v>0</v>
      </c>
      <c r="BY7548">
        <f t="shared" si="240"/>
        <v>14</v>
      </c>
      <c r="BZ7548">
        <f t="shared" si="240"/>
        <v>0</v>
      </c>
      <c r="CA7548">
        <f t="shared" si="240"/>
        <v>0</v>
      </c>
      <c r="CB7548">
        <f t="shared" si="240"/>
        <v>0</v>
      </c>
      <c r="CC7548">
        <f t="shared" si="240"/>
        <v>110</v>
      </c>
      <c r="CD7548">
        <f t="shared" si="240"/>
        <v>0</v>
      </c>
      <c r="CE7548">
        <f t="shared" si="240"/>
        <v>31</v>
      </c>
      <c r="CF7548">
        <f t="shared" si="240"/>
        <v>0</v>
      </c>
      <c r="CG7548">
        <f t="shared" si="240"/>
        <v>8</v>
      </c>
      <c r="CH7548">
        <f t="shared" si="240"/>
        <v>0</v>
      </c>
      <c r="CI7548">
        <f t="shared" si="240"/>
        <v>0</v>
      </c>
      <c r="CJ7548">
        <f t="shared" si="240"/>
        <v>0</v>
      </c>
      <c r="CK7548">
        <f t="shared" si="240"/>
        <v>20</v>
      </c>
      <c r="CL7548">
        <f t="shared" si="240"/>
        <v>0</v>
      </c>
      <c r="CM7548">
        <f t="shared" si="240"/>
        <v>0</v>
      </c>
      <c r="CN7548">
        <f t="shared" si="240"/>
        <v>0</v>
      </c>
      <c r="CO7548">
        <f t="shared" si="240"/>
        <v>5</v>
      </c>
      <c r="CP7548">
        <f t="shared" si="240"/>
        <v>0</v>
      </c>
      <c r="CQ7548">
        <f t="shared" si="240"/>
        <v>0</v>
      </c>
      <c r="CR7548">
        <f t="shared" si="240"/>
        <v>0</v>
      </c>
      <c r="CS7548">
        <f t="shared" si="240"/>
        <v>5</v>
      </c>
      <c r="CT7548">
        <f t="shared" si="240"/>
        <v>0</v>
      </c>
      <c r="CU7548">
        <f t="shared" si="240"/>
        <v>12</v>
      </c>
      <c r="CV7548">
        <f t="shared" si="240"/>
        <v>11</v>
      </c>
      <c r="CW7548">
        <f t="shared" si="240"/>
        <v>21</v>
      </c>
      <c r="CX7548">
        <f t="shared" si="240"/>
        <v>1</v>
      </c>
    </row>
    <row r="7549" spans="1:102">
      <c r="A7549" s="2"/>
      <c r="AY7549">
        <v>4</v>
      </c>
      <c r="AZ7549" s="3"/>
      <c r="BC7549">
        <f t="shared" ref="BC7549:CX7549" si="241">COUNTIF(B$3:B$7503,"4")</f>
        <v>383</v>
      </c>
      <c r="BD7549">
        <f t="shared" si="241"/>
        <v>349</v>
      </c>
      <c r="BE7549">
        <f t="shared" si="241"/>
        <v>205</v>
      </c>
      <c r="BF7549">
        <f t="shared" si="241"/>
        <v>171</v>
      </c>
      <c r="BG7549">
        <f t="shared" si="241"/>
        <v>0</v>
      </c>
      <c r="BH7549">
        <f t="shared" si="241"/>
        <v>0</v>
      </c>
      <c r="BI7549">
        <f t="shared" si="241"/>
        <v>0</v>
      </c>
      <c r="BJ7549">
        <f t="shared" si="241"/>
        <v>0</v>
      </c>
      <c r="BK7549">
        <f t="shared" si="241"/>
        <v>32</v>
      </c>
      <c r="BL7549">
        <f t="shared" si="241"/>
        <v>89</v>
      </c>
      <c r="BM7549">
        <f t="shared" si="241"/>
        <v>18</v>
      </c>
      <c r="BN7549">
        <f t="shared" si="241"/>
        <v>114</v>
      </c>
      <c r="BO7549">
        <f t="shared" si="241"/>
        <v>0</v>
      </c>
      <c r="BP7549">
        <f t="shared" si="241"/>
        <v>0</v>
      </c>
      <c r="BQ7549">
        <f t="shared" si="241"/>
        <v>9</v>
      </c>
      <c r="BR7549">
        <f t="shared" si="241"/>
        <v>0</v>
      </c>
      <c r="BS7549">
        <f t="shared" si="241"/>
        <v>0</v>
      </c>
      <c r="BT7549">
        <f t="shared" si="241"/>
        <v>0</v>
      </c>
      <c r="BU7549">
        <f t="shared" si="241"/>
        <v>7</v>
      </c>
      <c r="BV7549">
        <f t="shared" si="241"/>
        <v>0</v>
      </c>
      <c r="BW7549">
        <f t="shared" si="241"/>
        <v>0</v>
      </c>
      <c r="BX7549">
        <f t="shared" si="241"/>
        <v>0</v>
      </c>
      <c r="BY7549">
        <f t="shared" si="241"/>
        <v>0</v>
      </c>
      <c r="BZ7549">
        <f t="shared" si="241"/>
        <v>0</v>
      </c>
      <c r="CA7549">
        <f t="shared" si="241"/>
        <v>0</v>
      </c>
      <c r="CB7549">
        <f t="shared" si="241"/>
        <v>0</v>
      </c>
      <c r="CC7549">
        <f t="shared" si="241"/>
        <v>12</v>
      </c>
      <c r="CD7549">
        <f t="shared" si="241"/>
        <v>0</v>
      </c>
      <c r="CE7549">
        <f t="shared" si="241"/>
        <v>0</v>
      </c>
      <c r="CF7549">
        <f t="shared" si="241"/>
        <v>0</v>
      </c>
      <c r="CG7549">
        <f t="shared" si="241"/>
        <v>29</v>
      </c>
      <c r="CH7549">
        <f t="shared" si="241"/>
        <v>0</v>
      </c>
      <c r="CI7549">
        <f t="shared" si="241"/>
        <v>0</v>
      </c>
      <c r="CJ7549">
        <f t="shared" si="241"/>
        <v>0</v>
      </c>
      <c r="CK7549">
        <f t="shared" si="241"/>
        <v>24</v>
      </c>
      <c r="CL7549">
        <f t="shared" si="241"/>
        <v>0</v>
      </c>
      <c r="CM7549">
        <f t="shared" si="241"/>
        <v>0</v>
      </c>
      <c r="CN7549">
        <f t="shared" si="241"/>
        <v>0</v>
      </c>
      <c r="CO7549">
        <f t="shared" si="241"/>
        <v>15</v>
      </c>
      <c r="CP7549">
        <f t="shared" si="241"/>
        <v>0</v>
      </c>
      <c r="CQ7549">
        <f t="shared" si="241"/>
        <v>0</v>
      </c>
      <c r="CR7549">
        <f t="shared" si="241"/>
        <v>0</v>
      </c>
      <c r="CS7549">
        <f t="shared" si="241"/>
        <v>39</v>
      </c>
      <c r="CT7549">
        <f t="shared" si="241"/>
        <v>0</v>
      </c>
      <c r="CU7549">
        <f t="shared" si="241"/>
        <v>41</v>
      </c>
      <c r="CV7549">
        <f t="shared" si="241"/>
        <v>15</v>
      </c>
      <c r="CW7549">
        <f t="shared" si="241"/>
        <v>184</v>
      </c>
      <c r="CX7549">
        <f t="shared" si="241"/>
        <v>3</v>
      </c>
    </row>
    <row r="7550" spans="1:102">
      <c r="A7550" s="2"/>
      <c r="AY7550">
        <v>5</v>
      </c>
      <c r="AZ7550" s="3"/>
      <c r="BC7550">
        <f t="shared" ref="BC7550:CX7550" si="242">COUNTIF(B$3:B$7503,"5")</f>
        <v>356</v>
      </c>
      <c r="BD7550">
        <f t="shared" si="242"/>
        <v>365</v>
      </c>
      <c r="BE7550">
        <f t="shared" si="242"/>
        <v>348</v>
      </c>
      <c r="BF7550">
        <f t="shared" si="242"/>
        <v>165</v>
      </c>
      <c r="BG7550">
        <f t="shared" si="242"/>
        <v>0</v>
      </c>
      <c r="BH7550">
        <f t="shared" si="242"/>
        <v>0</v>
      </c>
      <c r="BI7550">
        <f t="shared" si="242"/>
        <v>0</v>
      </c>
      <c r="BJ7550">
        <f t="shared" si="242"/>
        <v>0</v>
      </c>
      <c r="BK7550">
        <f t="shared" si="242"/>
        <v>82</v>
      </c>
      <c r="BL7550">
        <f t="shared" si="242"/>
        <v>48</v>
      </c>
      <c r="BM7550">
        <f t="shared" si="242"/>
        <v>76</v>
      </c>
      <c r="BN7550">
        <f t="shared" si="242"/>
        <v>29</v>
      </c>
      <c r="BO7550">
        <f t="shared" si="242"/>
        <v>0</v>
      </c>
      <c r="BP7550">
        <f t="shared" si="242"/>
        <v>0</v>
      </c>
      <c r="BQ7550">
        <f t="shared" si="242"/>
        <v>8</v>
      </c>
      <c r="BR7550">
        <f t="shared" si="242"/>
        <v>0</v>
      </c>
      <c r="BS7550">
        <f t="shared" si="242"/>
        <v>0</v>
      </c>
      <c r="BT7550">
        <f t="shared" si="242"/>
        <v>0</v>
      </c>
      <c r="BU7550">
        <f t="shared" si="242"/>
        <v>24</v>
      </c>
      <c r="BV7550">
        <f t="shared" si="242"/>
        <v>0</v>
      </c>
      <c r="BW7550">
        <f t="shared" si="242"/>
        <v>0</v>
      </c>
      <c r="BX7550">
        <f t="shared" si="242"/>
        <v>0</v>
      </c>
      <c r="BY7550">
        <f t="shared" si="242"/>
        <v>0</v>
      </c>
      <c r="BZ7550">
        <f t="shared" si="242"/>
        <v>0</v>
      </c>
      <c r="CA7550">
        <f t="shared" si="242"/>
        <v>0</v>
      </c>
      <c r="CB7550">
        <f t="shared" si="242"/>
        <v>0</v>
      </c>
      <c r="CC7550">
        <f t="shared" si="242"/>
        <v>8</v>
      </c>
      <c r="CD7550">
        <f t="shared" si="242"/>
        <v>0</v>
      </c>
      <c r="CE7550">
        <f t="shared" si="242"/>
        <v>0</v>
      </c>
      <c r="CF7550">
        <f t="shared" si="242"/>
        <v>0</v>
      </c>
      <c r="CG7550">
        <f t="shared" si="242"/>
        <v>0</v>
      </c>
      <c r="CH7550">
        <f t="shared" si="242"/>
        <v>0</v>
      </c>
      <c r="CI7550">
        <f t="shared" si="242"/>
        <v>0</v>
      </c>
      <c r="CJ7550">
        <f t="shared" si="242"/>
        <v>0</v>
      </c>
      <c r="CK7550">
        <f t="shared" si="242"/>
        <v>13</v>
      </c>
      <c r="CL7550">
        <f t="shared" si="242"/>
        <v>0</v>
      </c>
      <c r="CM7550">
        <f t="shared" si="242"/>
        <v>0</v>
      </c>
      <c r="CN7550">
        <f t="shared" si="242"/>
        <v>0</v>
      </c>
      <c r="CO7550">
        <f t="shared" si="242"/>
        <v>39</v>
      </c>
      <c r="CP7550">
        <f t="shared" si="242"/>
        <v>0</v>
      </c>
      <c r="CQ7550">
        <f t="shared" si="242"/>
        <v>0</v>
      </c>
      <c r="CR7550">
        <f t="shared" si="242"/>
        <v>0</v>
      </c>
      <c r="CS7550">
        <f t="shared" si="242"/>
        <v>9</v>
      </c>
      <c r="CT7550">
        <f t="shared" si="242"/>
        <v>0</v>
      </c>
      <c r="CU7550">
        <f t="shared" si="242"/>
        <v>160</v>
      </c>
      <c r="CV7550">
        <f t="shared" si="242"/>
        <v>0</v>
      </c>
      <c r="CW7550">
        <f t="shared" si="242"/>
        <v>16</v>
      </c>
      <c r="CX7550">
        <f t="shared" si="242"/>
        <v>2</v>
      </c>
    </row>
    <row r="7551" spans="1:102">
      <c r="A7551" s="2"/>
      <c r="AY7551">
        <v>6</v>
      </c>
      <c r="AZ7551" s="3"/>
      <c r="BC7551">
        <f t="shared" ref="BC7551:CX7551" si="243">COUNTIF(B$3:B$7503,"6")</f>
        <v>177</v>
      </c>
      <c r="BD7551">
        <f t="shared" si="243"/>
        <v>367</v>
      </c>
      <c r="BE7551">
        <f t="shared" si="243"/>
        <v>528</v>
      </c>
      <c r="BF7551">
        <f t="shared" si="243"/>
        <v>81</v>
      </c>
      <c r="BG7551">
        <f t="shared" si="243"/>
        <v>0</v>
      </c>
      <c r="BH7551">
        <f t="shared" si="243"/>
        <v>0</v>
      </c>
      <c r="BI7551">
        <f t="shared" si="243"/>
        <v>0</v>
      </c>
      <c r="BJ7551">
        <f t="shared" si="243"/>
        <v>0</v>
      </c>
      <c r="BK7551">
        <f t="shared" si="243"/>
        <v>104</v>
      </c>
      <c r="BL7551">
        <f t="shared" si="243"/>
        <v>81</v>
      </c>
      <c r="BM7551">
        <f t="shared" si="243"/>
        <v>22</v>
      </c>
      <c r="BN7551">
        <f t="shared" si="243"/>
        <v>19</v>
      </c>
      <c r="BO7551">
        <f t="shared" si="243"/>
        <v>0</v>
      </c>
      <c r="BP7551">
        <f t="shared" si="243"/>
        <v>0</v>
      </c>
      <c r="BQ7551">
        <f t="shared" si="243"/>
        <v>0</v>
      </c>
      <c r="BR7551">
        <f t="shared" si="243"/>
        <v>0</v>
      </c>
      <c r="BS7551">
        <f t="shared" si="243"/>
        <v>0</v>
      </c>
      <c r="BT7551">
        <f t="shared" si="243"/>
        <v>0</v>
      </c>
      <c r="BU7551">
        <f t="shared" si="243"/>
        <v>0</v>
      </c>
      <c r="BV7551">
        <f t="shared" si="243"/>
        <v>0</v>
      </c>
      <c r="BW7551">
        <f t="shared" si="243"/>
        <v>0</v>
      </c>
      <c r="BX7551">
        <f t="shared" si="243"/>
        <v>0</v>
      </c>
      <c r="BY7551">
        <f t="shared" si="243"/>
        <v>0</v>
      </c>
      <c r="BZ7551">
        <f t="shared" si="243"/>
        <v>0</v>
      </c>
      <c r="CA7551">
        <f t="shared" si="243"/>
        <v>0</v>
      </c>
      <c r="CB7551">
        <f t="shared" si="243"/>
        <v>0</v>
      </c>
      <c r="CC7551">
        <f t="shared" si="243"/>
        <v>0</v>
      </c>
      <c r="CD7551">
        <f t="shared" si="243"/>
        <v>0</v>
      </c>
      <c r="CE7551">
        <f t="shared" si="243"/>
        <v>0</v>
      </c>
      <c r="CF7551">
        <f t="shared" si="243"/>
        <v>0</v>
      </c>
      <c r="CG7551">
        <f t="shared" si="243"/>
        <v>0</v>
      </c>
      <c r="CH7551">
        <f t="shared" si="243"/>
        <v>0</v>
      </c>
      <c r="CI7551">
        <f t="shared" si="243"/>
        <v>0</v>
      </c>
      <c r="CJ7551">
        <f t="shared" si="243"/>
        <v>0</v>
      </c>
      <c r="CK7551">
        <f t="shared" si="243"/>
        <v>0</v>
      </c>
      <c r="CL7551">
        <f t="shared" si="243"/>
        <v>0</v>
      </c>
      <c r="CM7551">
        <f t="shared" si="243"/>
        <v>0</v>
      </c>
      <c r="CN7551">
        <f t="shared" si="243"/>
        <v>0</v>
      </c>
      <c r="CO7551">
        <f t="shared" si="243"/>
        <v>34</v>
      </c>
      <c r="CP7551">
        <f t="shared" si="243"/>
        <v>0</v>
      </c>
      <c r="CQ7551">
        <f t="shared" si="243"/>
        <v>0</v>
      </c>
      <c r="CR7551">
        <f t="shared" si="243"/>
        <v>0</v>
      </c>
      <c r="CS7551">
        <f t="shared" si="243"/>
        <v>0</v>
      </c>
      <c r="CT7551">
        <f t="shared" si="243"/>
        <v>0</v>
      </c>
      <c r="CU7551">
        <f t="shared" si="243"/>
        <v>20</v>
      </c>
      <c r="CV7551">
        <f t="shared" si="243"/>
        <v>0</v>
      </c>
      <c r="CW7551">
        <f t="shared" si="243"/>
        <v>22</v>
      </c>
      <c r="CX7551">
        <f t="shared" si="243"/>
        <v>3</v>
      </c>
    </row>
    <row r="7552" spans="1:102">
      <c r="A7552" s="2"/>
      <c r="AY7552">
        <v>7</v>
      </c>
      <c r="AZ7552" s="3"/>
      <c r="BC7552">
        <f t="shared" ref="BC7552:CX7552" si="244">COUNTIF(B$3:B$7503,"7")</f>
        <v>213</v>
      </c>
      <c r="BD7552">
        <f t="shared" si="244"/>
        <v>102</v>
      </c>
      <c r="BE7552">
        <f t="shared" si="244"/>
        <v>145</v>
      </c>
      <c r="BF7552">
        <f t="shared" si="244"/>
        <v>98</v>
      </c>
      <c r="BG7552">
        <f t="shared" si="244"/>
        <v>0</v>
      </c>
      <c r="BH7552">
        <f t="shared" si="244"/>
        <v>0</v>
      </c>
      <c r="BI7552">
        <f t="shared" si="244"/>
        <v>0</v>
      </c>
      <c r="BJ7552">
        <f t="shared" si="244"/>
        <v>0</v>
      </c>
      <c r="BK7552">
        <f t="shared" si="244"/>
        <v>96</v>
      </c>
      <c r="BL7552">
        <f t="shared" si="244"/>
        <v>23</v>
      </c>
      <c r="BM7552">
        <f t="shared" si="244"/>
        <v>28</v>
      </c>
      <c r="BN7552">
        <f t="shared" si="244"/>
        <v>44</v>
      </c>
      <c r="BO7552">
        <f t="shared" si="244"/>
        <v>0</v>
      </c>
      <c r="BP7552">
        <f t="shared" si="244"/>
        <v>0</v>
      </c>
      <c r="BQ7552">
        <f t="shared" si="244"/>
        <v>0</v>
      </c>
      <c r="BR7552">
        <f t="shared" si="244"/>
        <v>0</v>
      </c>
      <c r="BS7552">
        <f t="shared" si="244"/>
        <v>0</v>
      </c>
      <c r="BT7552">
        <f t="shared" si="244"/>
        <v>0</v>
      </c>
      <c r="BU7552">
        <f t="shared" si="244"/>
        <v>0</v>
      </c>
      <c r="BV7552">
        <f t="shared" si="244"/>
        <v>0</v>
      </c>
      <c r="BW7552">
        <f t="shared" si="244"/>
        <v>0</v>
      </c>
      <c r="BX7552">
        <f t="shared" si="244"/>
        <v>0</v>
      </c>
      <c r="BY7552">
        <f t="shared" si="244"/>
        <v>0</v>
      </c>
      <c r="BZ7552">
        <f t="shared" si="244"/>
        <v>0</v>
      </c>
      <c r="CA7552">
        <f t="shared" si="244"/>
        <v>0</v>
      </c>
      <c r="CB7552">
        <f t="shared" si="244"/>
        <v>0</v>
      </c>
      <c r="CC7552">
        <f t="shared" si="244"/>
        <v>0</v>
      </c>
      <c r="CD7552">
        <f t="shared" si="244"/>
        <v>0</v>
      </c>
      <c r="CE7552">
        <f t="shared" si="244"/>
        <v>0</v>
      </c>
      <c r="CF7552">
        <f t="shared" si="244"/>
        <v>0</v>
      </c>
      <c r="CG7552">
        <f t="shared" si="244"/>
        <v>0</v>
      </c>
      <c r="CH7552">
        <f t="shared" si="244"/>
        <v>0</v>
      </c>
      <c r="CI7552">
        <f t="shared" si="244"/>
        <v>0</v>
      </c>
      <c r="CJ7552">
        <f t="shared" si="244"/>
        <v>0</v>
      </c>
      <c r="CK7552">
        <f t="shared" si="244"/>
        <v>0</v>
      </c>
      <c r="CL7552">
        <f t="shared" si="244"/>
        <v>0</v>
      </c>
      <c r="CM7552">
        <f t="shared" si="244"/>
        <v>0</v>
      </c>
      <c r="CN7552">
        <f t="shared" si="244"/>
        <v>0</v>
      </c>
      <c r="CO7552">
        <f t="shared" si="244"/>
        <v>0</v>
      </c>
      <c r="CP7552">
        <f t="shared" si="244"/>
        <v>0</v>
      </c>
      <c r="CQ7552">
        <f t="shared" si="244"/>
        <v>0</v>
      </c>
      <c r="CR7552">
        <f t="shared" si="244"/>
        <v>0</v>
      </c>
      <c r="CS7552">
        <f t="shared" si="244"/>
        <v>0</v>
      </c>
      <c r="CT7552">
        <f t="shared" si="244"/>
        <v>0</v>
      </c>
      <c r="CU7552">
        <f t="shared" si="244"/>
        <v>80</v>
      </c>
      <c r="CV7552">
        <f t="shared" si="244"/>
        <v>0</v>
      </c>
      <c r="CW7552">
        <f t="shared" si="244"/>
        <v>8</v>
      </c>
      <c r="CX7552">
        <f t="shared" si="244"/>
        <v>1</v>
      </c>
    </row>
    <row r="7553" spans="1:102">
      <c r="A7553" s="2"/>
      <c r="AY7553">
        <v>8</v>
      </c>
      <c r="AZ7553" s="3"/>
      <c r="BC7553">
        <f t="shared" ref="BC7553:CX7553" si="245">COUNTIF(B$3:B$7503,"8")</f>
        <v>88</v>
      </c>
      <c r="BD7553">
        <f t="shared" si="245"/>
        <v>139</v>
      </c>
      <c r="BE7553">
        <f t="shared" si="245"/>
        <v>55</v>
      </c>
      <c r="BF7553">
        <f t="shared" si="245"/>
        <v>389</v>
      </c>
      <c r="BG7553">
        <f t="shared" si="245"/>
        <v>0</v>
      </c>
      <c r="BH7553">
        <f t="shared" si="245"/>
        <v>0</v>
      </c>
      <c r="BI7553">
        <f t="shared" si="245"/>
        <v>0</v>
      </c>
      <c r="BJ7553">
        <f t="shared" si="245"/>
        <v>0</v>
      </c>
      <c r="BK7553">
        <f t="shared" si="245"/>
        <v>3</v>
      </c>
      <c r="BL7553">
        <f t="shared" si="245"/>
        <v>67</v>
      </c>
      <c r="BM7553">
        <f t="shared" si="245"/>
        <v>17</v>
      </c>
      <c r="BN7553">
        <f t="shared" si="245"/>
        <v>72</v>
      </c>
      <c r="BO7553">
        <f t="shared" si="245"/>
        <v>0</v>
      </c>
      <c r="BP7553">
        <f t="shared" si="245"/>
        <v>0</v>
      </c>
      <c r="BQ7553">
        <f t="shared" si="245"/>
        <v>0</v>
      </c>
      <c r="BR7553">
        <f t="shared" si="245"/>
        <v>0</v>
      </c>
      <c r="BS7553">
        <f t="shared" si="245"/>
        <v>0</v>
      </c>
      <c r="BT7553">
        <f t="shared" si="245"/>
        <v>0</v>
      </c>
      <c r="BU7553">
        <f t="shared" si="245"/>
        <v>0</v>
      </c>
      <c r="BV7553">
        <f t="shared" si="245"/>
        <v>0</v>
      </c>
      <c r="BW7553">
        <f t="shared" si="245"/>
        <v>0</v>
      </c>
      <c r="BX7553">
        <f t="shared" si="245"/>
        <v>0</v>
      </c>
      <c r="BY7553">
        <f t="shared" si="245"/>
        <v>0</v>
      </c>
      <c r="BZ7553">
        <f t="shared" si="245"/>
        <v>0</v>
      </c>
      <c r="CA7553">
        <f t="shared" si="245"/>
        <v>0</v>
      </c>
      <c r="CB7553">
        <f t="shared" si="245"/>
        <v>0</v>
      </c>
      <c r="CC7553">
        <f t="shared" si="245"/>
        <v>0</v>
      </c>
      <c r="CD7553">
        <f t="shared" si="245"/>
        <v>0</v>
      </c>
      <c r="CE7553">
        <f t="shared" si="245"/>
        <v>0</v>
      </c>
      <c r="CF7553">
        <f t="shared" si="245"/>
        <v>0</v>
      </c>
      <c r="CG7553">
        <f t="shared" si="245"/>
        <v>0</v>
      </c>
      <c r="CH7553">
        <f t="shared" si="245"/>
        <v>0</v>
      </c>
      <c r="CI7553">
        <f t="shared" si="245"/>
        <v>0</v>
      </c>
      <c r="CJ7553">
        <f t="shared" si="245"/>
        <v>0</v>
      </c>
      <c r="CK7553">
        <f t="shared" si="245"/>
        <v>0</v>
      </c>
      <c r="CL7553">
        <f t="shared" si="245"/>
        <v>0</v>
      </c>
      <c r="CM7553">
        <f t="shared" si="245"/>
        <v>0</v>
      </c>
      <c r="CN7553">
        <f t="shared" si="245"/>
        <v>0</v>
      </c>
      <c r="CO7553">
        <f t="shared" si="245"/>
        <v>0</v>
      </c>
      <c r="CP7553">
        <f t="shared" si="245"/>
        <v>0</v>
      </c>
      <c r="CQ7553">
        <f t="shared" si="245"/>
        <v>0</v>
      </c>
      <c r="CR7553">
        <f t="shared" si="245"/>
        <v>0</v>
      </c>
      <c r="CS7553">
        <f t="shared" si="245"/>
        <v>0</v>
      </c>
      <c r="CT7553">
        <f t="shared" si="245"/>
        <v>0</v>
      </c>
      <c r="CU7553">
        <f t="shared" si="245"/>
        <v>18</v>
      </c>
      <c r="CV7553">
        <f t="shared" si="245"/>
        <v>0</v>
      </c>
      <c r="CW7553">
        <f t="shared" si="245"/>
        <v>32</v>
      </c>
      <c r="CX7553">
        <f t="shared" si="245"/>
        <v>2</v>
      </c>
    </row>
    <row r="7554" spans="1:102">
      <c r="A7554" s="2"/>
      <c r="AY7554">
        <v>9</v>
      </c>
      <c r="AZ7554" s="3"/>
      <c r="BC7554">
        <f t="shared" ref="BC7554:CX7554" si="246">COUNTIF(B$3:B$7503,"9")</f>
        <v>306</v>
      </c>
      <c r="BD7554">
        <f t="shared" si="246"/>
        <v>186</v>
      </c>
      <c r="BE7554">
        <f t="shared" si="246"/>
        <v>0</v>
      </c>
      <c r="BF7554">
        <f t="shared" si="246"/>
        <v>138</v>
      </c>
      <c r="BG7554">
        <f t="shared" si="246"/>
        <v>0</v>
      </c>
      <c r="BH7554">
        <f t="shared" si="246"/>
        <v>0</v>
      </c>
      <c r="BI7554">
        <f t="shared" si="246"/>
        <v>0</v>
      </c>
      <c r="BJ7554">
        <f t="shared" si="246"/>
        <v>0</v>
      </c>
      <c r="BK7554">
        <f t="shared" si="246"/>
        <v>26</v>
      </c>
      <c r="BL7554">
        <f t="shared" si="246"/>
        <v>13</v>
      </c>
      <c r="BM7554">
        <f t="shared" si="246"/>
        <v>0</v>
      </c>
      <c r="BN7554">
        <f t="shared" si="246"/>
        <v>20</v>
      </c>
      <c r="BO7554">
        <f t="shared" si="246"/>
        <v>0</v>
      </c>
      <c r="BP7554">
        <f t="shared" si="246"/>
        <v>0</v>
      </c>
      <c r="BQ7554">
        <f t="shared" si="246"/>
        <v>0</v>
      </c>
      <c r="BR7554">
        <f t="shared" si="246"/>
        <v>0</v>
      </c>
      <c r="BS7554">
        <f t="shared" si="246"/>
        <v>0</v>
      </c>
      <c r="BT7554">
        <f t="shared" si="246"/>
        <v>0</v>
      </c>
      <c r="BU7554">
        <f t="shared" si="246"/>
        <v>0</v>
      </c>
      <c r="BV7554">
        <f t="shared" si="246"/>
        <v>0</v>
      </c>
      <c r="BW7554">
        <f t="shared" si="246"/>
        <v>0</v>
      </c>
      <c r="BX7554">
        <f t="shared" si="246"/>
        <v>0</v>
      </c>
      <c r="BY7554">
        <f t="shared" si="246"/>
        <v>0</v>
      </c>
      <c r="BZ7554">
        <f t="shared" si="246"/>
        <v>0</v>
      </c>
      <c r="CA7554">
        <f t="shared" si="246"/>
        <v>0</v>
      </c>
      <c r="CB7554">
        <f t="shared" si="246"/>
        <v>0</v>
      </c>
      <c r="CC7554">
        <f t="shared" si="246"/>
        <v>0</v>
      </c>
      <c r="CD7554">
        <f t="shared" si="246"/>
        <v>0</v>
      </c>
      <c r="CE7554">
        <f t="shared" si="246"/>
        <v>0</v>
      </c>
      <c r="CF7554">
        <f t="shared" si="246"/>
        <v>0</v>
      </c>
      <c r="CG7554">
        <f t="shared" si="246"/>
        <v>0</v>
      </c>
      <c r="CH7554">
        <f t="shared" si="246"/>
        <v>0</v>
      </c>
      <c r="CI7554">
        <f t="shared" si="246"/>
        <v>0</v>
      </c>
      <c r="CJ7554">
        <f t="shared" si="246"/>
        <v>0</v>
      </c>
      <c r="CK7554">
        <f t="shared" si="246"/>
        <v>0</v>
      </c>
      <c r="CL7554">
        <f t="shared" si="246"/>
        <v>0</v>
      </c>
      <c r="CM7554">
        <f t="shared" si="246"/>
        <v>0</v>
      </c>
      <c r="CN7554">
        <f t="shared" si="246"/>
        <v>0</v>
      </c>
      <c r="CO7554">
        <f t="shared" si="246"/>
        <v>0</v>
      </c>
      <c r="CP7554">
        <f t="shared" si="246"/>
        <v>0</v>
      </c>
      <c r="CQ7554">
        <f t="shared" si="246"/>
        <v>0</v>
      </c>
      <c r="CR7554">
        <f t="shared" si="246"/>
        <v>0</v>
      </c>
      <c r="CS7554">
        <f t="shared" si="246"/>
        <v>0</v>
      </c>
      <c r="CT7554">
        <f t="shared" si="246"/>
        <v>0</v>
      </c>
      <c r="CU7554">
        <f t="shared" si="246"/>
        <v>11</v>
      </c>
      <c r="CV7554">
        <f t="shared" si="246"/>
        <v>0</v>
      </c>
      <c r="CW7554">
        <f t="shared" si="246"/>
        <v>47</v>
      </c>
      <c r="CX7554">
        <f t="shared" si="246"/>
        <v>2</v>
      </c>
    </row>
    <row r="7555" spans="1:102">
      <c r="A7555" s="2"/>
      <c r="AY7555">
        <v>10</v>
      </c>
      <c r="AZ7555" s="3"/>
      <c r="BC7555">
        <f t="shared" ref="BC7555:CX7555" si="247">COUNTIF(B$3:B$7503,"10")</f>
        <v>0</v>
      </c>
      <c r="BD7555">
        <f t="shared" si="247"/>
        <v>0</v>
      </c>
      <c r="BE7555">
        <f t="shared" si="247"/>
        <v>0</v>
      </c>
      <c r="BF7555">
        <f t="shared" si="247"/>
        <v>0</v>
      </c>
      <c r="BG7555">
        <f t="shared" si="247"/>
        <v>0</v>
      </c>
      <c r="BH7555">
        <f t="shared" si="247"/>
        <v>0</v>
      </c>
      <c r="BI7555">
        <f t="shared" si="247"/>
        <v>0</v>
      </c>
      <c r="BJ7555">
        <f t="shared" si="247"/>
        <v>0</v>
      </c>
      <c r="BK7555">
        <f t="shared" si="247"/>
        <v>110</v>
      </c>
      <c r="BL7555">
        <f t="shared" si="247"/>
        <v>24</v>
      </c>
      <c r="BM7555">
        <f t="shared" si="247"/>
        <v>0</v>
      </c>
      <c r="BN7555">
        <f t="shared" si="247"/>
        <v>68</v>
      </c>
      <c r="BO7555">
        <f t="shared" si="247"/>
        <v>0</v>
      </c>
      <c r="BP7555">
        <f t="shared" si="247"/>
        <v>0</v>
      </c>
      <c r="BQ7555">
        <f t="shared" si="247"/>
        <v>0</v>
      </c>
      <c r="BR7555">
        <f t="shared" si="247"/>
        <v>0</v>
      </c>
      <c r="BS7555">
        <f t="shared" si="247"/>
        <v>0</v>
      </c>
      <c r="BT7555">
        <f t="shared" si="247"/>
        <v>0</v>
      </c>
      <c r="BU7555">
        <f t="shared" si="247"/>
        <v>0</v>
      </c>
      <c r="BV7555">
        <f t="shared" si="247"/>
        <v>0</v>
      </c>
      <c r="BW7555">
        <f t="shared" si="247"/>
        <v>0</v>
      </c>
      <c r="BX7555">
        <f t="shared" si="247"/>
        <v>0</v>
      </c>
      <c r="BY7555">
        <f t="shared" si="247"/>
        <v>0</v>
      </c>
      <c r="BZ7555">
        <f t="shared" si="247"/>
        <v>0</v>
      </c>
      <c r="CA7555">
        <f t="shared" si="247"/>
        <v>0</v>
      </c>
      <c r="CB7555">
        <f t="shared" si="247"/>
        <v>0</v>
      </c>
      <c r="CC7555">
        <f t="shared" si="247"/>
        <v>0</v>
      </c>
      <c r="CD7555">
        <f t="shared" si="247"/>
        <v>0</v>
      </c>
      <c r="CE7555">
        <f t="shared" si="247"/>
        <v>0</v>
      </c>
      <c r="CF7555">
        <f t="shared" si="247"/>
        <v>0</v>
      </c>
      <c r="CG7555">
        <f t="shared" si="247"/>
        <v>0</v>
      </c>
      <c r="CH7555">
        <f t="shared" si="247"/>
        <v>0</v>
      </c>
      <c r="CI7555">
        <f t="shared" si="247"/>
        <v>0</v>
      </c>
      <c r="CJ7555">
        <f t="shared" si="247"/>
        <v>0</v>
      </c>
      <c r="CK7555">
        <f t="shared" si="247"/>
        <v>0</v>
      </c>
      <c r="CL7555">
        <f t="shared" si="247"/>
        <v>0</v>
      </c>
      <c r="CM7555">
        <f t="shared" si="247"/>
        <v>0</v>
      </c>
      <c r="CN7555">
        <f t="shared" si="247"/>
        <v>0</v>
      </c>
      <c r="CO7555">
        <f t="shared" si="247"/>
        <v>0</v>
      </c>
      <c r="CP7555">
        <f t="shared" si="247"/>
        <v>0</v>
      </c>
      <c r="CQ7555">
        <f t="shared" si="247"/>
        <v>0</v>
      </c>
      <c r="CR7555">
        <f t="shared" si="247"/>
        <v>0</v>
      </c>
      <c r="CS7555">
        <f t="shared" si="247"/>
        <v>0</v>
      </c>
      <c r="CT7555">
        <f t="shared" si="247"/>
        <v>0</v>
      </c>
      <c r="CU7555">
        <f t="shared" si="247"/>
        <v>23</v>
      </c>
      <c r="CV7555">
        <f t="shared" si="247"/>
        <v>0</v>
      </c>
      <c r="CW7555">
        <f t="shared" si="247"/>
        <v>48</v>
      </c>
      <c r="CX7555">
        <f t="shared" si="247"/>
        <v>1</v>
      </c>
    </row>
    <row r="7556" spans="1:102">
      <c r="A7556" s="2"/>
      <c r="AY7556">
        <v>11</v>
      </c>
      <c r="AZ7556" s="3"/>
      <c r="BC7556">
        <f t="shared" ref="BC7556:CX7556" si="248">COUNTIF(B$3:B$7503,"11")</f>
        <v>0</v>
      </c>
      <c r="BD7556">
        <f t="shared" si="248"/>
        <v>0</v>
      </c>
      <c r="BE7556">
        <f t="shared" si="248"/>
        <v>0</v>
      </c>
      <c r="BF7556">
        <f t="shared" si="248"/>
        <v>0</v>
      </c>
      <c r="BG7556">
        <f t="shared" si="248"/>
        <v>0</v>
      </c>
      <c r="BH7556">
        <f t="shared" si="248"/>
        <v>0</v>
      </c>
      <c r="BI7556">
        <f t="shared" si="248"/>
        <v>0</v>
      </c>
      <c r="BJ7556">
        <f t="shared" si="248"/>
        <v>0</v>
      </c>
      <c r="BK7556">
        <f t="shared" si="248"/>
        <v>66</v>
      </c>
      <c r="BL7556">
        <f t="shared" si="248"/>
        <v>23</v>
      </c>
      <c r="BM7556">
        <f t="shared" si="248"/>
        <v>0</v>
      </c>
      <c r="BN7556">
        <f t="shared" si="248"/>
        <v>0</v>
      </c>
      <c r="BO7556">
        <f t="shared" si="248"/>
        <v>0</v>
      </c>
      <c r="BP7556">
        <f t="shared" si="248"/>
        <v>0</v>
      </c>
      <c r="BQ7556">
        <f t="shared" si="248"/>
        <v>0</v>
      </c>
      <c r="BR7556">
        <f t="shared" si="248"/>
        <v>0</v>
      </c>
      <c r="BS7556">
        <f t="shared" si="248"/>
        <v>0</v>
      </c>
      <c r="BT7556">
        <f t="shared" si="248"/>
        <v>0</v>
      </c>
      <c r="BU7556">
        <f t="shared" si="248"/>
        <v>0</v>
      </c>
      <c r="BV7556">
        <f t="shared" si="248"/>
        <v>0</v>
      </c>
      <c r="BW7556">
        <f t="shared" si="248"/>
        <v>0</v>
      </c>
      <c r="BX7556">
        <f t="shared" si="248"/>
        <v>0</v>
      </c>
      <c r="BY7556">
        <f t="shared" si="248"/>
        <v>0</v>
      </c>
      <c r="BZ7556">
        <f t="shared" si="248"/>
        <v>0</v>
      </c>
      <c r="CA7556">
        <f t="shared" si="248"/>
        <v>0</v>
      </c>
      <c r="CB7556">
        <f t="shared" si="248"/>
        <v>0</v>
      </c>
      <c r="CC7556">
        <f t="shared" si="248"/>
        <v>0</v>
      </c>
      <c r="CD7556">
        <f t="shared" si="248"/>
        <v>0</v>
      </c>
      <c r="CE7556">
        <f t="shared" si="248"/>
        <v>0</v>
      </c>
      <c r="CF7556">
        <f t="shared" si="248"/>
        <v>0</v>
      </c>
      <c r="CG7556">
        <f t="shared" si="248"/>
        <v>0</v>
      </c>
      <c r="CH7556">
        <f t="shared" si="248"/>
        <v>0</v>
      </c>
      <c r="CI7556">
        <f t="shared" si="248"/>
        <v>0</v>
      </c>
      <c r="CJ7556">
        <f t="shared" si="248"/>
        <v>0</v>
      </c>
      <c r="CK7556">
        <f t="shared" si="248"/>
        <v>0</v>
      </c>
      <c r="CL7556">
        <f t="shared" si="248"/>
        <v>0</v>
      </c>
      <c r="CM7556">
        <f t="shared" si="248"/>
        <v>0</v>
      </c>
      <c r="CN7556">
        <f t="shared" si="248"/>
        <v>0</v>
      </c>
      <c r="CO7556">
        <f t="shared" si="248"/>
        <v>0</v>
      </c>
      <c r="CP7556">
        <f t="shared" si="248"/>
        <v>0</v>
      </c>
      <c r="CQ7556">
        <f t="shared" si="248"/>
        <v>0</v>
      </c>
      <c r="CR7556">
        <f t="shared" si="248"/>
        <v>0</v>
      </c>
      <c r="CS7556">
        <f t="shared" si="248"/>
        <v>0</v>
      </c>
      <c r="CT7556">
        <f t="shared" si="248"/>
        <v>0</v>
      </c>
      <c r="CU7556">
        <f t="shared" si="248"/>
        <v>65</v>
      </c>
      <c r="CV7556">
        <f t="shared" si="248"/>
        <v>0</v>
      </c>
      <c r="CW7556">
        <f t="shared" si="248"/>
        <v>6</v>
      </c>
      <c r="CX7556">
        <f t="shared" si="248"/>
        <v>1</v>
      </c>
    </row>
    <row r="7557" spans="1:102">
      <c r="A7557" s="2"/>
      <c r="AY7557">
        <v>12</v>
      </c>
      <c r="AZ7557" s="3"/>
      <c r="BC7557">
        <f t="shared" ref="BC7557:CX7557" si="249">COUNTIF(B$3:B$7503,"12")</f>
        <v>0</v>
      </c>
      <c r="BD7557">
        <f t="shared" si="249"/>
        <v>0</v>
      </c>
      <c r="BE7557">
        <f t="shared" si="249"/>
        <v>0</v>
      </c>
      <c r="BF7557">
        <f t="shared" si="249"/>
        <v>0</v>
      </c>
      <c r="BG7557">
        <f t="shared" si="249"/>
        <v>0</v>
      </c>
      <c r="BH7557">
        <f t="shared" si="249"/>
        <v>0</v>
      </c>
      <c r="BI7557">
        <f t="shared" si="249"/>
        <v>0</v>
      </c>
      <c r="BJ7557">
        <f t="shared" si="249"/>
        <v>0</v>
      </c>
      <c r="BK7557">
        <f t="shared" si="249"/>
        <v>28</v>
      </c>
      <c r="BL7557">
        <f t="shared" si="249"/>
        <v>48</v>
      </c>
      <c r="BM7557">
        <f t="shared" si="249"/>
        <v>0</v>
      </c>
      <c r="BN7557">
        <f t="shared" si="249"/>
        <v>0</v>
      </c>
      <c r="BO7557">
        <f t="shared" si="249"/>
        <v>0</v>
      </c>
      <c r="BP7557">
        <f t="shared" si="249"/>
        <v>0</v>
      </c>
      <c r="BQ7557">
        <f t="shared" si="249"/>
        <v>0</v>
      </c>
      <c r="BR7557">
        <f t="shared" si="249"/>
        <v>0</v>
      </c>
      <c r="BS7557">
        <f t="shared" si="249"/>
        <v>0</v>
      </c>
      <c r="BT7557">
        <f t="shared" si="249"/>
        <v>0</v>
      </c>
      <c r="BU7557">
        <f t="shared" si="249"/>
        <v>0</v>
      </c>
      <c r="BV7557">
        <f t="shared" si="249"/>
        <v>0</v>
      </c>
      <c r="BW7557">
        <f t="shared" si="249"/>
        <v>0</v>
      </c>
      <c r="BX7557">
        <f t="shared" si="249"/>
        <v>0</v>
      </c>
      <c r="BY7557">
        <f t="shared" si="249"/>
        <v>0</v>
      </c>
      <c r="BZ7557">
        <f t="shared" si="249"/>
        <v>0</v>
      </c>
      <c r="CA7557">
        <f t="shared" si="249"/>
        <v>0</v>
      </c>
      <c r="CB7557">
        <f t="shared" si="249"/>
        <v>0</v>
      </c>
      <c r="CC7557">
        <f t="shared" si="249"/>
        <v>0</v>
      </c>
      <c r="CD7557">
        <f t="shared" si="249"/>
        <v>0</v>
      </c>
      <c r="CE7557">
        <f t="shared" si="249"/>
        <v>0</v>
      </c>
      <c r="CF7557">
        <f t="shared" si="249"/>
        <v>0</v>
      </c>
      <c r="CG7557">
        <f t="shared" si="249"/>
        <v>0</v>
      </c>
      <c r="CH7557">
        <f t="shared" si="249"/>
        <v>0</v>
      </c>
      <c r="CI7557">
        <f t="shared" si="249"/>
        <v>0</v>
      </c>
      <c r="CJ7557">
        <f t="shared" si="249"/>
        <v>0</v>
      </c>
      <c r="CK7557">
        <f t="shared" si="249"/>
        <v>0</v>
      </c>
      <c r="CL7557">
        <f t="shared" si="249"/>
        <v>0</v>
      </c>
      <c r="CM7557">
        <f t="shared" si="249"/>
        <v>0</v>
      </c>
      <c r="CN7557">
        <f t="shared" si="249"/>
        <v>0</v>
      </c>
      <c r="CO7557">
        <f t="shared" si="249"/>
        <v>0</v>
      </c>
      <c r="CP7557">
        <f t="shared" si="249"/>
        <v>0</v>
      </c>
      <c r="CQ7557">
        <f t="shared" si="249"/>
        <v>0</v>
      </c>
      <c r="CR7557">
        <f t="shared" si="249"/>
        <v>0</v>
      </c>
      <c r="CS7557">
        <f t="shared" si="249"/>
        <v>0</v>
      </c>
      <c r="CT7557">
        <f t="shared" si="249"/>
        <v>0</v>
      </c>
      <c r="CU7557">
        <f t="shared" si="249"/>
        <v>25</v>
      </c>
      <c r="CV7557">
        <f t="shared" si="249"/>
        <v>0</v>
      </c>
      <c r="CW7557">
        <f t="shared" si="249"/>
        <v>0</v>
      </c>
      <c r="CX7557">
        <f t="shared" si="249"/>
        <v>1</v>
      </c>
    </row>
    <row r="7558" spans="1:102">
      <c r="A7558" s="2"/>
      <c r="AY7558">
        <v>13</v>
      </c>
      <c r="AZ7558" s="3"/>
      <c r="BC7558">
        <f t="shared" ref="BC7558:CX7558" si="250">COUNTIF(B$3:B$7503,"13")</f>
        <v>0</v>
      </c>
      <c r="BD7558">
        <f t="shared" si="250"/>
        <v>0</v>
      </c>
      <c r="BE7558">
        <f t="shared" si="250"/>
        <v>0</v>
      </c>
      <c r="BF7558">
        <f t="shared" si="250"/>
        <v>0</v>
      </c>
      <c r="BG7558">
        <f t="shared" si="250"/>
        <v>0</v>
      </c>
      <c r="BH7558">
        <f t="shared" si="250"/>
        <v>0</v>
      </c>
      <c r="BI7558">
        <f t="shared" si="250"/>
        <v>0</v>
      </c>
      <c r="BJ7558">
        <f t="shared" si="250"/>
        <v>0</v>
      </c>
      <c r="BK7558">
        <f t="shared" si="250"/>
        <v>66</v>
      </c>
      <c r="BL7558">
        <f t="shared" si="250"/>
        <v>13</v>
      </c>
      <c r="BM7558">
        <f t="shared" si="250"/>
        <v>0</v>
      </c>
      <c r="BN7558">
        <f t="shared" si="250"/>
        <v>0</v>
      </c>
      <c r="BO7558">
        <f t="shared" si="250"/>
        <v>0</v>
      </c>
      <c r="BP7558">
        <f t="shared" si="250"/>
        <v>0</v>
      </c>
      <c r="BQ7558">
        <f t="shared" si="250"/>
        <v>0</v>
      </c>
      <c r="BR7558">
        <f t="shared" si="250"/>
        <v>0</v>
      </c>
      <c r="BS7558">
        <f t="shared" si="250"/>
        <v>0</v>
      </c>
      <c r="BT7558">
        <f t="shared" si="250"/>
        <v>0</v>
      </c>
      <c r="BU7558">
        <f t="shared" si="250"/>
        <v>0</v>
      </c>
      <c r="BV7558">
        <f t="shared" si="250"/>
        <v>0</v>
      </c>
      <c r="BW7558">
        <f t="shared" si="250"/>
        <v>0</v>
      </c>
      <c r="BX7558">
        <f t="shared" si="250"/>
        <v>0</v>
      </c>
      <c r="BY7558">
        <f t="shared" si="250"/>
        <v>0</v>
      </c>
      <c r="BZ7558">
        <f t="shared" si="250"/>
        <v>0</v>
      </c>
      <c r="CA7558">
        <f t="shared" si="250"/>
        <v>0</v>
      </c>
      <c r="CB7558">
        <f t="shared" si="250"/>
        <v>0</v>
      </c>
      <c r="CC7558">
        <f t="shared" si="250"/>
        <v>0</v>
      </c>
      <c r="CD7558">
        <f t="shared" si="250"/>
        <v>0</v>
      </c>
      <c r="CE7558">
        <f t="shared" si="250"/>
        <v>0</v>
      </c>
      <c r="CF7558">
        <f t="shared" si="250"/>
        <v>0</v>
      </c>
      <c r="CG7558">
        <f t="shared" si="250"/>
        <v>0</v>
      </c>
      <c r="CH7558">
        <f t="shared" si="250"/>
        <v>0</v>
      </c>
      <c r="CI7558">
        <f t="shared" si="250"/>
        <v>0</v>
      </c>
      <c r="CJ7558">
        <f t="shared" si="250"/>
        <v>0</v>
      </c>
      <c r="CK7558">
        <f t="shared" si="250"/>
        <v>0</v>
      </c>
      <c r="CL7558">
        <f t="shared" si="250"/>
        <v>0</v>
      </c>
      <c r="CM7558">
        <f t="shared" si="250"/>
        <v>0</v>
      </c>
      <c r="CN7558">
        <f t="shared" si="250"/>
        <v>0</v>
      </c>
      <c r="CO7558">
        <f t="shared" si="250"/>
        <v>0</v>
      </c>
      <c r="CP7558">
        <f t="shared" si="250"/>
        <v>0</v>
      </c>
      <c r="CQ7558">
        <f t="shared" si="250"/>
        <v>0</v>
      </c>
      <c r="CR7558">
        <f t="shared" si="250"/>
        <v>0</v>
      </c>
      <c r="CS7558">
        <f t="shared" si="250"/>
        <v>0</v>
      </c>
      <c r="CT7558">
        <f t="shared" si="250"/>
        <v>0</v>
      </c>
      <c r="CU7558">
        <f t="shared" si="250"/>
        <v>26</v>
      </c>
      <c r="CV7558">
        <f t="shared" si="250"/>
        <v>0</v>
      </c>
      <c r="CW7558">
        <f t="shared" si="250"/>
        <v>0</v>
      </c>
      <c r="CX7558">
        <f t="shared" si="250"/>
        <v>1</v>
      </c>
    </row>
    <row r="7559" spans="1:102">
      <c r="A7559" s="2"/>
      <c r="AY7559">
        <v>14</v>
      </c>
      <c r="AZ7559" s="2"/>
      <c r="BC7559">
        <f t="shared" ref="BC7559:CX7559" si="251">COUNTIF(B$3:B$7503,"14")</f>
        <v>0</v>
      </c>
      <c r="BD7559">
        <f t="shared" si="251"/>
        <v>0</v>
      </c>
      <c r="BE7559">
        <f t="shared" si="251"/>
        <v>0</v>
      </c>
      <c r="BF7559">
        <f t="shared" si="251"/>
        <v>0</v>
      </c>
      <c r="BG7559">
        <f t="shared" si="251"/>
        <v>0</v>
      </c>
      <c r="BH7559">
        <f t="shared" si="251"/>
        <v>0</v>
      </c>
      <c r="BI7559">
        <f t="shared" si="251"/>
        <v>0</v>
      </c>
      <c r="BJ7559">
        <f t="shared" si="251"/>
        <v>0</v>
      </c>
      <c r="BK7559">
        <f t="shared" si="251"/>
        <v>14</v>
      </c>
      <c r="BL7559">
        <f t="shared" si="251"/>
        <v>37</v>
      </c>
      <c r="BM7559">
        <f t="shared" si="251"/>
        <v>0</v>
      </c>
      <c r="BN7559">
        <f t="shared" si="251"/>
        <v>0</v>
      </c>
      <c r="BO7559">
        <f t="shared" si="251"/>
        <v>0</v>
      </c>
      <c r="BP7559">
        <f t="shared" si="251"/>
        <v>0</v>
      </c>
      <c r="BQ7559">
        <f t="shared" si="251"/>
        <v>0</v>
      </c>
      <c r="BR7559">
        <f t="shared" si="251"/>
        <v>0</v>
      </c>
      <c r="BS7559">
        <f t="shared" si="251"/>
        <v>0</v>
      </c>
      <c r="BT7559">
        <f t="shared" si="251"/>
        <v>0</v>
      </c>
      <c r="BU7559">
        <f t="shared" si="251"/>
        <v>0</v>
      </c>
      <c r="BV7559">
        <f t="shared" si="251"/>
        <v>0</v>
      </c>
      <c r="BW7559">
        <f t="shared" si="251"/>
        <v>0</v>
      </c>
      <c r="BX7559">
        <f t="shared" si="251"/>
        <v>0</v>
      </c>
      <c r="BY7559">
        <f t="shared" si="251"/>
        <v>0</v>
      </c>
      <c r="BZ7559">
        <f t="shared" si="251"/>
        <v>0</v>
      </c>
      <c r="CA7559">
        <f t="shared" si="251"/>
        <v>0</v>
      </c>
      <c r="CB7559">
        <f t="shared" si="251"/>
        <v>0</v>
      </c>
      <c r="CC7559">
        <f t="shared" si="251"/>
        <v>0</v>
      </c>
      <c r="CD7559">
        <f t="shared" si="251"/>
        <v>0</v>
      </c>
      <c r="CE7559">
        <f t="shared" si="251"/>
        <v>0</v>
      </c>
      <c r="CF7559">
        <f t="shared" si="251"/>
        <v>0</v>
      </c>
      <c r="CG7559">
        <f t="shared" si="251"/>
        <v>0</v>
      </c>
      <c r="CH7559">
        <f t="shared" si="251"/>
        <v>0</v>
      </c>
      <c r="CI7559">
        <f t="shared" si="251"/>
        <v>0</v>
      </c>
      <c r="CJ7559">
        <f t="shared" si="251"/>
        <v>0</v>
      </c>
      <c r="CK7559">
        <f t="shared" si="251"/>
        <v>0</v>
      </c>
      <c r="CL7559">
        <f t="shared" si="251"/>
        <v>0</v>
      </c>
      <c r="CM7559">
        <f t="shared" si="251"/>
        <v>0</v>
      </c>
      <c r="CN7559">
        <f t="shared" si="251"/>
        <v>0</v>
      </c>
      <c r="CO7559">
        <f t="shared" si="251"/>
        <v>0</v>
      </c>
      <c r="CP7559">
        <f t="shared" si="251"/>
        <v>0</v>
      </c>
      <c r="CQ7559">
        <f t="shared" si="251"/>
        <v>0</v>
      </c>
      <c r="CR7559">
        <f t="shared" si="251"/>
        <v>0</v>
      </c>
      <c r="CS7559">
        <f t="shared" si="251"/>
        <v>0</v>
      </c>
      <c r="CT7559">
        <f t="shared" si="251"/>
        <v>0</v>
      </c>
      <c r="CU7559">
        <f t="shared" si="251"/>
        <v>96</v>
      </c>
      <c r="CV7559">
        <f t="shared" si="251"/>
        <v>0</v>
      </c>
      <c r="CW7559">
        <f t="shared" si="251"/>
        <v>0</v>
      </c>
      <c r="CX7559">
        <f t="shared" si="251"/>
        <v>1</v>
      </c>
    </row>
    <row r="7560" spans="1:102">
      <c r="A7560" s="2"/>
      <c r="AY7560">
        <v>15</v>
      </c>
      <c r="AZ7560" s="2"/>
      <c r="BC7560">
        <f t="shared" ref="BC7560:CX7560" si="252">COUNTIF(B$3:B$7503,"15")</f>
        <v>0</v>
      </c>
      <c r="BD7560">
        <f t="shared" si="252"/>
        <v>0</v>
      </c>
      <c r="BE7560">
        <f t="shared" si="252"/>
        <v>0</v>
      </c>
      <c r="BF7560">
        <f t="shared" si="252"/>
        <v>0</v>
      </c>
      <c r="BG7560">
        <f t="shared" si="252"/>
        <v>0</v>
      </c>
      <c r="BH7560">
        <f t="shared" si="252"/>
        <v>0</v>
      </c>
      <c r="BI7560">
        <f t="shared" si="252"/>
        <v>0</v>
      </c>
      <c r="BJ7560">
        <f t="shared" si="252"/>
        <v>0</v>
      </c>
      <c r="BK7560">
        <f t="shared" si="252"/>
        <v>11</v>
      </c>
      <c r="BL7560">
        <f t="shared" si="252"/>
        <v>7</v>
      </c>
      <c r="BM7560">
        <f t="shared" si="252"/>
        <v>0</v>
      </c>
      <c r="BN7560">
        <f t="shared" si="252"/>
        <v>0</v>
      </c>
      <c r="BO7560">
        <f t="shared" si="252"/>
        <v>0</v>
      </c>
      <c r="BP7560">
        <f t="shared" si="252"/>
        <v>0</v>
      </c>
      <c r="BQ7560">
        <f t="shared" si="252"/>
        <v>0</v>
      </c>
      <c r="BR7560">
        <f t="shared" si="252"/>
        <v>0</v>
      </c>
      <c r="BS7560">
        <f t="shared" si="252"/>
        <v>0</v>
      </c>
      <c r="BT7560">
        <f t="shared" si="252"/>
        <v>0</v>
      </c>
      <c r="BU7560">
        <f t="shared" si="252"/>
        <v>0</v>
      </c>
      <c r="BV7560">
        <f t="shared" si="252"/>
        <v>0</v>
      </c>
      <c r="BW7560">
        <f t="shared" si="252"/>
        <v>0</v>
      </c>
      <c r="BX7560">
        <f t="shared" si="252"/>
        <v>0</v>
      </c>
      <c r="BY7560">
        <f t="shared" si="252"/>
        <v>0</v>
      </c>
      <c r="BZ7560">
        <f t="shared" si="252"/>
        <v>0</v>
      </c>
      <c r="CA7560">
        <f t="shared" si="252"/>
        <v>0</v>
      </c>
      <c r="CB7560">
        <f t="shared" si="252"/>
        <v>0</v>
      </c>
      <c r="CC7560">
        <f t="shared" si="252"/>
        <v>0</v>
      </c>
      <c r="CD7560">
        <f t="shared" si="252"/>
        <v>0</v>
      </c>
      <c r="CE7560">
        <f t="shared" si="252"/>
        <v>0</v>
      </c>
      <c r="CF7560">
        <f t="shared" si="252"/>
        <v>0</v>
      </c>
      <c r="CG7560">
        <f t="shared" si="252"/>
        <v>0</v>
      </c>
      <c r="CH7560">
        <f t="shared" si="252"/>
        <v>0</v>
      </c>
      <c r="CI7560">
        <f t="shared" si="252"/>
        <v>0</v>
      </c>
      <c r="CJ7560">
        <f t="shared" si="252"/>
        <v>0</v>
      </c>
      <c r="CK7560">
        <f t="shared" si="252"/>
        <v>0</v>
      </c>
      <c r="CL7560">
        <f t="shared" si="252"/>
        <v>0</v>
      </c>
      <c r="CM7560">
        <f t="shared" si="252"/>
        <v>0</v>
      </c>
      <c r="CN7560">
        <f t="shared" si="252"/>
        <v>0</v>
      </c>
      <c r="CO7560">
        <f t="shared" si="252"/>
        <v>0</v>
      </c>
      <c r="CP7560">
        <f t="shared" si="252"/>
        <v>0</v>
      </c>
      <c r="CQ7560">
        <f t="shared" si="252"/>
        <v>0</v>
      </c>
      <c r="CR7560">
        <f t="shared" si="252"/>
        <v>0</v>
      </c>
      <c r="CS7560">
        <f t="shared" si="252"/>
        <v>0</v>
      </c>
      <c r="CT7560">
        <f t="shared" si="252"/>
        <v>0</v>
      </c>
      <c r="CU7560">
        <f t="shared" si="252"/>
        <v>13</v>
      </c>
      <c r="CV7560">
        <f t="shared" si="252"/>
        <v>0</v>
      </c>
      <c r="CW7560">
        <f t="shared" si="252"/>
        <v>0</v>
      </c>
      <c r="CX7560">
        <f t="shared" si="252"/>
        <v>1</v>
      </c>
    </row>
    <row r="7561" spans="1:102">
      <c r="A7561" s="2"/>
      <c r="AY7561">
        <v>16</v>
      </c>
      <c r="AZ7561" s="2"/>
      <c r="BC7561">
        <f t="shared" ref="BC7561:CX7561" si="253">COUNTIF(B$3:B$7503,"16")</f>
        <v>0</v>
      </c>
      <c r="BD7561">
        <f t="shared" si="253"/>
        <v>0</v>
      </c>
      <c r="BE7561">
        <f t="shared" si="253"/>
        <v>0</v>
      </c>
      <c r="BF7561">
        <f t="shared" si="253"/>
        <v>0</v>
      </c>
      <c r="BG7561">
        <f t="shared" si="253"/>
        <v>0</v>
      </c>
      <c r="BH7561">
        <f t="shared" si="253"/>
        <v>0</v>
      </c>
      <c r="BI7561">
        <f t="shared" si="253"/>
        <v>0</v>
      </c>
      <c r="BJ7561">
        <f t="shared" si="253"/>
        <v>0</v>
      </c>
      <c r="BK7561">
        <f t="shared" si="253"/>
        <v>69</v>
      </c>
      <c r="BL7561">
        <f t="shared" si="253"/>
        <v>14</v>
      </c>
      <c r="BM7561">
        <f t="shared" si="253"/>
        <v>0</v>
      </c>
      <c r="BN7561">
        <f t="shared" si="253"/>
        <v>0</v>
      </c>
      <c r="BO7561">
        <f t="shared" si="253"/>
        <v>0</v>
      </c>
      <c r="BP7561">
        <f t="shared" si="253"/>
        <v>0</v>
      </c>
      <c r="BQ7561">
        <f t="shared" si="253"/>
        <v>0</v>
      </c>
      <c r="BR7561">
        <f t="shared" si="253"/>
        <v>0</v>
      </c>
      <c r="BS7561">
        <f t="shared" si="253"/>
        <v>0</v>
      </c>
      <c r="BT7561">
        <f t="shared" si="253"/>
        <v>0</v>
      </c>
      <c r="BU7561">
        <f t="shared" si="253"/>
        <v>0</v>
      </c>
      <c r="BV7561">
        <f t="shared" si="253"/>
        <v>0</v>
      </c>
      <c r="BW7561">
        <f t="shared" si="253"/>
        <v>0</v>
      </c>
      <c r="BX7561">
        <f t="shared" si="253"/>
        <v>0</v>
      </c>
      <c r="BY7561">
        <f t="shared" si="253"/>
        <v>0</v>
      </c>
      <c r="BZ7561">
        <f t="shared" si="253"/>
        <v>0</v>
      </c>
      <c r="CA7561">
        <f t="shared" si="253"/>
        <v>0</v>
      </c>
      <c r="CB7561">
        <f t="shared" si="253"/>
        <v>0</v>
      </c>
      <c r="CC7561">
        <f t="shared" si="253"/>
        <v>0</v>
      </c>
      <c r="CD7561">
        <f t="shared" si="253"/>
        <v>0</v>
      </c>
      <c r="CE7561">
        <f t="shared" si="253"/>
        <v>0</v>
      </c>
      <c r="CF7561">
        <f t="shared" si="253"/>
        <v>0</v>
      </c>
      <c r="CG7561">
        <f t="shared" si="253"/>
        <v>0</v>
      </c>
      <c r="CH7561">
        <f t="shared" si="253"/>
        <v>0</v>
      </c>
      <c r="CI7561">
        <f t="shared" si="253"/>
        <v>0</v>
      </c>
      <c r="CJ7561">
        <f t="shared" si="253"/>
        <v>0</v>
      </c>
      <c r="CK7561">
        <f t="shared" si="253"/>
        <v>0</v>
      </c>
      <c r="CL7561">
        <f t="shared" si="253"/>
        <v>0</v>
      </c>
      <c r="CM7561">
        <f t="shared" si="253"/>
        <v>0</v>
      </c>
      <c r="CN7561">
        <f t="shared" si="253"/>
        <v>0</v>
      </c>
      <c r="CO7561">
        <f t="shared" si="253"/>
        <v>0</v>
      </c>
      <c r="CP7561">
        <f t="shared" si="253"/>
        <v>0</v>
      </c>
      <c r="CQ7561">
        <f t="shared" si="253"/>
        <v>0</v>
      </c>
      <c r="CR7561">
        <f t="shared" si="253"/>
        <v>0</v>
      </c>
      <c r="CS7561">
        <f t="shared" si="253"/>
        <v>0</v>
      </c>
      <c r="CT7561">
        <f t="shared" si="253"/>
        <v>0</v>
      </c>
      <c r="CU7561">
        <f t="shared" si="253"/>
        <v>11</v>
      </c>
      <c r="CV7561">
        <f t="shared" si="253"/>
        <v>0</v>
      </c>
      <c r="CW7561">
        <f t="shared" si="253"/>
        <v>0</v>
      </c>
      <c r="CX7561">
        <f t="shared" si="253"/>
        <v>10</v>
      </c>
    </row>
    <row r="7562" spans="1:102">
      <c r="A7562" s="2"/>
      <c r="AY7562">
        <v>17</v>
      </c>
      <c r="AZ7562" s="2"/>
      <c r="BC7562">
        <f t="shared" ref="BC7562:CX7562" si="254">COUNTIF(B$3:B$7503,"17")</f>
        <v>0</v>
      </c>
      <c r="BD7562">
        <f t="shared" si="254"/>
        <v>0</v>
      </c>
      <c r="BE7562">
        <f t="shared" si="254"/>
        <v>0</v>
      </c>
      <c r="BF7562">
        <f t="shared" si="254"/>
        <v>0</v>
      </c>
      <c r="BG7562">
        <f t="shared" si="254"/>
        <v>0</v>
      </c>
      <c r="BH7562">
        <f t="shared" si="254"/>
        <v>0</v>
      </c>
      <c r="BI7562">
        <f t="shared" si="254"/>
        <v>0</v>
      </c>
      <c r="BJ7562">
        <f t="shared" si="254"/>
        <v>0</v>
      </c>
      <c r="BK7562">
        <f t="shared" si="254"/>
        <v>73</v>
      </c>
      <c r="BL7562">
        <f t="shared" si="254"/>
        <v>34</v>
      </c>
      <c r="BM7562">
        <f t="shared" si="254"/>
        <v>0</v>
      </c>
      <c r="BN7562">
        <f t="shared" si="254"/>
        <v>0</v>
      </c>
      <c r="BO7562">
        <f t="shared" si="254"/>
        <v>0</v>
      </c>
      <c r="BP7562">
        <f t="shared" si="254"/>
        <v>0</v>
      </c>
      <c r="BQ7562">
        <f t="shared" si="254"/>
        <v>0</v>
      </c>
      <c r="BR7562">
        <f t="shared" si="254"/>
        <v>0</v>
      </c>
      <c r="BS7562">
        <f t="shared" si="254"/>
        <v>0</v>
      </c>
      <c r="BT7562">
        <f t="shared" si="254"/>
        <v>0</v>
      </c>
      <c r="BU7562">
        <f t="shared" si="254"/>
        <v>0</v>
      </c>
      <c r="BV7562">
        <f t="shared" si="254"/>
        <v>0</v>
      </c>
      <c r="BW7562">
        <f t="shared" si="254"/>
        <v>0</v>
      </c>
      <c r="BX7562">
        <f t="shared" si="254"/>
        <v>0</v>
      </c>
      <c r="BY7562">
        <f t="shared" si="254"/>
        <v>0</v>
      </c>
      <c r="BZ7562">
        <f t="shared" si="254"/>
        <v>0</v>
      </c>
      <c r="CA7562">
        <f t="shared" si="254"/>
        <v>0</v>
      </c>
      <c r="CB7562">
        <f t="shared" si="254"/>
        <v>0</v>
      </c>
      <c r="CC7562">
        <f t="shared" si="254"/>
        <v>0</v>
      </c>
      <c r="CD7562">
        <f t="shared" si="254"/>
        <v>0</v>
      </c>
      <c r="CE7562">
        <f t="shared" si="254"/>
        <v>0</v>
      </c>
      <c r="CF7562">
        <f t="shared" si="254"/>
        <v>0</v>
      </c>
      <c r="CG7562">
        <f t="shared" si="254"/>
        <v>0</v>
      </c>
      <c r="CH7562">
        <f t="shared" si="254"/>
        <v>0</v>
      </c>
      <c r="CI7562">
        <f t="shared" si="254"/>
        <v>0</v>
      </c>
      <c r="CJ7562">
        <f t="shared" si="254"/>
        <v>0</v>
      </c>
      <c r="CK7562">
        <f t="shared" si="254"/>
        <v>0</v>
      </c>
      <c r="CL7562">
        <f t="shared" si="254"/>
        <v>0</v>
      </c>
      <c r="CM7562">
        <f t="shared" si="254"/>
        <v>0</v>
      </c>
      <c r="CN7562">
        <f t="shared" si="254"/>
        <v>0</v>
      </c>
      <c r="CO7562">
        <f t="shared" si="254"/>
        <v>0</v>
      </c>
      <c r="CP7562">
        <f t="shared" si="254"/>
        <v>0</v>
      </c>
      <c r="CQ7562">
        <f t="shared" si="254"/>
        <v>0</v>
      </c>
      <c r="CR7562">
        <f t="shared" si="254"/>
        <v>0</v>
      </c>
      <c r="CS7562">
        <f t="shared" si="254"/>
        <v>0</v>
      </c>
      <c r="CT7562">
        <f t="shared" si="254"/>
        <v>0</v>
      </c>
      <c r="CU7562">
        <f t="shared" si="254"/>
        <v>11</v>
      </c>
      <c r="CV7562">
        <f t="shared" si="254"/>
        <v>0</v>
      </c>
      <c r="CW7562">
        <f t="shared" si="254"/>
        <v>0</v>
      </c>
      <c r="CX7562">
        <f t="shared" si="254"/>
        <v>1</v>
      </c>
    </row>
    <row r="7563" spans="1:102">
      <c r="A7563" s="2"/>
      <c r="AY7563">
        <v>18</v>
      </c>
      <c r="AZ7563" s="2"/>
      <c r="BC7563">
        <f t="shared" ref="BC7563:CX7563" si="255">COUNTIF(B$3:B$7503,"18")</f>
        <v>0</v>
      </c>
      <c r="BD7563">
        <f t="shared" si="255"/>
        <v>0</v>
      </c>
      <c r="BE7563">
        <f t="shared" si="255"/>
        <v>0</v>
      </c>
      <c r="BF7563">
        <f t="shared" si="255"/>
        <v>0</v>
      </c>
      <c r="BG7563">
        <f t="shared" si="255"/>
        <v>0</v>
      </c>
      <c r="BH7563">
        <f t="shared" si="255"/>
        <v>0</v>
      </c>
      <c r="BI7563">
        <f t="shared" si="255"/>
        <v>0</v>
      </c>
      <c r="BJ7563">
        <f t="shared" si="255"/>
        <v>0</v>
      </c>
      <c r="BK7563">
        <f t="shared" si="255"/>
        <v>62</v>
      </c>
      <c r="BL7563">
        <f t="shared" si="255"/>
        <v>123</v>
      </c>
      <c r="BM7563">
        <f t="shared" si="255"/>
        <v>0</v>
      </c>
      <c r="BN7563">
        <f t="shared" si="255"/>
        <v>0</v>
      </c>
      <c r="BO7563">
        <f t="shared" si="255"/>
        <v>0</v>
      </c>
      <c r="BP7563">
        <f t="shared" si="255"/>
        <v>0</v>
      </c>
      <c r="BQ7563">
        <f t="shared" si="255"/>
        <v>0</v>
      </c>
      <c r="BR7563">
        <f t="shared" si="255"/>
        <v>0</v>
      </c>
      <c r="BS7563">
        <f t="shared" si="255"/>
        <v>0</v>
      </c>
      <c r="BT7563">
        <f t="shared" si="255"/>
        <v>0</v>
      </c>
      <c r="BU7563">
        <f t="shared" si="255"/>
        <v>0</v>
      </c>
      <c r="BV7563">
        <f t="shared" si="255"/>
        <v>0</v>
      </c>
      <c r="BW7563">
        <f t="shared" si="255"/>
        <v>0</v>
      </c>
      <c r="BX7563">
        <f t="shared" si="255"/>
        <v>0</v>
      </c>
      <c r="BY7563">
        <f t="shared" si="255"/>
        <v>0</v>
      </c>
      <c r="BZ7563">
        <f t="shared" si="255"/>
        <v>0</v>
      </c>
      <c r="CA7563">
        <f t="shared" si="255"/>
        <v>0</v>
      </c>
      <c r="CB7563">
        <f t="shared" si="255"/>
        <v>0</v>
      </c>
      <c r="CC7563">
        <f t="shared" si="255"/>
        <v>0</v>
      </c>
      <c r="CD7563">
        <f t="shared" si="255"/>
        <v>0</v>
      </c>
      <c r="CE7563">
        <f t="shared" si="255"/>
        <v>0</v>
      </c>
      <c r="CF7563">
        <f t="shared" si="255"/>
        <v>0</v>
      </c>
      <c r="CG7563">
        <f t="shared" si="255"/>
        <v>0</v>
      </c>
      <c r="CH7563">
        <f t="shared" si="255"/>
        <v>0</v>
      </c>
      <c r="CI7563">
        <f t="shared" si="255"/>
        <v>0</v>
      </c>
      <c r="CJ7563">
        <f t="shared" si="255"/>
        <v>0</v>
      </c>
      <c r="CK7563">
        <f t="shared" si="255"/>
        <v>0</v>
      </c>
      <c r="CL7563">
        <f t="shared" si="255"/>
        <v>0</v>
      </c>
      <c r="CM7563">
        <f t="shared" si="255"/>
        <v>0</v>
      </c>
      <c r="CN7563">
        <f t="shared" si="255"/>
        <v>0</v>
      </c>
      <c r="CO7563">
        <f t="shared" si="255"/>
        <v>0</v>
      </c>
      <c r="CP7563">
        <f t="shared" si="255"/>
        <v>0</v>
      </c>
      <c r="CQ7563">
        <f t="shared" si="255"/>
        <v>0</v>
      </c>
      <c r="CR7563">
        <f t="shared" si="255"/>
        <v>0</v>
      </c>
      <c r="CS7563">
        <f t="shared" si="255"/>
        <v>0</v>
      </c>
      <c r="CT7563">
        <f t="shared" si="255"/>
        <v>0</v>
      </c>
      <c r="CU7563">
        <f t="shared" si="255"/>
        <v>0</v>
      </c>
      <c r="CV7563">
        <f t="shared" si="255"/>
        <v>0</v>
      </c>
      <c r="CW7563">
        <f t="shared" si="255"/>
        <v>0</v>
      </c>
      <c r="CX7563">
        <f t="shared" si="255"/>
        <v>5</v>
      </c>
    </row>
    <row r="7564" spans="1:102">
      <c r="A7564" s="2"/>
      <c r="AY7564">
        <v>19</v>
      </c>
      <c r="AZ7564" s="2"/>
      <c r="BC7564">
        <f t="shared" ref="BC7564:CX7564" si="256">COUNTIF(B$3:B$7503,"19")</f>
        <v>0</v>
      </c>
      <c r="BD7564">
        <f t="shared" si="256"/>
        <v>0</v>
      </c>
      <c r="BE7564">
        <f t="shared" si="256"/>
        <v>0</v>
      </c>
      <c r="BF7564">
        <f t="shared" si="256"/>
        <v>0</v>
      </c>
      <c r="BG7564">
        <f t="shared" si="256"/>
        <v>0</v>
      </c>
      <c r="BH7564">
        <f t="shared" si="256"/>
        <v>0</v>
      </c>
      <c r="BI7564">
        <f t="shared" si="256"/>
        <v>0</v>
      </c>
      <c r="BJ7564">
        <f t="shared" si="256"/>
        <v>0</v>
      </c>
      <c r="BK7564">
        <f t="shared" si="256"/>
        <v>47</v>
      </c>
      <c r="BL7564">
        <f t="shared" si="256"/>
        <v>25</v>
      </c>
      <c r="BM7564">
        <f t="shared" si="256"/>
        <v>0</v>
      </c>
      <c r="BN7564">
        <f t="shared" si="256"/>
        <v>0</v>
      </c>
      <c r="BO7564">
        <f t="shared" si="256"/>
        <v>0</v>
      </c>
      <c r="BP7564">
        <f t="shared" si="256"/>
        <v>0</v>
      </c>
      <c r="BQ7564">
        <f t="shared" si="256"/>
        <v>0</v>
      </c>
      <c r="BR7564">
        <f t="shared" si="256"/>
        <v>0</v>
      </c>
      <c r="BS7564">
        <f t="shared" si="256"/>
        <v>0</v>
      </c>
      <c r="BT7564">
        <f t="shared" si="256"/>
        <v>0</v>
      </c>
      <c r="BU7564">
        <f t="shared" si="256"/>
        <v>0</v>
      </c>
      <c r="BV7564">
        <f t="shared" si="256"/>
        <v>0</v>
      </c>
      <c r="BW7564">
        <f t="shared" si="256"/>
        <v>0</v>
      </c>
      <c r="BX7564">
        <f t="shared" si="256"/>
        <v>0</v>
      </c>
      <c r="BY7564">
        <f t="shared" si="256"/>
        <v>0</v>
      </c>
      <c r="BZ7564">
        <f t="shared" si="256"/>
        <v>0</v>
      </c>
      <c r="CA7564">
        <f t="shared" si="256"/>
        <v>0</v>
      </c>
      <c r="CB7564">
        <f t="shared" si="256"/>
        <v>0</v>
      </c>
      <c r="CC7564">
        <f t="shared" si="256"/>
        <v>0</v>
      </c>
      <c r="CD7564">
        <f t="shared" si="256"/>
        <v>0</v>
      </c>
      <c r="CE7564">
        <f t="shared" si="256"/>
        <v>0</v>
      </c>
      <c r="CF7564">
        <f t="shared" si="256"/>
        <v>0</v>
      </c>
      <c r="CG7564">
        <f t="shared" si="256"/>
        <v>0</v>
      </c>
      <c r="CH7564">
        <f t="shared" si="256"/>
        <v>0</v>
      </c>
      <c r="CI7564">
        <f t="shared" si="256"/>
        <v>0</v>
      </c>
      <c r="CJ7564">
        <f t="shared" si="256"/>
        <v>0</v>
      </c>
      <c r="CK7564">
        <f t="shared" si="256"/>
        <v>0</v>
      </c>
      <c r="CL7564">
        <f t="shared" si="256"/>
        <v>0</v>
      </c>
      <c r="CM7564">
        <f t="shared" si="256"/>
        <v>0</v>
      </c>
      <c r="CN7564">
        <f t="shared" si="256"/>
        <v>0</v>
      </c>
      <c r="CO7564">
        <f t="shared" si="256"/>
        <v>0</v>
      </c>
      <c r="CP7564">
        <f t="shared" si="256"/>
        <v>0</v>
      </c>
      <c r="CQ7564">
        <f t="shared" si="256"/>
        <v>0</v>
      </c>
      <c r="CR7564">
        <f t="shared" si="256"/>
        <v>0</v>
      </c>
      <c r="CS7564">
        <f t="shared" si="256"/>
        <v>0</v>
      </c>
      <c r="CT7564">
        <f t="shared" si="256"/>
        <v>0</v>
      </c>
      <c r="CU7564">
        <f t="shared" si="256"/>
        <v>0</v>
      </c>
      <c r="CV7564">
        <f t="shared" si="256"/>
        <v>0</v>
      </c>
      <c r="CW7564">
        <f t="shared" si="256"/>
        <v>0</v>
      </c>
      <c r="CX7564">
        <f t="shared" si="256"/>
        <v>8</v>
      </c>
    </row>
    <row r="7565" spans="1:102">
      <c r="A7565" s="2"/>
      <c r="AY7565">
        <v>20</v>
      </c>
      <c r="AZ7565" s="2"/>
      <c r="BC7565">
        <f t="shared" ref="BC7565:CX7565" si="257">COUNTIF(B$3:B$7503,"20")</f>
        <v>0</v>
      </c>
      <c r="BD7565">
        <f t="shared" si="257"/>
        <v>0</v>
      </c>
      <c r="BE7565">
        <f t="shared" si="257"/>
        <v>0</v>
      </c>
      <c r="BF7565">
        <f t="shared" si="257"/>
        <v>0</v>
      </c>
      <c r="BG7565">
        <f t="shared" si="257"/>
        <v>0</v>
      </c>
      <c r="BH7565">
        <f t="shared" si="257"/>
        <v>0</v>
      </c>
      <c r="BI7565">
        <f t="shared" si="257"/>
        <v>0</v>
      </c>
      <c r="BJ7565">
        <f t="shared" si="257"/>
        <v>0</v>
      </c>
      <c r="BK7565">
        <f t="shared" si="257"/>
        <v>32</v>
      </c>
      <c r="BL7565">
        <f t="shared" si="257"/>
        <v>10</v>
      </c>
      <c r="BM7565">
        <f t="shared" si="257"/>
        <v>0</v>
      </c>
      <c r="BN7565">
        <f t="shared" si="257"/>
        <v>0</v>
      </c>
      <c r="BO7565">
        <f t="shared" si="257"/>
        <v>0</v>
      </c>
      <c r="BP7565">
        <f t="shared" si="257"/>
        <v>0</v>
      </c>
      <c r="BQ7565">
        <f t="shared" si="257"/>
        <v>0</v>
      </c>
      <c r="BR7565">
        <f t="shared" si="257"/>
        <v>0</v>
      </c>
      <c r="BS7565">
        <f t="shared" si="257"/>
        <v>0</v>
      </c>
      <c r="BT7565">
        <f t="shared" si="257"/>
        <v>0</v>
      </c>
      <c r="BU7565">
        <f t="shared" si="257"/>
        <v>0</v>
      </c>
      <c r="BV7565">
        <f t="shared" si="257"/>
        <v>0</v>
      </c>
      <c r="BW7565">
        <f t="shared" si="257"/>
        <v>0</v>
      </c>
      <c r="BX7565">
        <f t="shared" si="257"/>
        <v>0</v>
      </c>
      <c r="BY7565">
        <f t="shared" si="257"/>
        <v>0</v>
      </c>
      <c r="BZ7565">
        <f t="shared" si="257"/>
        <v>0</v>
      </c>
      <c r="CA7565">
        <f t="shared" si="257"/>
        <v>0</v>
      </c>
      <c r="CB7565">
        <f t="shared" si="257"/>
        <v>0</v>
      </c>
      <c r="CC7565">
        <f t="shared" si="257"/>
        <v>0</v>
      </c>
      <c r="CD7565">
        <f t="shared" si="257"/>
        <v>0</v>
      </c>
      <c r="CE7565">
        <f t="shared" si="257"/>
        <v>0</v>
      </c>
      <c r="CF7565">
        <f t="shared" si="257"/>
        <v>0</v>
      </c>
      <c r="CG7565">
        <f t="shared" si="257"/>
        <v>0</v>
      </c>
      <c r="CH7565">
        <f t="shared" si="257"/>
        <v>0</v>
      </c>
      <c r="CI7565">
        <f t="shared" si="257"/>
        <v>0</v>
      </c>
      <c r="CJ7565">
        <f t="shared" si="257"/>
        <v>0</v>
      </c>
      <c r="CK7565">
        <f t="shared" si="257"/>
        <v>0</v>
      </c>
      <c r="CL7565">
        <f t="shared" si="257"/>
        <v>0</v>
      </c>
      <c r="CM7565">
        <f t="shared" si="257"/>
        <v>0</v>
      </c>
      <c r="CN7565">
        <f t="shared" si="257"/>
        <v>0</v>
      </c>
      <c r="CO7565">
        <f t="shared" si="257"/>
        <v>0</v>
      </c>
      <c r="CP7565">
        <f t="shared" si="257"/>
        <v>0</v>
      </c>
      <c r="CQ7565">
        <f t="shared" si="257"/>
        <v>0</v>
      </c>
      <c r="CR7565">
        <f t="shared" si="257"/>
        <v>0</v>
      </c>
      <c r="CS7565">
        <f t="shared" si="257"/>
        <v>0</v>
      </c>
      <c r="CT7565">
        <f t="shared" si="257"/>
        <v>0</v>
      </c>
      <c r="CU7565">
        <f t="shared" si="257"/>
        <v>0</v>
      </c>
      <c r="CV7565">
        <f t="shared" si="257"/>
        <v>0</v>
      </c>
      <c r="CW7565">
        <f t="shared" si="257"/>
        <v>0</v>
      </c>
      <c r="CX7565">
        <f t="shared" si="257"/>
        <v>4</v>
      </c>
    </row>
    <row r="7566" spans="1:102">
      <c r="A7566" s="2"/>
      <c r="AY7566">
        <v>21</v>
      </c>
      <c r="AZ7566" s="2"/>
      <c r="BC7566">
        <f t="shared" ref="BC7566:CX7566" si="258">COUNTIF(B$3:B$7503,"21")</f>
        <v>0</v>
      </c>
      <c r="BD7566">
        <f t="shared" si="258"/>
        <v>0</v>
      </c>
      <c r="BE7566">
        <f t="shared" si="258"/>
        <v>0</v>
      </c>
      <c r="BF7566">
        <f t="shared" si="258"/>
        <v>0</v>
      </c>
      <c r="BG7566">
        <f t="shared" si="258"/>
        <v>0</v>
      </c>
      <c r="BH7566">
        <f t="shared" si="258"/>
        <v>0</v>
      </c>
      <c r="BI7566">
        <f t="shared" si="258"/>
        <v>0</v>
      </c>
      <c r="BJ7566">
        <f t="shared" si="258"/>
        <v>0</v>
      </c>
      <c r="BK7566">
        <f t="shared" si="258"/>
        <v>3</v>
      </c>
      <c r="BL7566">
        <f t="shared" si="258"/>
        <v>7</v>
      </c>
      <c r="BM7566">
        <f t="shared" si="258"/>
        <v>0</v>
      </c>
      <c r="BN7566">
        <f t="shared" si="258"/>
        <v>0</v>
      </c>
      <c r="BO7566">
        <f t="shared" si="258"/>
        <v>0</v>
      </c>
      <c r="BP7566">
        <f t="shared" si="258"/>
        <v>0</v>
      </c>
      <c r="BQ7566">
        <f t="shared" si="258"/>
        <v>0</v>
      </c>
      <c r="BR7566">
        <f t="shared" si="258"/>
        <v>0</v>
      </c>
      <c r="BS7566">
        <f t="shared" si="258"/>
        <v>0</v>
      </c>
      <c r="BT7566">
        <f t="shared" si="258"/>
        <v>0</v>
      </c>
      <c r="BU7566">
        <f t="shared" si="258"/>
        <v>0</v>
      </c>
      <c r="BV7566">
        <f t="shared" si="258"/>
        <v>0</v>
      </c>
      <c r="BW7566">
        <f t="shared" si="258"/>
        <v>0</v>
      </c>
      <c r="BX7566">
        <f t="shared" si="258"/>
        <v>0</v>
      </c>
      <c r="BY7566">
        <f t="shared" si="258"/>
        <v>0</v>
      </c>
      <c r="BZ7566">
        <f t="shared" si="258"/>
        <v>0</v>
      </c>
      <c r="CA7566">
        <f t="shared" si="258"/>
        <v>0</v>
      </c>
      <c r="CB7566">
        <f t="shared" si="258"/>
        <v>0</v>
      </c>
      <c r="CC7566">
        <f t="shared" si="258"/>
        <v>0</v>
      </c>
      <c r="CD7566">
        <f t="shared" si="258"/>
        <v>0</v>
      </c>
      <c r="CE7566">
        <f t="shared" si="258"/>
        <v>0</v>
      </c>
      <c r="CF7566">
        <f t="shared" si="258"/>
        <v>0</v>
      </c>
      <c r="CG7566">
        <f t="shared" si="258"/>
        <v>0</v>
      </c>
      <c r="CH7566">
        <f t="shared" si="258"/>
        <v>0</v>
      </c>
      <c r="CI7566">
        <f t="shared" si="258"/>
        <v>0</v>
      </c>
      <c r="CJ7566">
        <f t="shared" si="258"/>
        <v>0</v>
      </c>
      <c r="CK7566">
        <f t="shared" si="258"/>
        <v>0</v>
      </c>
      <c r="CL7566">
        <f t="shared" si="258"/>
        <v>0</v>
      </c>
      <c r="CM7566">
        <f t="shared" si="258"/>
        <v>0</v>
      </c>
      <c r="CN7566">
        <f t="shared" si="258"/>
        <v>0</v>
      </c>
      <c r="CO7566">
        <f t="shared" si="258"/>
        <v>0</v>
      </c>
      <c r="CP7566">
        <f t="shared" si="258"/>
        <v>0</v>
      </c>
      <c r="CQ7566">
        <f t="shared" si="258"/>
        <v>0</v>
      </c>
      <c r="CR7566">
        <f t="shared" si="258"/>
        <v>0</v>
      </c>
      <c r="CS7566">
        <f t="shared" si="258"/>
        <v>0</v>
      </c>
      <c r="CT7566">
        <f t="shared" si="258"/>
        <v>0</v>
      </c>
      <c r="CU7566">
        <f t="shared" si="258"/>
        <v>0</v>
      </c>
      <c r="CV7566">
        <f t="shared" si="258"/>
        <v>0</v>
      </c>
      <c r="CW7566">
        <f t="shared" si="258"/>
        <v>0</v>
      </c>
      <c r="CX7566">
        <f t="shared" si="258"/>
        <v>2</v>
      </c>
    </row>
    <row r="7567" spans="1:102">
      <c r="A7567" s="2"/>
      <c r="AY7567">
        <v>22</v>
      </c>
      <c r="AZ7567" s="2"/>
      <c r="BC7567">
        <f t="shared" ref="BC7567:CX7567" si="259">COUNTIF(B$3:B$7503,"22")</f>
        <v>0</v>
      </c>
      <c r="BD7567">
        <f t="shared" si="259"/>
        <v>0</v>
      </c>
      <c r="BE7567">
        <f t="shared" si="259"/>
        <v>0</v>
      </c>
      <c r="BF7567">
        <f t="shared" si="259"/>
        <v>0</v>
      </c>
      <c r="BG7567">
        <f t="shared" si="259"/>
        <v>0</v>
      </c>
      <c r="BH7567">
        <f t="shared" si="259"/>
        <v>0</v>
      </c>
      <c r="BI7567">
        <f t="shared" si="259"/>
        <v>0</v>
      </c>
      <c r="BJ7567">
        <f t="shared" si="259"/>
        <v>0</v>
      </c>
      <c r="BK7567">
        <f t="shared" si="259"/>
        <v>43</v>
      </c>
      <c r="BL7567">
        <f t="shared" si="259"/>
        <v>41</v>
      </c>
      <c r="BM7567">
        <f t="shared" si="259"/>
        <v>0</v>
      </c>
      <c r="BN7567">
        <f t="shared" si="259"/>
        <v>0</v>
      </c>
      <c r="BO7567">
        <f t="shared" si="259"/>
        <v>0</v>
      </c>
      <c r="BP7567">
        <f t="shared" si="259"/>
        <v>0</v>
      </c>
      <c r="BQ7567">
        <f t="shared" si="259"/>
        <v>0</v>
      </c>
      <c r="BR7567">
        <f t="shared" si="259"/>
        <v>0</v>
      </c>
      <c r="BS7567">
        <f t="shared" si="259"/>
        <v>0</v>
      </c>
      <c r="BT7567">
        <f t="shared" si="259"/>
        <v>0</v>
      </c>
      <c r="BU7567">
        <f t="shared" si="259"/>
        <v>0</v>
      </c>
      <c r="BV7567">
        <f t="shared" si="259"/>
        <v>0</v>
      </c>
      <c r="BW7567">
        <f t="shared" si="259"/>
        <v>0</v>
      </c>
      <c r="BX7567">
        <f t="shared" si="259"/>
        <v>0</v>
      </c>
      <c r="BY7567">
        <f t="shared" si="259"/>
        <v>0</v>
      </c>
      <c r="BZ7567">
        <f t="shared" si="259"/>
        <v>0</v>
      </c>
      <c r="CA7567">
        <f t="shared" si="259"/>
        <v>0</v>
      </c>
      <c r="CB7567">
        <f t="shared" si="259"/>
        <v>0</v>
      </c>
      <c r="CC7567">
        <f t="shared" si="259"/>
        <v>0</v>
      </c>
      <c r="CD7567">
        <f t="shared" si="259"/>
        <v>0</v>
      </c>
      <c r="CE7567">
        <f t="shared" si="259"/>
        <v>0</v>
      </c>
      <c r="CF7567">
        <f t="shared" si="259"/>
        <v>0</v>
      </c>
      <c r="CG7567">
        <f t="shared" si="259"/>
        <v>0</v>
      </c>
      <c r="CH7567">
        <f t="shared" si="259"/>
        <v>0</v>
      </c>
      <c r="CI7567">
        <f t="shared" si="259"/>
        <v>0</v>
      </c>
      <c r="CJ7567">
        <f t="shared" si="259"/>
        <v>0</v>
      </c>
      <c r="CK7567">
        <f t="shared" si="259"/>
        <v>0</v>
      </c>
      <c r="CL7567">
        <f t="shared" si="259"/>
        <v>0</v>
      </c>
      <c r="CM7567">
        <f t="shared" si="259"/>
        <v>0</v>
      </c>
      <c r="CN7567">
        <f t="shared" si="259"/>
        <v>0</v>
      </c>
      <c r="CO7567">
        <f t="shared" si="259"/>
        <v>0</v>
      </c>
      <c r="CP7567">
        <f t="shared" si="259"/>
        <v>0</v>
      </c>
      <c r="CQ7567">
        <f t="shared" si="259"/>
        <v>0</v>
      </c>
      <c r="CR7567">
        <f t="shared" si="259"/>
        <v>0</v>
      </c>
      <c r="CS7567">
        <f t="shared" si="259"/>
        <v>0</v>
      </c>
      <c r="CT7567">
        <f t="shared" si="259"/>
        <v>0</v>
      </c>
      <c r="CU7567">
        <f t="shared" si="259"/>
        <v>0</v>
      </c>
      <c r="CV7567">
        <f t="shared" si="259"/>
        <v>0</v>
      </c>
      <c r="CW7567">
        <f t="shared" si="259"/>
        <v>0</v>
      </c>
      <c r="CX7567">
        <f t="shared" si="259"/>
        <v>1</v>
      </c>
    </row>
    <row r="7568" spans="1:102">
      <c r="A7568" s="2"/>
      <c r="AY7568">
        <v>23</v>
      </c>
      <c r="AZ7568" s="2"/>
      <c r="BC7568">
        <f t="shared" ref="BC7568:CX7568" si="260">COUNTIF(B$3:B$7503,"23")</f>
        <v>0</v>
      </c>
      <c r="BD7568">
        <f t="shared" si="260"/>
        <v>0</v>
      </c>
      <c r="BE7568">
        <f t="shared" si="260"/>
        <v>0</v>
      </c>
      <c r="BF7568">
        <f t="shared" si="260"/>
        <v>0</v>
      </c>
      <c r="BG7568">
        <f t="shared" si="260"/>
        <v>0</v>
      </c>
      <c r="BH7568">
        <f t="shared" si="260"/>
        <v>0</v>
      </c>
      <c r="BI7568">
        <f t="shared" si="260"/>
        <v>0</v>
      </c>
      <c r="BJ7568">
        <f t="shared" si="260"/>
        <v>0</v>
      </c>
      <c r="BK7568">
        <f t="shared" si="260"/>
        <v>7</v>
      </c>
      <c r="BL7568">
        <f t="shared" si="260"/>
        <v>0</v>
      </c>
      <c r="BM7568">
        <f t="shared" si="260"/>
        <v>0</v>
      </c>
      <c r="BN7568">
        <f t="shared" si="260"/>
        <v>0</v>
      </c>
      <c r="BO7568">
        <f t="shared" si="260"/>
        <v>0</v>
      </c>
      <c r="BP7568">
        <f t="shared" si="260"/>
        <v>0</v>
      </c>
      <c r="BQ7568">
        <f t="shared" si="260"/>
        <v>0</v>
      </c>
      <c r="BR7568">
        <f t="shared" si="260"/>
        <v>0</v>
      </c>
      <c r="BS7568">
        <f t="shared" si="260"/>
        <v>0</v>
      </c>
      <c r="BT7568">
        <f t="shared" si="260"/>
        <v>0</v>
      </c>
      <c r="BU7568">
        <f t="shared" si="260"/>
        <v>0</v>
      </c>
      <c r="BV7568">
        <f t="shared" si="260"/>
        <v>0</v>
      </c>
      <c r="BW7568">
        <f t="shared" si="260"/>
        <v>0</v>
      </c>
      <c r="BX7568">
        <f t="shared" si="260"/>
        <v>0</v>
      </c>
      <c r="BY7568">
        <f t="shared" si="260"/>
        <v>0</v>
      </c>
      <c r="BZ7568">
        <f t="shared" si="260"/>
        <v>0</v>
      </c>
      <c r="CA7568">
        <f t="shared" si="260"/>
        <v>0</v>
      </c>
      <c r="CB7568">
        <f t="shared" si="260"/>
        <v>0</v>
      </c>
      <c r="CC7568">
        <f t="shared" si="260"/>
        <v>0</v>
      </c>
      <c r="CD7568">
        <f t="shared" si="260"/>
        <v>0</v>
      </c>
      <c r="CE7568">
        <f t="shared" si="260"/>
        <v>0</v>
      </c>
      <c r="CF7568">
        <f t="shared" si="260"/>
        <v>0</v>
      </c>
      <c r="CG7568">
        <f t="shared" si="260"/>
        <v>0</v>
      </c>
      <c r="CH7568">
        <f t="shared" si="260"/>
        <v>0</v>
      </c>
      <c r="CI7568">
        <f t="shared" si="260"/>
        <v>0</v>
      </c>
      <c r="CJ7568">
        <f t="shared" si="260"/>
        <v>0</v>
      </c>
      <c r="CK7568">
        <f t="shared" si="260"/>
        <v>0</v>
      </c>
      <c r="CL7568">
        <f t="shared" si="260"/>
        <v>0</v>
      </c>
      <c r="CM7568">
        <f t="shared" si="260"/>
        <v>0</v>
      </c>
      <c r="CN7568">
        <f t="shared" si="260"/>
        <v>0</v>
      </c>
      <c r="CO7568">
        <f t="shared" si="260"/>
        <v>0</v>
      </c>
      <c r="CP7568">
        <f t="shared" si="260"/>
        <v>0</v>
      </c>
      <c r="CQ7568">
        <f t="shared" si="260"/>
        <v>0</v>
      </c>
      <c r="CR7568">
        <f t="shared" si="260"/>
        <v>0</v>
      </c>
      <c r="CS7568">
        <f t="shared" si="260"/>
        <v>0</v>
      </c>
      <c r="CT7568">
        <f t="shared" si="260"/>
        <v>0</v>
      </c>
      <c r="CU7568">
        <f t="shared" si="260"/>
        <v>0</v>
      </c>
      <c r="CV7568">
        <f t="shared" si="260"/>
        <v>0</v>
      </c>
      <c r="CW7568">
        <f t="shared" si="260"/>
        <v>0</v>
      </c>
      <c r="CX7568">
        <f t="shared" si="260"/>
        <v>1</v>
      </c>
    </row>
    <row r="7569" spans="1:102">
      <c r="A7569" s="2"/>
      <c r="AY7569">
        <v>24</v>
      </c>
      <c r="AZ7569" s="2"/>
      <c r="BC7569">
        <f t="shared" ref="BC7569:CX7569" si="261">COUNTIF(B$3:B$7503,"24")</f>
        <v>0</v>
      </c>
      <c r="BD7569">
        <f t="shared" si="261"/>
        <v>0</v>
      </c>
      <c r="BE7569">
        <f t="shared" si="261"/>
        <v>0</v>
      </c>
      <c r="BF7569">
        <f t="shared" si="261"/>
        <v>0</v>
      </c>
      <c r="BG7569">
        <f t="shared" si="261"/>
        <v>0</v>
      </c>
      <c r="BH7569">
        <f t="shared" si="261"/>
        <v>0</v>
      </c>
      <c r="BI7569">
        <f t="shared" si="261"/>
        <v>0</v>
      </c>
      <c r="BJ7569">
        <f t="shared" si="261"/>
        <v>0</v>
      </c>
      <c r="BK7569">
        <f t="shared" si="261"/>
        <v>8</v>
      </c>
      <c r="BL7569">
        <f t="shared" si="261"/>
        <v>0</v>
      </c>
      <c r="BM7569">
        <f t="shared" si="261"/>
        <v>0</v>
      </c>
      <c r="BN7569">
        <f t="shared" si="261"/>
        <v>0</v>
      </c>
      <c r="BO7569">
        <f t="shared" si="261"/>
        <v>0</v>
      </c>
      <c r="BP7569">
        <f t="shared" si="261"/>
        <v>0</v>
      </c>
      <c r="BQ7569">
        <f t="shared" si="261"/>
        <v>0</v>
      </c>
      <c r="BR7569">
        <f t="shared" si="261"/>
        <v>0</v>
      </c>
      <c r="BS7569">
        <f t="shared" si="261"/>
        <v>0</v>
      </c>
      <c r="BT7569">
        <f t="shared" si="261"/>
        <v>0</v>
      </c>
      <c r="BU7569">
        <f t="shared" si="261"/>
        <v>0</v>
      </c>
      <c r="BV7569">
        <f t="shared" si="261"/>
        <v>0</v>
      </c>
      <c r="BW7569">
        <f t="shared" si="261"/>
        <v>0</v>
      </c>
      <c r="BX7569">
        <f t="shared" si="261"/>
        <v>0</v>
      </c>
      <c r="BY7569">
        <f t="shared" si="261"/>
        <v>0</v>
      </c>
      <c r="BZ7569">
        <f t="shared" si="261"/>
        <v>0</v>
      </c>
      <c r="CA7569">
        <f t="shared" si="261"/>
        <v>0</v>
      </c>
      <c r="CB7569">
        <f t="shared" si="261"/>
        <v>0</v>
      </c>
      <c r="CC7569">
        <f t="shared" si="261"/>
        <v>0</v>
      </c>
      <c r="CD7569">
        <f t="shared" si="261"/>
        <v>0</v>
      </c>
      <c r="CE7569">
        <f t="shared" si="261"/>
        <v>0</v>
      </c>
      <c r="CF7569">
        <f t="shared" si="261"/>
        <v>0</v>
      </c>
      <c r="CG7569">
        <f t="shared" si="261"/>
        <v>0</v>
      </c>
      <c r="CH7569">
        <f t="shared" si="261"/>
        <v>0</v>
      </c>
      <c r="CI7569">
        <f t="shared" si="261"/>
        <v>0</v>
      </c>
      <c r="CJ7569">
        <f t="shared" si="261"/>
        <v>0</v>
      </c>
      <c r="CK7569">
        <f t="shared" si="261"/>
        <v>0</v>
      </c>
      <c r="CL7569">
        <f t="shared" si="261"/>
        <v>0</v>
      </c>
      <c r="CM7569">
        <f t="shared" si="261"/>
        <v>0</v>
      </c>
      <c r="CN7569">
        <f t="shared" si="261"/>
        <v>0</v>
      </c>
      <c r="CO7569">
        <f t="shared" si="261"/>
        <v>0</v>
      </c>
      <c r="CP7569">
        <f t="shared" si="261"/>
        <v>0</v>
      </c>
      <c r="CQ7569">
        <f t="shared" si="261"/>
        <v>0</v>
      </c>
      <c r="CR7569">
        <f t="shared" si="261"/>
        <v>0</v>
      </c>
      <c r="CS7569">
        <f t="shared" si="261"/>
        <v>0</v>
      </c>
      <c r="CT7569">
        <f t="shared" si="261"/>
        <v>0</v>
      </c>
      <c r="CU7569">
        <f t="shared" si="261"/>
        <v>0</v>
      </c>
      <c r="CV7569">
        <f t="shared" si="261"/>
        <v>0</v>
      </c>
      <c r="CW7569">
        <f t="shared" si="261"/>
        <v>0</v>
      </c>
      <c r="CX7569">
        <f t="shared" si="261"/>
        <v>1</v>
      </c>
    </row>
    <row r="7570" spans="1:102">
      <c r="A7570" s="2"/>
      <c r="AY7570">
        <v>25</v>
      </c>
      <c r="AZ7570" s="2"/>
      <c r="BC7570">
        <f t="shared" ref="BC7570:CX7570" si="262">COUNTIF(B$3:B$7503,"25")</f>
        <v>0</v>
      </c>
      <c r="BD7570">
        <f t="shared" si="262"/>
        <v>0</v>
      </c>
      <c r="BE7570">
        <f t="shared" si="262"/>
        <v>0</v>
      </c>
      <c r="BF7570">
        <f t="shared" si="262"/>
        <v>0</v>
      </c>
      <c r="BG7570">
        <f t="shared" si="262"/>
        <v>0</v>
      </c>
      <c r="BH7570">
        <f t="shared" si="262"/>
        <v>0</v>
      </c>
      <c r="BI7570">
        <f t="shared" si="262"/>
        <v>0</v>
      </c>
      <c r="BJ7570">
        <f t="shared" si="262"/>
        <v>0</v>
      </c>
      <c r="BK7570">
        <f t="shared" si="262"/>
        <v>21</v>
      </c>
      <c r="BL7570">
        <f t="shared" si="262"/>
        <v>0</v>
      </c>
      <c r="BM7570">
        <f t="shared" si="262"/>
        <v>0</v>
      </c>
      <c r="BN7570">
        <f t="shared" si="262"/>
        <v>0</v>
      </c>
      <c r="BO7570">
        <f t="shared" si="262"/>
        <v>0</v>
      </c>
      <c r="BP7570">
        <f t="shared" si="262"/>
        <v>0</v>
      </c>
      <c r="BQ7570">
        <f t="shared" si="262"/>
        <v>0</v>
      </c>
      <c r="BR7570">
        <f t="shared" si="262"/>
        <v>0</v>
      </c>
      <c r="BS7570">
        <f t="shared" si="262"/>
        <v>0</v>
      </c>
      <c r="BT7570">
        <f t="shared" si="262"/>
        <v>0</v>
      </c>
      <c r="BU7570">
        <f t="shared" si="262"/>
        <v>0</v>
      </c>
      <c r="BV7570">
        <f t="shared" si="262"/>
        <v>0</v>
      </c>
      <c r="BW7570">
        <f t="shared" si="262"/>
        <v>0</v>
      </c>
      <c r="BX7570">
        <f t="shared" si="262"/>
        <v>0</v>
      </c>
      <c r="BY7570">
        <f t="shared" si="262"/>
        <v>0</v>
      </c>
      <c r="BZ7570">
        <f t="shared" si="262"/>
        <v>0</v>
      </c>
      <c r="CA7570">
        <f t="shared" si="262"/>
        <v>0</v>
      </c>
      <c r="CB7570">
        <f t="shared" si="262"/>
        <v>0</v>
      </c>
      <c r="CC7570">
        <f t="shared" si="262"/>
        <v>0</v>
      </c>
      <c r="CD7570">
        <f t="shared" si="262"/>
        <v>0</v>
      </c>
      <c r="CE7570">
        <f t="shared" si="262"/>
        <v>0</v>
      </c>
      <c r="CF7570">
        <f t="shared" si="262"/>
        <v>0</v>
      </c>
      <c r="CG7570">
        <f t="shared" si="262"/>
        <v>0</v>
      </c>
      <c r="CH7570">
        <f t="shared" si="262"/>
        <v>0</v>
      </c>
      <c r="CI7570">
        <f t="shared" si="262"/>
        <v>0</v>
      </c>
      <c r="CJ7570">
        <f t="shared" si="262"/>
        <v>0</v>
      </c>
      <c r="CK7570">
        <f t="shared" si="262"/>
        <v>0</v>
      </c>
      <c r="CL7570">
        <f t="shared" si="262"/>
        <v>0</v>
      </c>
      <c r="CM7570">
        <f t="shared" si="262"/>
        <v>0</v>
      </c>
      <c r="CN7570">
        <f t="shared" si="262"/>
        <v>0</v>
      </c>
      <c r="CO7570">
        <f t="shared" si="262"/>
        <v>0</v>
      </c>
      <c r="CP7570">
        <f t="shared" si="262"/>
        <v>0</v>
      </c>
      <c r="CQ7570">
        <f t="shared" si="262"/>
        <v>0</v>
      </c>
      <c r="CR7570">
        <f t="shared" si="262"/>
        <v>0</v>
      </c>
      <c r="CS7570">
        <f t="shared" si="262"/>
        <v>0</v>
      </c>
      <c r="CT7570">
        <f t="shared" si="262"/>
        <v>0</v>
      </c>
      <c r="CU7570">
        <f t="shared" si="262"/>
        <v>0</v>
      </c>
      <c r="CV7570">
        <f t="shared" si="262"/>
        <v>0</v>
      </c>
      <c r="CW7570">
        <f t="shared" si="262"/>
        <v>0</v>
      </c>
      <c r="CX7570">
        <f t="shared" si="262"/>
        <v>3</v>
      </c>
    </row>
    <row r="7571" spans="1:102">
      <c r="A7571" s="2"/>
      <c r="AY7571">
        <v>26</v>
      </c>
      <c r="AZ7571" s="2"/>
      <c r="BC7571">
        <f t="shared" ref="BC7571:CX7571" si="263">COUNTIF(B$3:B$7503,"26")</f>
        <v>0</v>
      </c>
      <c r="BD7571">
        <f t="shared" si="263"/>
        <v>0</v>
      </c>
      <c r="BE7571">
        <f t="shared" si="263"/>
        <v>0</v>
      </c>
      <c r="BF7571">
        <f t="shared" si="263"/>
        <v>0</v>
      </c>
      <c r="BG7571">
        <f t="shared" si="263"/>
        <v>0</v>
      </c>
      <c r="BH7571">
        <f t="shared" si="263"/>
        <v>0</v>
      </c>
      <c r="BI7571">
        <f t="shared" si="263"/>
        <v>0</v>
      </c>
      <c r="BJ7571">
        <f t="shared" si="263"/>
        <v>0</v>
      </c>
      <c r="BK7571">
        <f t="shared" si="263"/>
        <v>54</v>
      </c>
      <c r="BL7571">
        <f t="shared" si="263"/>
        <v>0</v>
      </c>
      <c r="BM7571">
        <f t="shared" si="263"/>
        <v>0</v>
      </c>
      <c r="BN7571">
        <f t="shared" si="263"/>
        <v>0</v>
      </c>
      <c r="BO7571">
        <f t="shared" si="263"/>
        <v>0</v>
      </c>
      <c r="BP7571">
        <f t="shared" si="263"/>
        <v>0</v>
      </c>
      <c r="BQ7571">
        <f t="shared" si="263"/>
        <v>0</v>
      </c>
      <c r="BR7571">
        <f t="shared" si="263"/>
        <v>0</v>
      </c>
      <c r="BS7571">
        <f t="shared" si="263"/>
        <v>0</v>
      </c>
      <c r="BT7571">
        <f t="shared" si="263"/>
        <v>0</v>
      </c>
      <c r="BU7571">
        <f t="shared" si="263"/>
        <v>0</v>
      </c>
      <c r="BV7571">
        <f t="shared" si="263"/>
        <v>0</v>
      </c>
      <c r="BW7571">
        <f t="shared" si="263"/>
        <v>0</v>
      </c>
      <c r="BX7571">
        <f t="shared" si="263"/>
        <v>0</v>
      </c>
      <c r="BY7571">
        <f t="shared" si="263"/>
        <v>0</v>
      </c>
      <c r="BZ7571">
        <f t="shared" si="263"/>
        <v>0</v>
      </c>
      <c r="CA7571">
        <f t="shared" si="263"/>
        <v>0</v>
      </c>
      <c r="CB7571">
        <f t="shared" si="263"/>
        <v>0</v>
      </c>
      <c r="CC7571">
        <f t="shared" si="263"/>
        <v>0</v>
      </c>
      <c r="CD7571">
        <f t="shared" si="263"/>
        <v>0</v>
      </c>
      <c r="CE7571">
        <f t="shared" si="263"/>
        <v>0</v>
      </c>
      <c r="CF7571">
        <f t="shared" si="263"/>
        <v>0</v>
      </c>
      <c r="CG7571">
        <f t="shared" si="263"/>
        <v>0</v>
      </c>
      <c r="CH7571">
        <f t="shared" si="263"/>
        <v>0</v>
      </c>
      <c r="CI7571">
        <f t="shared" si="263"/>
        <v>0</v>
      </c>
      <c r="CJ7571">
        <f t="shared" si="263"/>
        <v>0</v>
      </c>
      <c r="CK7571">
        <f t="shared" si="263"/>
        <v>0</v>
      </c>
      <c r="CL7571">
        <f t="shared" si="263"/>
        <v>0</v>
      </c>
      <c r="CM7571">
        <f t="shared" si="263"/>
        <v>0</v>
      </c>
      <c r="CN7571">
        <f t="shared" si="263"/>
        <v>0</v>
      </c>
      <c r="CO7571">
        <f t="shared" si="263"/>
        <v>0</v>
      </c>
      <c r="CP7571">
        <f t="shared" si="263"/>
        <v>0</v>
      </c>
      <c r="CQ7571">
        <f t="shared" si="263"/>
        <v>0</v>
      </c>
      <c r="CR7571">
        <f t="shared" si="263"/>
        <v>0</v>
      </c>
      <c r="CS7571">
        <f t="shared" si="263"/>
        <v>0</v>
      </c>
      <c r="CT7571">
        <f t="shared" si="263"/>
        <v>0</v>
      </c>
      <c r="CU7571">
        <f t="shared" si="263"/>
        <v>0</v>
      </c>
      <c r="CV7571">
        <f t="shared" si="263"/>
        <v>0</v>
      </c>
      <c r="CW7571">
        <f t="shared" si="263"/>
        <v>0</v>
      </c>
      <c r="CX7571">
        <f t="shared" si="263"/>
        <v>1</v>
      </c>
    </row>
    <row r="7572" spans="1:102">
      <c r="A7572" s="2"/>
      <c r="AY7572">
        <v>27</v>
      </c>
      <c r="AZ7572" s="2"/>
      <c r="BC7572">
        <f t="shared" ref="BC7572:CX7572" si="264">COUNTIF(B$3:B$7503,"27")</f>
        <v>0</v>
      </c>
      <c r="BD7572">
        <f t="shared" si="264"/>
        <v>0</v>
      </c>
      <c r="BE7572">
        <f t="shared" si="264"/>
        <v>0</v>
      </c>
      <c r="BF7572">
        <f t="shared" si="264"/>
        <v>0</v>
      </c>
      <c r="BG7572">
        <f t="shared" si="264"/>
        <v>0</v>
      </c>
      <c r="BH7572">
        <f t="shared" si="264"/>
        <v>0</v>
      </c>
      <c r="BI7572">
        <f t="shared" si="264"/>
        <v>0</v>
      </c>
      <c r="BJ7572">
        <f t="shared" si="264"/>
        <v>0</v>
      </c>
      <c r="BK7572">
        <f t="shared" si="264"/>
        <v>27</v>
      </c>
      <c r="BL7572">
        <f t="shared" si="264"/>
        <v>0</v>
      </c>
      <c r="BM7572">
        <f t="shared" si="264"/>
        <v>0</v>
      </c>
      <c r="BN7572">
        <f t="shared" si="264"/>
        <v>0</v>
      </c>
      <c r="BO7572">
        <f t="shared" si="264"/>
        <v>0</v>
      </c>
      <c r="BP7572">
        <f t="shared" si="264"/>
        <v>0</v>
      </c>
      <c r="BQ7572">
        <f t="shared" si="264"/>
        <v>0</v>
      </c>
      <c r="BR7572">
        <f t="shared" si="264"/>
        <v>0</v>
      </c>
      <c r="BS7572">
        <f t="shared" si="264"/>
        <v>0</v>
      </c>
      <c r="BT7572">
        <f t="shared" si="264"/>
        <v>0</v>
      </c>
      <c r="BU7572">
        <f t="shared" si="264"/>
        <v>0</v>
      </c>
      <c r="BV7572">
        <f t="shared" si="264"/>
        <v>0</v>
      </c>
      <c r="BW7572">
        <f t="shared" si="264"/>
        <v>0</v>
      </c>
      <c r="BX7572">
        <f t="shared" si="264"/>
        <v>0</v>
      </c>
      <c r="BY7572">
        <f t="shared" si="264"/>
        <v>0</v>
      </c>
      <c r="BZ7572">
        <f t="shared" si="264"/>
        <v>0</v>
      </c>
      <c r="CA7572">
        <f t="shared" si="264"/>
        <v>0</v>
      </c>
      <c r="CB7572">
        <f t="shared" si="264"/>
        <v>0</v>
      </c>
      <c r="CC7572">
        <f t="shared" si="264"/>
        <v>0</v>
      </c>
      <c r="CD7572">
        <f t="shared" si="264"/>
        <v>0</v>
      </c>
      <c r="CE7572">
        <f t="shared" si="264"/>
        <v>0</v>
      </c>
      <c r="CF7572">
        <f t="shared" si="264"/>
        <v>0</v>
      </c>
      <c r="CG7572">
        <f t="shared" si="264"/>
        <v>0</v>
      </c>
      <c r="CH7572">
        <f t="shared" si="264"/>
        <v>0</v>
      </c>
      <c r="CI7572">
        <f t="shared" si="264"/>
        <v>0</v>
      </c>
      <c r="CJ7572">
        <f t="shared" si="264"/>
        <v>0</v>
      </c>
      <c r="CK7572">
        <f t="shared" si="264"/>
        <v>0</v>
      </c>
      <c r="CL7572">
        <f t="shared" si="264"/>
        <v>0</v>
      </c>
      <c r="CM7572">
        <f t="shared" si="264"/>
        <v>0</v>
      </c>
      <c r="CN7572">
        <f t="shared" si="264"/>
        <v>0</v>
      </c>
      <c r="CO7572">
        <f t="shared" si="264"/>
        <v>0</v>
      </c>
      <c r="CP7572">
        <f t="shared" si="264"/>
        <v>0</v>
      </c>
      <c r="CQ7572">
        <f t="shared" si="264"/>
        <v>0</v>
      </c>
      <c r="CR7572">
        <f t="shared" si="264"/>
        <v>0</v>
      </c>
      <c r="CS7572">
        <f t="shared" si="264"/>
        <v>0</v>
      </c>
      <c r="CT7572">
        <f t="shared" si="264"/>
        <v>0</v>
      </c>
      <c r="CU7572">
        <f t="shared" si="264"/>
        <v>0</v>
      </c>
      <c r="CV7572">
        <f t="shared" si="264"/>
        <v>0</v>
      </c>
      <c r="CW7572">
        <f t="shared" si="264"/>
        <v>0</v>
      </c>
      <c r="CX7572">
        <f t="shared" si="264"/>
        <v>7</v>
      </c>
    </row>
    <row r="7573" spans="1:102">
      <c r="A7573" s="2"/>
      <c r="AY7573">
        <v>28</v>
      </c>
      <c r="AZ7573" s="2"/>
      <c r="BC7573">
        <f t="shared" ref="BC7573:CX7573" si="265">COUNTIF(B$3:B$7503,"28")</f>
        <v>0</v>
      </c>
      <c r="BD7573">
        <f t="shared" si="265"/>
        <v>0</v>
      </c>
      <c r="BE7573">
        <f t="shared" si="265"/>
        <v>0</v>
      </c>
      <c r="BF7573">
        <f t="shared" si="265"/>
        <v>0</v>
      </c>
      <c r="BG7573">
        <f t="shared" si="265"/>
        <v>0</v>
      </c>
      <c r="BH7573">
        <f t="shared" si="265"/>
        <v>0</v>
      </c>
      <c r="BI7573">
        <f t="shared" si="265"/>
        <v>0</v>
      </c>
      <c r="BJ7573">
        <f t="shared" si="265"/>
        <v>0</v>
      </c>
      <c r="BK7573">
        <f t="shared" si="265"/>
        <v>16</v>
      </c>
      <c r="BL7573">
        <f t="shared" si="265"/>
        <v>0</v>
      </c>
      <c r="BM7573">
        <f t="shared" si="265"/>
        <v>0</v>
      </c>
      <c r="BN7573">
        <f t="shared" si="265"/>
        <v>0</v>
      </c>
      <c r="BO7573">
        <f t="shared" si="265"/>
        <v>0</v>
      </c>
      <c r="BP7573">
        <f t="shared" si="265"/>
        <v>0</v>
      </c>
      <c r="BQ7573">
        <f t="shared" si="265"/>
        <v>0</v>
      </c>
      <c r="BR7573">
        <f t="shared" si="265"/>
        <v>0</v>
      </c>
      <c r="BS7573">
        <f t="shared" si="265"/>
        <v>0</v>
      </c>
      <c r="BT7573">
        <f t="shared" si="265"/>
        <v>0</v>
      </c>
      <c r="BU7573">
        <f t="shared" si="265"/>
        <v>0</v>
      </c>
      <c r="BV7573">
        <f t="shared" si="265"/>
        <v>0</v>
      </c>
      <c r="BW7573">
        <f t="shared" si="265"/>
        <v>0</v>
      </c>
      <c r="BX7573">
        <f t="shared" si="265"/>
        <v>0</v>
      </c>
      <c r="BY7573">
        <f t="shared" si="265"/>
        <v>0</v>
      </c>
      <c r="BZ7573">
        <f t="shared" si="265"/>
        <v>0</v>
      </c>
      <c r="CA7573">
        <f t="shared" si="265"/>
        <v>0</v>
      </c>
      <c r="CB7573">
        <f t="shared" si="265"/>
        <v>0</v>
      </c>
      <c r="CC7573">
        <f t="shared" si="265"/>
        <v>0</v>
      </c>
      <c r="CD7573">
        <f t="shared" si="265"/>
        <v>0</v>
      </c>
      <c r="CE7573">
        <f t="shared" si="265"/>
        <v>0</v>
      </c>
      <c r="CF7573">
        <f t="shared" si="265"/>
        <v>0</v>
      </c>
      <c r="CG7573">
        <f t="shared" si="265"/>
        <v>0</v>
      </c>
      <c r="CH7573">
        <f t="shared" si="265"/>
        <v>0</v>
      </c>
      <c r="CI7573">
        <f t="shared" si="265"/>
        <v>0</v>
      </c>
      <c r="CJ7573">
        <f t="shared" si="265"/>
        <v>0</v>
      </c>
      <c r="CK7573">
        <f t="shared" si="265"/>
        <v>0</v>
      </c>
      <c r="CL7573">
        <f t="shared" si="265"/>
        <v>0</v>
      </c>
      <c r="CM7573">
        <f t="shared" si="265"/>
        <v>0</v>
      </c>
      <c r="CN7573">
        <f t="shared" si="265"/>
        <v>0</v>
      </c>
      <c r="CO7573">
        <f t="shared" si="265"/>
        <v>0</v>
      </c>
      <c r="CP7573">
        <f t="shared" si="265"/>
        <v>0</v>
      </c>
      <c r="CQ7573">
        <f t="shared" si="265"/>
        <v>0</v>
      </c>
      <c r="CR7573">
        <f t="shared" si="265"/>
        <v>0</v>
      </c>
      <c r="CS7573">
        <f t="shared" si="265"/>
        <v>0</v>
      </c>
      <c r="CT7573">
        <f t="shared" si="265"/>
        <v>0</v>
      </c>
      <c r="CU7573">
        <f t="shared" si="265"/>
        <v>0</v>
      </c>
      <c r="CV7573">
        <f t="shared" si="265"/>
        <v>0</v>
      </c>
      <c r="CW7573">
        <f t="shared" si="265"/>
        <v>0</v>
      </c>
      <c r="CX7573">
        <f t="shared" si="265"/>
        <v>4</v>
      </c>
    </row>
    <row r="7574" spans="1:102">
      <c r="A7574" s="2"/>
      <c r="AY7574">
        <v>29</v>
      </c>
      <c r="AZ7574" s="2"/>
      <c r="BC7574">
        <f t="shared" ref="BC7574:CX7574" si="266">COUNTIF(B$3:B$7503,"29")</f>
        <v>0</v>
      </c>
      <c r="BD7574">
        <f t="shared" si="266"/>
        <v>0</v>
      </c>
      <c r="BE7574">
        <f t="shared" si="266"/>
        <v>0</v>
      </c>
      <c r="BF7574">
        <f t="shared" si="266"/>
        <v>0</v>
      </c>
      <c r="BG7574">
        <f t="shared" si="266"/>
        <v>0</v>
      </c>
      <c r="BH7574">
        <f t="shared" si="266"/>
        <v>0</v>
      </c>
      <c r="BI7574">
        <f t="shared" si="266"/>
        <v>0</v>
      </c>
      <c r="BJ7574">
        <f t="shared" si="266"/>
        <v>0</v>
      </c>
      <c r="BK7574">
        <f t="shared" si="266"/>
        <v>6</v>
      </c>
      <c r="BL7574">
        <f t="shared" si="266"/>
        <v>0</v>
      </c>
      <c r="BM7574">
        <f t="shared" si="266"/>
        <v>0</v>
      </c>
      <c r="BN7574">
        <f t="shared" si="266"/>
        <v>0</v>
      </c>
      <c r="BO7574">
        <f t="shared" si="266"/>
        <v>0</v>
      </c>
      <c r="BP7574">
        <f t="shared" si="266"/>
        <v>0</v>
      </c>
      <c r="BQ7574">
        <f t="shared" si="266"/>
        <v>0</v>
      </c>
      <c r="BR7574">
        <f t="shared" si="266"/>
        <v>0</v>
      </c>
      <c r="BS7574">
        <f t="shared" si="266"/>
        <v>0</v>
      </c>
      <c r="BT7574">
        <f t="shared" si="266"/>
        <v>0</v>
      </c>
      <c r="BU7574">
        <f t="shared" si="266"/>
        <v>0</v>
      </c>
      <c r="BV7574">
        <f t="shared" si="266"/>
        <v>0</v>
      </c>
      <c r="BW7574">
        <f t="shared" si="266"/>
        <v>0</v>
      </c>
      <c r="BX7574">
        <f t="shared" si="266"/>
        <v>0</v>
      </c>
      <c r="BY7574">
        <f t="shared" si="266"/>
        <v>0</v>
      </c>
      <c r="BZ7574">
        <f t="shared" si="266"/>
        <v>0</v>
      </c>
      <c r="CA7574">
        <f t="shared" si="266"/>
        <v>0</v>
      </c>
      <c r="CB7574">
        <f t="shared" si="266"/>
        <v>0</v>
      </c>
      <c r="CC7574">
        <f t="shared" si="266"/>
        <v>0</v>
      </c>
      <c r="CD7574">
        <f t="shared" si="266"/>
        <v>0</v>
      </c>
      <c r="CE7574">
        <f t="shared" si="266"/>
        <v>0</v>
      </c>
      <c r="CF7574">
        <f t="shared" si="266"/>
        <v>0</v>
      </c>
      <c r="CG7574">
        <f t="shared" si="266"/>
        <v>0</v>
      </c>
      <c r="CH7574">
        <f t="shared" si="266"/>
        <v>0</v>
      </c>
      <c r="CI7574">
        <f t="shared" si="266"/>
        <v>0</v>
      </c>
      <c r="CJ7574">
        <f t="shared" si="266"/>
        <v>0</v>
      </c>
      <c r="CK7574">
        <f t="shared" si="266"/>
        <v>0</v>
      </c>
      <c r="CL7574">
        <f t="shared" si="266"/>
        <v>0</v>
      </c>
      <c r="CM7574">
        <f t="shared" si="266"/>
        <v>0</v>
      </c>
      <c r="CN7574">
        <f t="shared" si="266"/>
        <v>0</v>
      </c>
      <c r="CO7574">
        <f t="shared" si="266"/>
        <v>0</v>
      </c>
      <c r="CP7574">
        <f t="shared" si="266"/>
        <v>0</v>
      </c>
      <c r="CQ7574">
        <f t="shared" si="266"/>
        <v>0</v>
      </c>
      <c r="CR7574">
        <f t="shared" si="266"/>
        <v>0</v>
      </c>
      <c r="CS7574">
        <f t="shared" si="266"/>
        <v>0</v>
      </c>
      <c r="CT7574">
        <f t="shared" si="266"/>
        <v>0</v>
      </c>
      <c r="CU7574">
        <f t="shared" si="266"/>
        <v>0</v>
      </c>
      <c r="CV7574">
        <f t="shared" si="266"/>
        <v>0</v>
      </c>
      <c r="CW7574">
        <f t="shared" si="266"/>
        <v>0</v>
      </c>
      <c r="CX7574">
        <f t="shared" si="266"/>
        <v>0</v>
      </c>
    </row>
    <row r="7575" spans="1:102">
      <c r="A7575" s="2"/>
      <c r="AY7575">
        <v>30</v>
      </c>
      <c r="AZ7575" s="2"/>
      <c r="BC7575">
        <f t="shared" ref="BC7575:CX7575" si="267">COUNTIF(B$3:B$7503,"30")</f>
        <v>0</v>
      </c>
      <c r="BD7575">
        <f t="shared" si="267"/>
        <v>0</v>
      </c>
      <c r="BE7575">
        <f t="shared" si="267"/>
        <v>0</v>
      </c>
      <c r="BF7575">
        <f t="shared" si="267"/>
        <v>0</v>
      </c>
      <c r="BG7575">
        <f t="shared" si="267"/>
        <v>0</v>
      </c>
      <c r="BH7575">
        <f t="shared" si="267"/>
        <v>0</v>
      </c>
      <c r="BI7575">
        <f t="shared" si="267"/>
        <v>0</v>
      </c>
      <c r="BJ7575">
        <f t="shared" si="267"/>
        <v>0</v>
      </c>
      <c r="BK7575">
        <f t="shared" si="267"/>
        <v>26</v>
      </c>
      <c r="BL7575">
        <f t="shared" si="267"/>
        <v>0</v>
      </c>
      <c r="BM7575">
        <f t="shared" si="267"/>
        <v>0</v>
      </c>
      <c r="BN7575">
        <f t="shared" si="267"/>
        <v>0</v>
      </c>
      <c r="BO7575">
        <f t="shared" si="267"/>
        <v>0</v>
      </c>
      <c r="BP7575">
        <f t="shared" si="267"/>
        <v>0</v>
      </c>
      <c r="BQ7575">
        <f t="shared" si="267"/>
        <v>0</v>
      </c>
      <c r="BR7575">
        <f t="shared" si="267"/>
        <v>0</v>
      </c>
      <c r="BS7575">
        <f t="shared" si="267"/>
        <v>0</v>
      </c>
      <c r="BT7575">
        <f t="shared" si="267"/>
        <v>0</v>
      </c>
      <c r="BU7575">
        <f t="shared" si="267"/>
        <v>0</v>
      </c>
      <c r="BV7575">
        <f t="shared" si="267"/>
        <v>0</v>
      </c>
      <c r="BW7575">
        <f t="shared" si="267"/>
        <v>0</v>
      </c>
      <c r="BX7575">
        <f t="shared" si="267"/>
        <v>0</v>
      </c>
      <c r="BY7575">
        <f t="shared" si="267"/>
        <v>0</v>
      </c>
      <c r="BZ7575">
        <f t="shared" si="267"/>
        <v>0</v>
      </c>
      <c r="CA7575">
        <f t="shared" si="267"/>
        <v>0</v>
      </c>
      <c r="CB7575">
        <f t="shared" si="267"/>
        <v>0</v>
      </c>
      <c r="CC7575">
        <f t="shared" si="267"/>
        <v>0</v>
      </c>
      <c r="CD7575">
        <f t="shared" si="267"/>
        <v>0</v>
      </c>
      <c r="CE7575">
        <f t="shared" si="267"/>
        <v>0</v>
      </c>
      <c r="CF7575">
        <f t="shared" si="267"/>
        <v>0</v>
      </c>
      <c r="CG7575">
        <f t="shared" si="267"/>
        <v>0</v>
      </c>
      <c r="CH7575">
        <f t="shared" si="267"/>
        <v>0</v>
      </c>
      <c r="CI7575">
        <f t="shared" si="267"/>
        <v>0</v>
      </c>
      <c r="CJ7575">
        <f t="shared" si="267"/>
        <v>0</v>
      </c>
      <c r="CK7575">
        <f t="shared" si="267"/>
        <v>0</v>
      </c>
      <c r="CL7575">
        <f t="shared" si="267"/>
        <v>0</v>
      </c>
      <c r="CM7575">
        <f t="shared" si="267"/>
        <v>0</v>
      </c>
      <c r="CN7575">
        <f t="shared" si="267"/>
        <v>0</v>
      </c>
      <c r="CO7575">
        <f t="shared" si="267"/>
        <v>0</v>
      </c>
      <c r="CP7575">
        <f t="shared" si="267"/>
        <v>0</v>
      </c>
      <c r="CQ7575">
        <f t="shared" si="267"/>
        <v>0</v>
      </c>
      <c r="CR7575">
        <f t="shared" si="267"/>
        <v>0</v>
      </c>
      <c r="CS7575">
        <f t="shared" si="267"/>
        <v>0</v>
      </c>
      <c r="CT7575">
        <f t="shared" si="267"/>
        <v>0</v>
      </c>
      <c r="CU7575">
        <f t="shared" si="267"/>
        <v>0</v>
      </c>
      <c r="CV7575">
        <f t="shared" si="267"/>
        <v>0</v>
      </c>
      <c r="CW7575">
        <f t="shared" si="267"/>
        <v>0</v>
      </c>
      <c r="CX7575">
        <f t="shared" si="267"/>
        <v>0</v>
      </c>
    </row>
    <row r="7576" spans="1:102">
      <c r="A7576" s="2"/>
      <c r="AY7576">
        <v>31</v>
      </c>
      <c r="AZ7576" s="2"/>
      <c r="BC7576">
        <f t="shared" ref="BC7576:CX7576" si="268">COUNTIF(B$3:B$7503,"31")</f>
        <v>0</v>
      </c>
      <c r="BD7576">
        <f t="shared" si="268"/>
        <v>0</v>
      </c>
      <c r="BE7576">
        <f t="shared" si="268"/>
        <v>0</v>
      </c>
      <c r="BF7576">
        <f t="shared" si="268"/>
        <v>0</v>
      </c>
      <c r="BG7576">
        <f t="shared" si="268"/>
        <v>0</v>
      </c>
      <c r="BH7576">
        <f t="shared" si="268"/>
        <v>0</v>
      </c>
      <c r="BI7576">
        <f t="shared" si="268"/>
        <v>0</v>
      </c>
      <c r="BJ7576">
        <f t="shared" si="268"/>
        <v>0</v>
      </c>
      <c r="BK7576">
        <f t="shared" si="268"/>
        <v>13</v>
      </c>
      <c r="BL7576">
        <f t="shared" si="268"/>
        <v>0</v>
      </c>
      <c r="BM7576">
        <f t="shared" si="268"/>
        <v>0</v>
      </c>
      <c r="BN7576">
        <f t="shared" si="268"/>
        <v>0</v>
      </c>
      <c r="BO7576">
        <f t="shared" si="268"/>
        <v>0</v>
      </c>
      <c r="BP7576">
        <f t="shared" si="268"/>
        <v>0</v>
      </c>
      <c r="BQ7576">
        <f t="shared" si="268"/>
        <v>0</v>
      </c>
      <c r="BR7576">
        <f t="shared" si="268"/>
        <v>0</v>
      </c>
      <c r="BS7576">
        <f t="shared" si="268"/>
        <v>0</v>
      </c>
      <c r="BT7576">
        <f t="shared" si="268"/>
        <v>0</v>
      </c>
      <c r="BU7576">
        <f t="shared" si="268"/>
        <v>0</v>
      </c>
      <c r="BV7576">
        <f t="shared" si="268"/>
        <v>0</v>
      </c>
      <c r="BW7576">
        <f t="shared" si="268"/>
        <v>0</v>
      </c>
      <c r="BX7576">
        <f t="shared" si="268"/>
        <v>0</v>
      </c>
      <c r="BY7576">
        <f t="shared" si="268"/>
        <v>0</v>
      </c>
      <c r="BZ7576">
        <f t="shared" si="268"/>
        <v>0</v>
      </c>
      <c r="CA7576">
        <f t="shared" si="268"/>
        <v>0</v>
      </c>
      <c r="CB7576">
        <f t="shared" si="268"/>
        <v>0</v>
      </c>
      <c r="CC7576">
        <f t="shared" si="268"/>
        <v>0</v>
      </c>
      <c r="CD7576">
        <f t="shared" si="268"/>
        <v>0</v>
      </c>
      <c r="CE7576">
        <f t="shared" si="268"/>
        <v>0</v>
      </c>
      <c r="CF7576">
        <f t="shared" si="268"/>
        <v>0</v>
      </c>
      <c r="CG7576">
        <f t="shared" si="268"/>
        <v>0</v>
      </c>
      <c r="CH7576">
        <f t="shared" si="268"/>
        <v>0</v>
      </c>
      <c r="CI7576">
        <f t="shared" si="268"/>
        <v>0</v>
      </c>
      <c r="CJ7576">
        <f t="shared" si="268"/>
        <v>0</v>
      </c>
      <c r="CK7576">
        <f t="shared" si="268"/>
        <v>0</v>
      </c>
      <c r="CL7576">
        <f t="shared" si="268"/>
        <v>0</v>
      </c>
      <c r="CM7576">
        <f t="shared" si="268"/>
        <v>0</v>
      </c>
      <c r="CN7576">
        <f t="shared" si="268"/>
        <v>0</v>
      </c>
      <c r="CO7576">
        <f t="shared" si="268"/>
        <v>0</v>
      </c>
      <c r="CP7576">
        <f t="shared" si="268"/>
        <v>0</v>
      </c>
      <c r="CQ7576">
        <f t="shared" si="268"/>
        <v>0</v>
      </c>
      <c r="CR7576">
        <f t="shared" si="268"/>
        <v>0</v>
      </c>
      <c r="CS7576">
        <f t="shared" si="268"/>
        <v>0</v>
      </c>
      <c r="CT7576">
        <f t="shared" si="268"/>
        <v>0</v>
      </c>
      <c r="CU7576">
        <f t="shared" si="268"/>
        <v>0</v>
      </c>
      <c r="CV7576">
        <f t="shared" si="268"/>
        <v>0</v>
      </c>
      <c r="CW7576">
        <f t="shared" si="268"/>
        <v>0</v>
      </c>
      <c r="CX7576">
        <f t="shared" si="268"/>
        <v>0</v>
      </c>
    </row>
    <row r="7577" spans="1:102">
      <c r="A7577" s="2"/>
      <c r="AY7577">
        <v>32</v>
      </c>
      <c r="AZ7577" s="2"/>
      <c r="BC7577">
        <f t="shared" ref="BC7577:CX7577" si="269">COUNTIF(B$3:B$7503,"32")</f>
        <v>0</v>
      </c>
      <c r="BD7577">
        <f t="shared" si="269"/>
        <v>0</v>
      </c>
      <c r="BE7577">
        <f t="shared" si="269"/>
        <v>0</v>
      </c>
      <c r="BF7577">
        <f t="shared" si="269"/>
        <v>0</v>
      </c>
      <c r="BG7577">
        <f t="shared" si="269"/>
        <v>0</v>
      </c>
      <c r="BH7577">
        <f t="shared" si="269"/>
        <v>0</v>
      </c>
      <c r="BI7577">
        <f t="shared" si="269"/>
        <v>0</v>
      </c>
      <c r="BJ7577">
        <f t="shared" si="269"/>
        <v>0</v>
      </c>
      <c r="BK7577">
        <f t="shared" si="269"/>
        <v>10</v>
      </c>
      <c r="BL7577">
        <f t="shared" si="269"/>
        <v>0</v>
      </c>
      <c r="BM7577">
        <f t="shared" si="269"/>
        <v>0</v>
      </c>
      <c r="BN7577">
        <f t="shared" si="269"/>
        <v>0</v>
      </c>
      <c r="BO7577">
        <f t="shared" si="269"/>
        <v>0</v>
      </c>
      <c r="BP7577">
        <f t="shared" si="269"/>
        <v>0</v>
      </c>
      <c r="BQ7577">
        <f t="shared" si="269"/>
        <v>0</v>
      </c>
      <c r="BR7577">
        <f t="shared" si="269"/>
        <v>0</v>
      </c>
      <c r="BS7577">
        <f t="shared" si="269"/>
        <v>0</v>
      </c>
      <c r="BT7577">
        <f t="shared" si="269"/>
        <v>0</v>
      </c>
      <c r="BU7577">
        <f t="shared" si="269"/>
        <v>0</v>
      </c>
      <c r="BV7577">
        <f t="shared" si="269"/>
        <v>0</v>
      </c>
      <c r="BW7577">
        <f t="shared" si="269"/>
        <v>0</v>
      </c>
      <c r="BX7577">
        <f t="shared" si="269"/>
        <v>0</v>
      </c>
      <c r="BY7577">
        <f t="shared" si="269"/>
        <v>0</v>
      </c>
      <c r="BZ7577">
        <f t="shared" si="269"/>
        <v>0</v>
      </c>
      <c r="CA7577">
        <f t="shared" si="269"/>
        <v>0</v>
      </c>
      <c r="CB7577">
        <f t="shared" si="269"/>
        <v>0</v>
      </c>
      <c r="CC7577">
        <f t="shared" si="269"/>
        <v>0</v>
      </c>
      <c r="CD7577">
        <f t="shared" si="269"/>
        <v>0</v>
      </c>
      <c r="CE7577">
        <f t="shared" si="269"/>
        <v>0</v>
      </c>
      <c r="CF7577">
        <f t="shared" si="269"/>
        <v>0</v>
      </c>
      <c r="CG7577">
        <f t="shared" si="269"/>
        <v>0</v>
      </c>
      <c r="CH7577">
        <f t="shared" si="269"/>
        <v>0</v>
      </c>
      <c r="CI7577">
        <f t="shared" si="269"/>
        <v>0</v>
      </c>
      <c r="CJ7577">
        <f t="shared" si="269"/>
        <v>0</v>
      </c>
      <c r="CK7577">
        <f t="shared" si="269"/>
        <v>0</v>
      </c>
      <c r="CL7577">
        <f t="shared" si="269"/>
        <v>0</v>
      </c>
      <c r="CM7577">
        <f t="shared" si="269"/>
        <v>0</v>
      </c>
      <c r="CN7577">
        <f t="shared" si="269"/>
        <v>0</v>
      </c>
      <c r="CO7577">
        <f t="shared" si="269"/>
        <v>0</v>
      </c>
      <c r="CP7577">
        <f t="shared" si="269"/>
        <v>0</v>
      </c>
      <c r="CQ7577">
        <f t="shared" si="269"/>
        <v>0</v>
      </c>
      <c r="CR7577">
        <f t="shared" si="269"/>
        <v>0</v>
      </c>
      <c r="CS7577">
        <f t="shared" si="269"/>
        <v>0</v>
      </c>
      <c r="CT7577">
        <f t="shared" si="269"/>
        <v>0</v>
      </c>
      <c r="CU7577">
        <f t="shared" si="269"/>
        <v>0</v>
      </c>
      <c r="CV7577">
        <f t="shared" si="269"/>
        <v>0</v>
      </c>
      <c r="CW7577">
        <f t="shared" si="269"/>
        <v>0</v>
      </c>
      <c r="CX7577">
        <f t="shared" si="269"/>
        <v>0</v>
      </c>
    </row>
    <row r="7578" spans="1:102">
      <c r="A7578" s="2"/>
      <c r="AY7578">
        <v>33</v>
      </c>
      <c r="AZ7578" s="2"/>
      <c r="BC7578">
        <f t="shared" ref="BC7578:CX7578" si="270">COUNTIF(B$3:B$7503,"33")</f>
        <v>0</v>
      </c>
      <c r="BD7578">
        <f t="shared" si="270"/>
        <v>0</v>
      </c>
      <c r="BE7578">
        <f t="shared" si="270"/>
        <v>0</v>
      </c>
      <c r="BF7578">
        <f t="shared" si="270"/>
        <v>0</v>
      </c>
      <c r="BG7578">
        <f t="shared" si="270"/>
        <v>0</v>
      </c>
      <c r="BH7578">
        <f t="shared" si="270"/>
        <v>0</v>
      </c>
      <c r="BI7578">
        <f t="shared" si="270"/>
        <v>0</v>
      </c>
      <c r="BJ7578">
        <f t="shared" si="270"/>
        <v>0</v>
      </c>
      <c r="BK7578">
        <f t="shared" si="270"/>
        <v>42</v>
      </c>
      <c r="BL7578">
        <f t="shared" si="270"/>
        <v>0</v>
      </c>
      <c r="BM7578">
        <f t="shared" si="270"/>
        <v>0</v>
      </c>
      <c r="BN7578">
        <f t="shared" si="270"/>
        <v>0</v>
      </c>
      <c r="BO7578">
        <f t="shared" si="270"/>
        <v>0</v>
      </c>
      <c r="BP7578">
        <f t="shared" si="270"/>
        <v>0</v>
      </c>
      <c r="BQ7578">
        <f t="shared" si="270"/>
        <v>0</v>
      </c>
      <c r="BR7578">
        <f t="shared" si="270"/>
        <v>0</v>
      </c>
      <c r="BS7578">
        <f t="shared" si="270"/>
        <v>0</v>
      </c>
      <c r="BT7578">
        <f t="shared" si="270"/>
        <v>0</v>
      </c>
      <c r="BU7578">
        <f t="shared" si="270"/>
        <v>0</v>
      </c>
      <c r="BV7578">
        <f t="shared" si="270"/>
        <v>0</v>
      </c>
      <c r="BW7578">
        <f t="shared" si="270"/>
        <v>0</v>
      </c>
      <c r="BX7578">
        <f t="shared" si="270"/>
        <v>0</v>
      </c>
      <c r="BY7578">
        <f t="shared" si="270"/>
        <v>0</v>
      </c>
      <c r="BZ7578">
        <f t="shared" si="270"/>
        <v>0</v>
      </c>
      <c r="CA7578">
        <f t="shared" si="270"/>
        <v>0</v>
      </c>
      <c r="CB7578">
        <f t="shared" si="270"/>
        <v>0</v>
      </c>
      <c r="CC7578">
        <f t="shared" si="270"/>
        <v>0</v>
      </c>
      <c r="CD7578">
        <f t="shared" si="270"/>
        <v>0</v>
      </c>
      <c r="CE7578">
        <f t="shared" si="270"/>
        <v>0</v>
      </c>
      <c r="CF7578">
        <f t="shared" si="270"/>
        <v>0</v>
      </c>
      <c r="CG7578">
        <f t="shared" si="270"/>
        <v>0</v>
      </c>
      <c r="CH7578">
        <f t="shared" si="270"/>
        <v>0</v>
      </c>
      <c r="CI7578">
        <f t="shared" si="270"/>
        <v>0</v>
      </c>
      <c r="CJ7578">
        <f t="shared" si="270"/>
        <v>0</v>
      </c>
      <c r="CK7578">
        <f t="shared" si="270"/>
        <v>0</v>
      </c>
      <c r="CL7578">
        <f t="shared" si="270"/>
        <v>0</v>
      </c>
      <c r="CM7578">
        <f t="shared" si="270"/>
        <v>0</v>
      </c>
      <c r="CN7578">
        <f t="shared" si="270"/>
        <v>0</v>
      </c>
      <c r="CO7578">
        <f t="shared" si="270"/>
        <v>0</v>
      </c>
      <c r="CP7578">
        <f t="shared" si="270"/>
        <v>0</v>
      </c>
      <c r="CQ7578">
        <f t="shared" si="270"/>
        <v>0</v>
      </c>
      <c r="CR7578">
        <f t="shared" si="270"/>
        <v>0</v>
      </c>
      <c r="CS7578">
        <f t="shared" si="270"/>
        <v>0</v>
      </c>
      <c r="CT7578">
        <f t="shared" si="270"/>
        <v>0</v>
      </c>
      <c r="CU7578">
        <f t="shared" si="270"/>
        <v>0</v>
      </c>
      <c r="CV7578">
        <f t="shared" si="270"/>
        <v>0</v>
      </c>
      <c r="CW7578">
        <f t="shared" si="270"/>
        <v>0</v>
      </c>
      <c r="CX7578">
        <f t="shared" si="270"/>
        <v>0</v>
      </c>
    </row>
    <row r="7579" spans="1:102">
      <c r="A7579" s="2"/>
      <c r="AY7579">
        <v>34</v>
      </c>
      <c r="AZ7579" s="2"/>
      <c r="BC7579">
        <f t="shared" ref="BC7579:CX7579" si="271">COUNTIF(B$3:B$7503,"34")</f>
        <v>0</v>
      </c>
      <c r="BD7579">
        <f t="shared" si="271"/>
        <v>0</v>
      </c>
      <c r="BE7579">
        <f t="shared" si="271"/>
        <v>0</v>
      </c>
      <c r="BF7579">
        <f t="shared" si="271"/>
        <v>0</v>
      </c>
      <c r="BG7579">
        <f t="shared" si="271"/>
        <v>0</v>
      </c>
      <c r="BH7579">
        <f t="shared" si="271"/>
        <v>0</v>
      </c>
      <c r="BI7579">
        <f t="shared" si="271"/>
        <v>0</v>
      </c>
      <c r="BJ7579">
        <f t="shared" si="271"/>
        <v>0</v>
      </c>
      <c r="BK7579">
        <f t="shared" si="271"/>
        <v>17</v>
      </c>
      <c r="BL7579">
        <f t="shared" si="271"/>
        <v>0</v>
      </c>
      <c r="BM7579">
        <f t="shared" si="271"/>
        <v>0</v>
      </c>
      <c r="BN7579">
        <f t="shared" si="271"/>
        <v>0</v>
      </c>
      <c r="BO7579">
        <f t="shared" si="271"/>
        <v>0</v>
      </c>
      <c r="BP7579">
        <f t="shared" si="271"/>
        <v>0</v>
      </c>
      <c r="BQ7579">
        <f t="shared" si="271"/>
        <v>0</v>
      </c>
      <c r="BR7579">
        <f t="shared" si="271"/>
        <v>0</v>
      </c>
      <c r="BS7579">
        <f t="shared" si="271"/>
        <v>0</v>
      </c>
      <c r="BT7579">
        <f t="shared" si="271"/>
        <v>0</v>
      </c>
      <c r="BU7579">
        <f t="shared" si="271"/>
        <v>0</v>
      </c>
      <c r="BV7579">
        <f t="shared" si="271"/>
        <v>0</v>
      </c>
      <c r="BW7579">
        <f t="shared" si="271"/>
        <v>0</v>
      </c>
      <c r="BX7579">
        <f t="shared" si="271"/>
        <v>0</v>
      </c>
      <c r="BY7579">
        <f t="shared" si="271"/>
        <v>0</v>
      </c>
      <c r="BZ7579">
        <f t="shared" si="271"/>
        <v>0</v>
      </c>
      <c r="CA7579">
        <f t="shared" si="271"/>
        <v>0</v>
      </c>
      <c r="CB7579">
        <f t="shared" si="271"/>
        <v>0</v>
      </c>
      <c r="CC7579">
        <f t="shared" si="271"/>
        <v>0</v>
      </c>
      <c r="CD7579">
        <f t="shared" si="271"/>
        <v>0</v>
      </c>
      <c r="CE7579">
        <f t="shared" si="271"/>
        <v>0</v>
      </c>
      <c r="CF7579">
        <f t="shared" si="271"/>
        <v>0</v>
      </c>
      <c r="CG7579">
        <f t="shared" si="271"/>
        <v>0</v>
      </c>
      <c r="CH7579">
        <f t="shared" si="271"/>
        <v>0</v>
      </c>
      <c r="CI7579">
        <f t="shared" si="271"/>
        <v>0</v>
      </c>
      <c r="CJ7579">
        <f t="shared" si="271"/>
        <v>0</v>
      </c>
      <c r="CK7579">
        <f t="shared" si="271"/>
        <v>0</v>
      </c>
      <c r="CL7579">
        <f t="shared" si="271"/>
        <v>0</v>
      </c>
      <c r="CM7579">
        <f t="shared" si="271"/>
        <v>0</v>
      </c>
      <c r="CN7579">
        <f t="shared" si="271"/>
        <v>0</v>
      </c>
      <c r="CO7579">
        <f t="shared" si="271"/>
        <v>0</v>
      </c>
      <c r="CP7579">
        <f t="shared" si="271"/>
        <v>0</v>
      </c>
      <c r="CQ7579">
        <f t="shared" si="271"/>
        <v>0</v>
      </c>
      <c r="CR7579">
        <f t="shared" si="271"/>
        <v>0</v>
      </c>
      <c r="CS7579">
        <f t="shared" si="271"/>
        <v>0</v>
      </c>
      <c r="CT7579">
        <f t="shared" si="271"/>
        <v>0</v>
      </c>
      <c r="CU7579">
        <f t="shared" si="271"/>
        <v>0</v>
      </c>
      <c r="CV7579">
        <f t="shared" si="271"/>
        <v>0</v>
      </c>
      <c r="CW7579">
        <f t="shared" si="271"/>
        <v>0</v>
      </c>
      <c r="CX7579">
        <f t="shared" si="271"/>
        <v>0</v>
      </c>
    </row>
    <row r="7580" spans="1:102">
      <c r="A7580" s="2"/>
      <c r="AY7580">
        <v>35</v>
      </c>
      <c r="AZ7580" s="2"/>
      <c r="BC7580">
        <f t="shared" ref="BC7580:CX7580" si="272">COUNTIF(B$3:B$7503,"35")</f>
        <v>0</v>
      </c>
      <c r="BD7580">
        <f t="shared" si="272"/>
        <v>0</v>
      </c>
      <c r="BE7580">
        <f t="shared" si="272"/>
        <v>0</v>
      </c>
      <c r="BF7580">
        <f t="shared" si="272"/>
        <v>0</v>
      </c>
      <c r="BG7580">
        <f t="shared" si="272"/>
        <v>0</v>
      </c>
      <c r="BH7580">
        <f t="shared" si="272"/>
        <v>0</v>
      </c>
      <c r="BI7580">
        <f t="shared" si="272"/>
        <v>0</v>
      </c>
      <c r="BJ7580">
        <f t="shared" si="272"/>
        <v>0</v>
      </c>
      <c r="BK7580">
        <f t="shared" si="272"/>
        <v>9</v>
      </c>
      <c r="BL7580">
        <f t="shared" si="272"/>
        <v>0</v>
      </c>
      <c r="BM7580">
        <f t="shared" si="272"/>
        <v>0</v>
      </c>
      <c r="BN7580">
        <f t="shared" si="272"/>
        <v>0</v>
      </c>
      <c r="BO7580">
        <f t="shared" si="272"/>
        <v>0</v>
      </c>
      <c r="BP7580">
        <f t="shared" si="272"/>
        <v>0</v>
      </c>
      <c r="BQ7580">
        <f t="shared" si="272"/>
        <v>0</v>
      </c>
      <c r="BR7580">
        <f t="shared" si="272"/>
        <v>0</v>
      </c>
      <c r="BS7580">
        <f t="shared" si="272"/>
        <v>0</v>
      </c>
      <c r="BT7580">
        <f t="shared" si="272"/>
        <v>0</v>
      </c>
      <c r="BU7580">
        <f t="shared" si="272"/>
        <v>0</v>
      </c>
      <c r="BV7580">
        <f t="shared" si="272"/>
        <v>0</v>
      </c>
      <c r="BW7580">
        <f t="shared" si="272"/>
        <v>0</v>
      </c>
      <c r="BX7580">
        <f t="shared" si="272"/>
        <v>0</v>
      </c>
      <c r="BY7580">
        <f t="shared" si="272"/>
        <v>0</v>
      </c>
      <c r="BZ7580">
        <f t="shared" si="272"/>
        <v>0</v>
      </c>
      <c r="CA7580">
        <f t="shared" si="272"/>
        <v>0</v>
      </c>
      <c r="CB7580">
        <f t="shared" si="272"/>
        <v>0</v>
      </c>
      <c r="CC7580">
        <f t="shared" si="272"/>
        <v>0</v>
      </c>
      <c r="CD7580">
        <f t="shared" si="272"/>
        <v>0</v>
      </c>
      <c r="CE7580">
        <f t="shared" si="272"/>
        <v>0</v>
      </c>
      <c r="CF7580">
        <f t="shared" si="272"/>
        <v>0</v>
      </c>
      <c r="CG7580">
        <f t="shared" si="272"/>
        <v>0</v>
      </c>
      <c r="CH7580">
        <f t="shared" si="272"/>
        <v>0</v>
      </c>
      <c r="CI7580">
        <f t="shared" si="272"/>
        <v>0</v>
      </c>
      <c r="CJ7580">
        <f t="shared" si="272"/>
        <v>0</v>
      </c>
      <c r="CK7580">
        <f t="shared" si="272"/>
        <v>0</v>
      </c>
      <c r="CL7580">
        <f t="shared" si="272"/>
        <v>0</v>
      </c>
      <c r="CM7580">
        <f t="shared" si="272"/>
        <v>0</v>
      </c>
      <c r="CN7580">
        <f t="shared" si="272"/>
        <v>0</v>
      </c>
      <c r="CO7580">
        <f t="shared" si="272"/>
        <v>0</v>
      </c>
      <c r="CP7580">
        <f t="shared" si="272"/>
        <v>0</v>
      </c>
      <c r="CQ7580">
        <f t="shared" si="272"/>
        <v>0</v>
      </c>
      <c r="CR7580">
        <f t="shared" si="272"/>
        <v>0</v>
      </c>
      <c r="CS7580">
        <f t="shared" si="272"/>
        <v>0</v>
      </c>
      <c r="CT7580">
        <f t="shared" si="272"/>
        <v>0</v>
      </c>
      <c r="CU7580">
        <f t="shared" si="272"/>
        <v>0</v>
      </c>
      <c r="CV7580">
        <f t="shared" si="272"/>
        <v>0</v>
      </c>
      <c r="CW7580">
        <f t="shared" si="272"/>
        <v>0</v>
      </c>
      <c r="CX7580">
        <f t="shared" si="272"/>
        <v>0</v>
      </c>
    </row>
    <row r="7581" spans="1:102">
      <c r="A7581" s="2"/>
      <c r="AY7581">
        <v>36</v>
      </c>
      <c r="AZ7581" s="2"/>
      <c r="BC7581">
        <f t="shared" ref="BC7581:CX7581" si="273">COUNTIF(B$3:B$7503,"36")</f>
        <v>0</v>
      </c>
      <c r="BD7581">
        <f t="shared" si="273"/>
        <v>0</v>
      </c>
      <c r="BE7581">
        <f t="shared" si="273"/>
        <v>0</v>
      </c>
      <c r="BF7581">
        <f t="shared" si="273"/>
        <v>0</v>
      </c>
      <c r="BG7581">
        <f t="shared" si="273"/>
        <v>0</v>
      </c>
      <c r="BH7581">
        <f t="shared" si="273"/>
        <v>0</v>
      </c>
      <c r="BI7581">
        <f t="shared" si="273"/>
        <v>0</v>
      </c>
      <c r="BJ7581">
        <f t="shared" si="273"/>
        <v>0</v>
      </c>
      <c r="BK7581">
        <f t="shared" si="273"/>
        <v>23</v>
      </c>
      <c r="BL7581">
        <f t="shared" si="273"/>
        <v>0</v>
      </c>
      <c r="BM7581">
        <f t="shared" si="273"/>
        <v>0</v>
      </c>
      <c r="BN7581">
        <f t="shared" si="273"/>
        <v>0</v>
      </c>
      <c r="BO7581">
        <f t="shared" si="273"/>
        <v>0</v>
      </c>
      <c r="BP7581">
        <f t="shared" si="273"/>
        <v>0</v>
      </c>
      <c r="BQ7581">
        <f t="shared" si="273"/>
        <v>0</v>
      </c>
      <c r="BR7581">
        <f t="shared" si="273"/>
        <v>0</v>
      </c>
      <c r="BS7581">
        <f t="shared" si="273"/>
        <v>0</v>
      </c>
      <c r="BT7581">
        <f t="shared" si="273"/>
        <v>0</v>
      </c>
      <c r="BU7581">
        <f t="shared" si="273"/>
        <v>0</v>
      </c>
      <c r="BV7581">
        <f t="shared" si="273"/>
        <v>0</v>
      </c>
      <c r="BW7581">
        <f t="shared" si="273"/>
        <v>0</v>
      </c>
      <c r="BX7581">
        <f t="shared" si="273"/>
        <v>0</v>
      </c>
      <c r="BY7581">
        <f t="shared" si="273"/>
        <v>0</v>
      </c>
      <c r="BZ7581">
        <f t="shared" si="273"/>
        <v>0</v>
      </c>
      <c r="CA7581">
        <f t="shared" si="273"/>
        <v>0</v>
      </c>
      <c r="CB7581">
        <f t="shared" si="273"/>
        <v>0</v>
      </c>
      <c r="CC7581">
        <f t="shared" si="273"/>
        <v>0</v>
      </c>
      <c r="CD7581">
        <f t="shared" si="273"/>
        <v>0</v>
      </c>
      <c r="CE7581">
        <f t="shared" si="273"/>
        <v>0</v>
      </c>
      <c r="CF7581">
        <f t="shared" si="273"/>
        <v>0</v>
      </c>
      <c r="CG7581">
        <f t="shared" si="273"/>
        <v>0</v>
      </c>
      <c r="CH7581">
        <f t="shared" si="273"/>
        <v>0</v>
      </c>
      <c r="CI7581">
        <f t="shared" si="273"/>
        <v>0</v>
      </c>
      <c r="CJ7581">
        <f t="shared" si="273"/>
        <v>0</v>
      </c>
      <c r="CK7581">
        <f t="shared" si="273"/>
        <v>0</v>
      </c>
      <c r="CL7581">
        <f t="shared" si="273"/>
        <v>0</v>
      </c>
      <c r="CM7581">
        <f t="shared" si="273"/>
        <v>0</v>
      </c>
      <c r="CN7581">
        <f t="shared" si="273"/>
        <v>0</v>
      </c>
      <c r="CO7581">
        <f t="shared" si="273"/>
        <v>0</v>
      </c>
      <c r="CP7581">
        <f t="shared" si="273"/>
        <v>0</v>
      </c>
      <c r="CQ7581">
        <f t="shared" si="273"/>
        <v>0</v>
      </c>
      <c r="CR7581">
        <f t="shared" si="273"/>
        <v>0</v>
      </c>
      <c r="CS7581">
        <f t="shared" si="273"/>
        <v>0</v>
      </c>
      <c r="CT7581">
        <f t="shared" si="273"/>
        <v>0</v>
      </c>
      <c r="CU7581">
        <f t="shared" si="273"/>
        <v>0</v>
      </c>
      <c r="CV7581">
        <f t="shared" si="273"/>
        <v>0</v>
      </c>
      <c r="CW7581">
        <f t="shared" si="273"/>
        <v>0</v>
      </c>
      <c r="CX7581">
        <f t="shared" si="273"/>
        <v>0</v>
      </c>
    </row>
    <row r="7582" spans="1:102">
      <c r="A7582" s="2"/>
      <c r="AY7582">
        <v>37</v>
      </c>
      <c r="AZ7582" s="2"/>
      <c r="BC7582">
        <f t="shared" ref="BC7582:CX7582" si="274">COUNTIF(B$3:B$7503,"37")</f>
        <v>0</v>
      </c>
      <c r="BD7582">
        <f t="shared" si="274"/>
        <v>0</v>
      </c>
      <c r="BE7582">
        <f t="shared" si="274"/>
        <v>0</v>
      </c>
      <c r="BF7582">
        <f t="shared" si="274"/>
        <v>0</v>
      </c>
      <c r="BG7582">
        <f t="shared" si="274"/>
        <v>0</v>
      </c>
      <c r="BH7582">
        <f t="shared" si="274"/>
        <v>0</v>
      </c>
      <c r="BI7582">
        <f t="shared" si="274"/>
        <v>0</v>
      </c>
      <c r="BJ7582">
        <f t="shared" si="274"/>
        <v>0</v>
      </c>
      <c r="BK7582">
        <f t="shared" si="274"/>
        <v>21</v>
      </c>
      <c r="BL7582">
        <f t="shared" si="274"/>
        <v>0</v>
      </c>
      <c r="BM7582">
        <f t="shared" si="274"/>
        <v>0</v>
      </c>
      <c r="BN7582">
        <f t="shared" si="274"/>
        <v>0</v>
      </c>
      <c r="BO7582">
        <f t="shared" si="274"/>
        <v>0</v>
      </c>
      <c r="BP7582">
        <f t="shared" si="274"/>
        <v>0</v>
      </c>
      <c r="BQ7582">
        <f t="shared" si="274"/>
        <v>0</v>
      </c>
      <c r="BR7582">
        <f t="shared" si="274"/>
        <v>0</v>
      </c>
      <c r="BS7582">
        <f t="shared" si="274"/>
        <v>0</v>
      </c>
      <c r="BT7582">
        <f t="shared" si="274"/>
        <v>0</v>
      </c>
      <c r="BU7582">
        <f t="shared" si="274"/>
        <v>0</v>
      </c>
      <c r="BV7582">
        <f t="shared" si="274"/>
        <v>0</v>
      </c>
      <c r="BW7582">
        <f t="shared" si="274"/>
        <v>0</v>
      </c>
      <c r="BX7582">
        <f t="shared" si="274"/>
        <v>0</v>
      </c>
      <c r="BY7582">
        <f t="shared" si="274"/>
        <v>0</v>
      </c>
      <c r="BZ7582">
        <f t="shared" si="274"/>
        <v>0</v>
      </c>
      <c r="CA7582">
        <f t="shared" si="274"/>
        <v>0</v>
      </c>
      <c r="CB7582">
        <f t="shared" si="274"/>
        <v>0</v>
      </c>
      <c r="CC7582">
        <f t="shared" si="274"/>
        <v>0</v>
      </c>
      <c r="CD7582">
        <f t="shared" si="274"/>
        <v>0</v>
      </c>
      <c r="CE7582">
        <f t="shared" si="274"/>
        <v>0</v>
      </c>
      <c r="CF7582">
        <f t="shared" si="274"/>
        <v>0</v>
      </c>
      <c r="CG7582">
        <f t="shared" si="274"/>
        <v>0</v>
      </c>
      <c r="CH7582">
        <f t="shared" si="274"/>
        <v>0</v>
      </c>
      <c r="CI7582">
        <f t="shared" si="274"/>
        <v>0</v>
      </c>
      <c r="CJ7582">
        <f t="shared" si="274"/>
        <v>0</v>
      </c>
      <c r="CK7582">
        <f t="shared" si="274"/>
        <v>0</v>
      </c>
      <c r="CL7582">
        <f t="shared" si="274"/>
        <v>0</v>
      </c>
      <c r="CM7582">
        <f t="shared" si="274"/>
        <v>0</v>
      </c>
      <c r="CN7582">
        <f t="shared" si="274"/>
        <v>0</v>
      </c>
      <c r="CO7582">
        <f t="shared" si="274"/>
        <v>0</v>
      </c>
      <c r="CP7582">
        <f t="shared" si="274"/>
        <v>0</v>
      </c>
      <c r="CQ7582">
        <f t="shared" si="274"/>
        <v>0</v>
      </c>
      <c r="CR7582">
        <f t="shared" si="274"/>
        <v>0</v>
      </c>
      <c r="CS7582">
        <f t="shared" si="274"/>
        <v>0</v>
      </c>
      <c r="CT7582">
        <f t="shared" si="274"/>
        <v>0</v>
      </c>
      <c r="CU7582">
        <f t="shared" si="274"/>
        <v>0</v>
      </c>
      <c r="CV7582">
        <f t="shared" si="274"/>
        <v>0</v>
      </c>
      <c r="CW7582">
        <f t="shared" si="274"/>
        <v>0</v>
      </c>
      <c r="CX7582">
        <f t="shared" si="274"/>
        <v>0</v>
      </c>
    </row>
    <row r="7583" spans="1:102">
      <c r="A7583" s="2"/>
      <c r="AY7583">
        <v>38</v>
      </c>
      <c r="AZ7583" s="2"/>
      <c r="BC7583">
        <f t="shared" ref="BC7583:CX7583" si="275">COUNTIF(B$3:B$7503,"38")</f>
        <v>0</v>
      </c>
      <c r="BD7583">
        <f t="shared" si="275"/>
        <v>0</v>
      </c>
      <c r="BE7583">
        <f t="shared" si="275"/>
        <v>0</v>
      </c>
      <c r="BF7583">
        <f t="shared" si="275"/>
        <v>0</v>
      </c>
      <c r="BG7583">
        <f t="shared" si="275"/>
        <v>0</v>
      </c>
      <c r="BH7583">
        <f t="shared" si="275"/>
        <v>0</v>
      </c>
      <c r="BI7583">
        <f t="shared" si="275"/>
        <v>0</v>
      </c>
      <c r="BJ7583">
        <f t="shared" si="275"/>
        <v>0</v>
      </c>
      <c r="BK7583">
        <f t="shared" si="275"/>
        <v>6</v>
      </c>
      <c r="BL7583">
        <f t="shared" si="275"/>
        <v>0</v>
      </c>
      <c r="BM7583">
        <f t="shared" si="275"/>
        <v>0</v>
      </c>
      <c r="BN7583">
        <f t="shared" si="275"/>
        <v>0</v>
      </c>
      <c r="BO7583">
        <f t="shared" si="275"/>
        <v>0</v>
      </c>
      <c r="BP7583">
        <f t="shared" si="275"/>
        <v>0</v>
      </c>
      <c r="BQ7583">
        <f t="shared" si="275"/>
        <v>0</v>
      </c>
      <c r="BR7583">
        <f t="shared" si="275"/>
        <v>0</v>
      </c>
      <c r="BS7583">
        <f t="shared" si="275"/>
        <v>0</v>
      </c>
      <c r="BT7583">
        <f t="shared" si="275"/>
        <v>0</v>
      </c>
      <c r="BU7583">
        <f t="shared" si="275"/>
        <v>0</v>
      </c>
      <c r="BV7583">
        <f t="shared" si="275"/>
        <v>0</v>
      </c>
      <c r="BW7583">
        <f t="shared" si="275"/>
        <v>0</v>
      </c>
      <c r="BX7583">
        <f t="shared" si="275"/>
        <v>0</v>
      </c>
      <c r="BY7583">
        <f t="shared" si="275"/>
        <v>0</v>
      </c>
      <c r="BZ7583">
        <f t="shared" si="275"/>
        <v>0</v>
      </c>
      <c r="CA7583">
        <f t="shared" si="275"/>
        <v>0</v>
      </c>
      <c r="CB7583">
        <f t="shared" si="275"/>
        <v>0</v>
      </c>
      <c r="CC7583">
        <f t="shared" si="275"/>
        <v>0</v>
      </c>
      <c r="CD7583">
        <f t="shared" si="275"/>
        <v>0</v>
      </c>
      <c r="CE7583">
        <f t="shared" si="275"/>
        <v>0</v>
      </c>
      <c r="CF7583">
        <f t="shared" si="275"/>
        <v>0</v>
      </c>
      <c r="CG7583">
        <f t="shared" si="275"/>
        <v>0</v>
      </c>
      <c r="CH7583">
        <f t="shared" si="275"/>
        <v>0</v>
      </c>
      <c r="CI7583">
        <f t="shared" si="275"/>
        <v>0</v>
      </c>
      <c r="CJ7583">
        <f t="shared" si="275"/>
        <v>0</v>
      </c>
      <c r="CK7583">
        <f t="shared" si="275"/>
        <v>0</v>
      </c>
      <c r="CL7583">
        <f t="shared" si="275"/>
        <v>0</v>
      </c>
      <c r="CM7583">
        <f t="shared" si="275"/>
        <v>0</v>
      </c>
      <c r="CN7583">
        <f t="shared" si="275"/>
        <v>0</v>
      </c>
      <c r="CO7583">
        <f t="shared" si="275"/>
        <v>0</v>
      </c>
      <c r="CP7583">
        <f t="shared" si="275"/>
        <v>0</v>
      </c>
      <c r="CQ7583">
        <f t="shared" si="275"/>
        <v>0</v>
      </c>
      <c r="CR7583">
        <f t="shared" si="275"/>
        <v>0</v>
      </c>
      <c r="CS7583">
        <f t="shared" si="275"/>
        <v>0</v>
      </c>
      <c r="CT7583">
        <f t="shared" si="275"/>
        <v>0</v>
      </c>
      <c r="CU7583">
        <f t="shared" si="275"/>
        <v>0</v>
      </c>
      <c r="CV7583">
        <f t="shared" si="275"/>
        <v>0</v>
      </c>
      <c r="CW7583">
        <f t="shared" si="275"/>
        <v>0</v>
      </c>
      <c r="CX7583">
        <f t="shared" si="275"/>
        <v>0</v>
      </c>
    </row>
    <row r="7584" spans="1:102">
      <c r="A7584" s="2"/>
      <c r="AY7584">
        <v>39</v>
      </c>
      <c r="AZ7584" s="2"/>
      <c r="BC7584">
        <f t="shared" ref="BC7584:CX7584" si="276">COUNTIF(B$3:B$7503,"39")</f>
        <v>0</v>
      </c>
      <c r="BD7584">
        <f t="shared" si="276"/>
        <v>0</v>
      </c>
      <c r="BE7584">
        <f t="shared" si="276"/>
        <v>0</v>
      </c>
      <c r="BF7584">
        <f t="shared" si="276"/>
        <v>0</v>
      </c>
      <c r="BG7584">
        <f t="shared" si="276"/>
        <v>0</v>
      </c>
      <c r="BH7584">
        <f t="shared" si="276"/>
        <v>0</v>
      </c>
      <c r="BI7584">
        <f t="shared" si="276"/>
        <v>0</v>
      </c>
      <c r="BJ7584">
        <f t="shared" si="276"/>
        <v>0</v>
      </c>
      <c r="BK7584">
        <f t="shared" si="276"/>
        <v>27</v>
      </c>
      <c r="BL7584">
        <f t="shared" si="276"/>
        <v>0</v>
      </c>
      <c r="BM7584">
        <f t="shared" si="276"/>
        <v>0</v>
      </c>
      <c r="BN7584">
        <f t="shared" si="276"/>
        <v>0</v>
      </c>
      <c r="BO7584">
        <f t="shared" si="276"/>
        <v>0</v>
      </c>
      <c r="BP7584">
        <f t="shared" si="276"/>
        <v>0</v>
      </c>
      <c r="BQ7584">
        <f t="shared" si="276"/>
        <v>0</v>
      </c>
      <c r="BR7584">
        <f t="shared" si="276"/>
        <v>0</v>
      </c>
      <c r="BS7584">
        <f t="shared" si="276"/>
        <v>0</v>
      </c>
      <c r="BT7584">
        <f t="shared" si="276"/>
        <v>0</v>
      </c>
      <c r="BU7584">
        <f t="shared" si="276"/>
        <v>0</v>
      </c>
      <c r="BV7584">
        <f t="shared" si="276"/>
        <v>0</v>
      </c>
      <c r="BW7584">
        <f t="shared" si="276"/>
        <v>0</v>
      </c>
      <c r="BX7584">
        <f t="shared" si="276"/>
        <v>0</v>
      </c>
      <c r="BY7584">
        <f t="shared" si="276"/>
        <v>0</v>
      </c>
      <c r="BZ7584">
        <f t="shared" si="276"/>
        <v>0</v>
      </c>
      <c r="CA7584">
        <f t="shared" si="276"/>
        <v>0</v>
      </c>
      <c r="CB7584">
        <f t="shared" si="276"/>
        <v>0</v>
      </c>
      <c r="CC7584">
        <f t="shared" si="276"/>
        <v>0</v>
      </c>
      <c r="CD7584">
        <f t="shared" si="276"/>
        <v>0</v>
      </c>
      <c r="CE7584">
        <f t="shared" si="276"/>
        <v>0</v>
      </c>
      <c r="CF7584">
        <f t="shared" si="276"/>
        <v>0</v>
      </c>
      <c r="CG7584">
        <f t="shared" si="276"/>
        <v>0</v>
      </c>
      <c r="CH7584">
        <f t="shared" si="276"/>
        <v>0</v>
      </c>
      <c r="CI7584">
        <f t="shared" si="276"/>
        <v>0</v>
      </c>
      <c r="CJ7584">
        <f t="shared" si="276"/>
        <v>0</v>
      </c>
      <c r="CK7584">
        <f t="shared" si="276"/>
        <v>0</v>
      </c>
      <c r="CL7584">
        <f t="shared" si="276"/>
        <v>0</v>
      </c>
      <c r="CM7584">
        <f t="shared" si="276"/>
        <v>0</v>
      </c>
      <c r="CN7584">
        <f t="shared" si="276"/>
        <v>0</v>
      </c>
      <c r="CO7584">
        <f t="shared" si="276"/>
        <v>0</v>
      </c>
      <c r="CP7584">
        <f t="shared" si="276"/>
        <v>0</v>
      </c>
      <c r="CQ7584">
        <f t="shared" si="276"/>
        <v>0</v>
      </c>
      <c r="CR7584">
        <f t="shared" si="276"/>
        <v>0</v>
      </c>
      <c r="CS7584">
        <f t="shared" si="276"/>
        <v>0</v>
      </c>
      <c r="CT7584">
        <f t="shared" si="276"/>
        <v>0</v>
      </c>
      <c r="CU7584">
        <f t="shared" si="276"/>
        <v>0</v>
      </c>
      <c r="CV7584">
        <f t="shared" si="276"/>
        <v>0</v>
      </c>
      <c r="CW7584">
        <f t="shared" si="276"/>
        <v>0</v>
      </c>
      <c r="CX7584">
        <f t="shared" si="276"/>
        <v>0</v>
      </c>
    </row>
    <row r="7585" spans="1:102">
      <c r="A7585" s="2"/>
      <c r="AY7585">
        <v>40</v>
      </c>
      <c r="AZ7585" s="2"/>
      <c r="BC7585">
        <f t="shared" ref="BC7585:CX7585" si="277">COUNTIF(B$3:B$7503,"40")</f>
        <v>0</v>
      </c>
      <c r="BD7585">
        <f t="shared" si="277"/>
        <v>0</v>
      </c>
      <c r="BE7585">
        <f t="shared" si="277"/>
        <v>0</v>
      </c>
      <c r="BF7585">
        <f t="shared" si="277"/>
        <v>0</v>
      </c>
      <c r="BG7585">
        <f t="shared" si="277"/>
        <v>0</v>
      </c>
      <c r="BH7585">
        <f t="shared" si="277"/>
        <v>0</v>
      </c>
      <c r="BI7585">
        <f t="shared" si="277"/>
        <v>0</v>
      </c>
      <c r="BJ7585">
        <f t="shared" si="277"/>
        <v>0</v>
      </c>
      <c r="BK7585">
        <f t="shared" si="277"/>
        <v>14</v>
      </c>
      <c r="BL7585">
        <f t="shared" si="277"/>
        <v>0</v>
      </c>
      <c r="BM7585">
        <f t="shared" si="277"/>
        <v>0</v>
      </c>
      <c r="BN7585">
        <f t="shared" si="277"/>
        <v>0</v>
      </c>
      <c r="BO7585">
        <f t="shared" si="277"/>
        <v>0</v>
      </c>
      <c r="BP7585">
        <f t="shared" si="277"/>
        <v>0</v>
      </c>
      <c r="BQ7585">
        <f t="shared" si="277"/>
        <v>0</v>
      </c>
      <c r="BR7585">
        <f t="shared" si="277"/>
        <v>0</v>
      </c>
      <c r="BS7585">
        <f t="shared" si="277"/>
        <v>0</v>
      </c>
      <c r="BT7585">
        <f t="shared" si="277"/>
        <v>0</v>
      </c>
      <c r="BU7585">
        <f t="shared" si="277"/>
        <v>0</v>
      </c>
      <c r="BV7585">
        <f t="shared" si="277"/>
        <v>0</v>
      </c>
      <c r="BW7585">
        <f t="shared" si="277"/>
        <v>0</v>
      </c>
      <c r="BX7585">
        <f t="shared" si="277"/>
        <v>0</v>
      </c>
      <c r="BY7585">
        <f t="shared" si="277"/>
        <v>0</v>
      </c>
      <c r="BZ7585">
        <f t="shared" si="277"/>
        <v>0</v>
      </c>
      <c r="CA7585">
        <f t="shared" si="277"/>
        <v>0</v>
      </c>
      <c r="CB7585">
        <f t="shared" si="277"/>
        <v>0</v>
      </c>
      <c r="CC7585">
        <f t="shared" si="277"/>
        <v>0</v>
      </c>
      <c r="CD7585">
        <f t="shared" si="277"/>
        <v>0</v>
      </c>
      <c r="CE7585">
        <f t="shared" si="277"/>
        <v>0</v>
      </c>
      <c r="CF7585">
        <f t="shared" si="277"/>
        <v>0</v>
      </c>
      <c r="CG7585">
        <f t="shared" si="277"/>
        <v>0</v>
      </c>
      <c r="CH7585">
        <f t="shared" si="277"/>
        <v>0</v>
      </c>
      <c r="CI7585">
        <f t="shared" si="277"/>
        <v>0</v>
      </c>
      <c r="CJ7585">
        <f t="shared" si="277"/>
        <v>0</v>
      </c>
      <c r="CK7585">
        <f t="shared" si="277"/>
        <v>0</v>
      </c>
      <c r="CL7585">
        <f t="shared" si="277"/>
        <v>0</v>
      </c>
      <c r="CM7585">
        <f t="shared" si="277"/>
        <v>0</v>
      </c>
      <c r="CN7585">
        <f t="shared" si="277"/>
        <v>0</v>
      </c>
      <c r="CO7585">
        <f t="shared" si="277"/>
        <v>0</v>
      </c>
      <c r="CP7585">
        <f t="shared" si="277"/>
        <v>0</v>
      </c>
      <c r="CQ7585">
        <f t="shared" si="277"/>
        <v>0</v>
      </c>
      <c r="CR7585">
        <f t="shared" si="277"/>
        <v>0</v>
      </c>
      <c r="CS7585">
        <f t="shared" si="277"/>
        <v>0</v>
      </c>
      <c r="CT7585">
        <f t="shared" si="277"/>
        <v>0</v>
      </c>
      <c r="CU7585">
        <f t="shared" si="277"/>
        <v>0</v>
      </c>
      <c r="CV7585">
        <f t="shared" si="277"/>
        <v>0</v>
      </c>
      <c r="CW7585">
        <f t="shared" si="277"/>
        <v>0</v>
      </c>
      <c r="CX7585">
        <f t="shared" si="277"/>
        <v>0</v>
      </c>
    </row>
    <row r="7586" spans="1:102">
      <c r="A7586" s="2"/>
      <c r="AY7586">
        <v>41</v>
      </c>
      <c r="AZ7586" s="2"/>
      <c r="BC7586">
        <f t="shared" ref="BC7586:CX7586" si="278">COUNTIF(B$3:B$7503,"41")</f>
        <v>0</v>
      </c>
      <c r="BD7586">
        <f t="shared" si="278"/>
        <v>0</v>
      </c>
      <c r="BE7586">
        <f t="shared" si="278"/>
        <v>0</v>
      </c>
      <c r="BF7586">
        <f t="shared" si="278"/>
        <v>0</v>
      </c>
      <c r="BG7586">
        <f t="shared" si="278"/>
        <v>0</v>
      </c>
      <c r="BH7586">
        <f t="shared" si="278"/>
        <v>0</v>
      </c>
      <c r="BI7586">
        <f t="shared" si="278"/>
        <v>0</v>
      </c>
      <c r="BJ7586">
        <f t="shared" si="278"/>
        <v>0</v>
      </c>
      <c r="BK7586">
        <f t="shared" si="278"/>
        <v>8</v>
      </c>
      <c r="BL7586">
        <f t="shared" si="278"/>
        <v>0</v>
      </c>
      <c r="BM7586">
        <f t="shared" si="278"/>
        <v>0</v>
      </c>
      <c r="BN7586">
        <f t="shared" si="278"/>
        <v>0</v>
      </c>
      <c r="BO7586">
        <f t="shared" si="278"/>
        <v>0</v>
      </c>
      <c r="BP7586">
        <f t="shared" si="278"/>
        <v>0</v>
      </c>
      <c r="BQ7586">
        <f t="shared" si="278"/>
        <v>0</v>
      </c>
      <c r="BR7586">
        <f t="shared" si="278"/>
        <v>0</v>
      </c>
      <c r="BS7586">
        <f t="shared" si="278"/>
        <v>0</v>
      </c>
      <c r="BT7586">
        <f t="shared" si="278"/>
        <v>0</v>
      </c>
      <c r="BU7586">
        <f t="shared" si="278"/>
        <v>0</v>
      </c>
      <c r="BV7586">
        <f t="shared" si="278"/>
        <v>0</v>
      </c>
      <c r="BW7586">
        <f t="shared" si="278"/>
        <v>0</v>
      </c>
      <c r="BX7586">
        <f t="shared" si="278"/>
        <v>0</v>
      </c>
      <c r="BY7586">
        <f t="shared" si="278"/>
        <v>0</v>
      </c>
      <c r="BZ7586">
        <f t="shared" si="278"/>
        <v>0</v>
      </c>
      <c r="CA7586">
        <f t="shared" si="278"/>
        <v>0</v>
      </c>
      <c r="CB7586">
        <f t="shared" si="278"/>
        <v>0</v>
      </c>
      <c r="CC7586">
        <f t="shared" si="278"/>
        <v>0</v>
      </c>
      <c r="CD7586">
        <f t="shared" si="278"/>
        <v>0</v>
      </c>
      <c r="CE7586">
        <f t="shared" si="278"/>
        <v>0</v>
      </c>
      <c r="CF7586">
        <f t="shared" si="278"/>
        <v>0</v>
      </c>
      <c r="CG7586">
        <f t="shared" si="278"/>
        <v>0</v>
      </c>
      <c r="CH7586">
        <f t="shared" si="278"/>
        <v>0</v>
      </c>
      <c r="CI7586">
        <f t="shared" si="278"/>
        <v>0</v>
      </c>
      <c r="CJ7586">
        <f t="shared" si="278"/>
        <v>0</v>
      </c>
      <c r="CK7586">
        <f t="shared" si="278"/>
        <v>0</v>
      </c>
      <c r="CL7586">
        <f t="shared" si="278"/>
        <v>0</v>
      </c>
      <c r="CM7586">
        <f t="shared" si="278"/>
        <v>0</v>
      </c>
      <c r="CN7586">
        <f t="shared" si="278"/>
        <v>0</v>
      </c>
      <c r="CO7586">
        <f t="shared" si="278"/>
        <v>0</v>
      </c>
      <c r="CP7586">
        <f t="shared" si="278"/>
        <v>0</v>
      </c>
      <c r="CQ7586">
        <f t="shared" si="278"/>
        <v>0</v>
      </c>
      <c r="CR7586">
        <f t="shared" si="278"/>
        <v>0</v>
      </c>
      <c r="CS7586">
        <f t="shared" si="278"/>
        <v>0</v>
      </c>
      <c r="CT7586">
        <f t="shared" si="278"/>
        <v>0</v>
      </c>
      <c r="CU7586">
        <f t="shared" si="278"/>
        <v>0</v>
      </c>
      <c r="CV7586">
        <f t="shared" si="278"/>
        <v>0</v>
      </c>
      <c r="CW7586">
        <f t="shared" si="278"/>
        <v>0</v>
      </c>
      <c r="CX7586">
        <f t="shared" si="278"/>
        <v>0</v>
      </c>
    </row>
    <row r="7587" spans="1:102">
      <c r="A7587" s="2"/>
      <c r="AY7587">
        <v>42</v>
      </c>
      <c r="AZ7587" s="2"/>
      <c r="BC7587">
        <f t="shared" ref="BC7587:CX7587" si="279">COUNTIF(B$3:B$7503,"42")</f>
        <v>0</v>
      </c>
      <c r="BD7587">
        <f t="shared" si="279"/>
        <v>0</v>
      </c>
      <c r="BE7587">
        <f t="shared" si="279"/>
        <v>0</v>
      </c>
      <c r="BF7587">
        <f t="shared" si="279"/>
        <v>0</v>
      </c>
      <c r="BG7587">
        <f t="shared" si="279"/>
        <v>0</v>
      </c>
      <c r="BH7587">
        <f t="shared" si="279"/>
        <v>0</v>
      </c>
      <c r="BI7587">
        <f t="shared" si="279"/>
        <v>0</v>
      </c>
      <c r="BJ7587">
        <f t="shared" si="279"/>
        <v>0</v>
      </c>
      <c r="BK7587">
        <f t="shared" si="279"/>
        <v>28</v>
      </c>
      <c r="BL7587">
        <f t="shared" si="279"/>
        <v>0</v>
      </c>
      <c r="BM7587">
        <f t="shared" si="279"/>
        <v>0</v>
      </c>
      <c r="BN7587">
        <f t="shared" si="279"/>
        <v>0</v>
      </c>
      <c r="BO7587">
        <f t="shared" si="279"/>
        <v>0</v>
      </c>
      <c r="BP7587">
        <f t="shared" si="279"/>
        <v>0</v>
      </c>
      <c r="BQ7587">
        <f t="shared" si="279"/>
        <v>0</v>
      </c>
      <c r="BR7587">
        <f t="shared" si="279"/>
        <v>0</v>
      </c>
      <c r="BS7587">
        <f t="shared" si="279"/>
        <v>0</v>
      </c>
      <c r="BT7587">
        <f t="shared" si="279"/>
        <v>0</v>
      </c>
      <c r="BU7587">
        <f t="shared" si="279"/>
        <v>0</v>
      </c>
      <c r="BV7587">
        <f t="shared" si="279"/>
        <v>0</v>
      </c>
      <c r="BW7587">
        <f t="shared" si="279"/>
        <v>0</v>
      </c>
      <c r="BX7587">
        <f t="shared" si="279"/>
        <v>0</v>
      </c>
      <c r="BY7587">
        <f t="shared" si="279"/>
        <v>0</v>
      </c>
      <c r="BZ7587">
        <f t="shared" si="279"/>
        <v>0</v>
      </c>
      <c r="CA7587">
        <f t="shared" si="279"/>
        <v>0</v>
      </c>
      <c r="CB7587">
        <f t="shared" si="279"/>
        <v>0</v>
      </c>
      <c r="CC7587">
        <f t="shared" si="279"/>
        <v>0</v>
      </c>
      <c r="CD7587">
        <f t="shared" si="279"/>
        <v>0</v>
      </c>
      <c r="CE7587">
        <f t="shared" si="279"/>
        <v>0</v>
      </c>
      <c r="CF7587">
        <f t="shared" si="279"/>
        <v>0</v>
      </c>
      <c r="CG7587">
        <f t="shared" si="279"/>
        <v>0</v>
      </c>
      <c r="CH7587">
        <f t="shared" si="279"/>
        <v>0</v>
      </c>
      <c r="CI7587">
        <f t="shared" si="279"/>
        <v>0</v>
      </c>
      <c r="CJ7587">
        <f t="shared" si="279"/>
        <v>0</v>
      </c>
      <c r="CK7587">
        <f t="shared" si="279"/>
        <v>0</v>
      </c>
      <c r="CL7587">
        <f t="shared" si="279"/>
        <v>0</v>
      </c>
      <c r="CM7587">
        <f t="shared" si="279"/>
        <v>0</v>
      </c>
      <c r="CN7587">
        <f t="shared" si="279"/>
        <v>0</v>
      </c>
      <c r="CO7587">
        <f t="shared" si="279"/>
        <v>0</v>
      </c>
      <c r="CP7587">
        <f t="shared" si="279"/>
        <v>0</v>
      </c>
      <c r="CQ7587">
        <f t="shared" si="279"/>
        <v>0</v>
      </c>
      <c r="CR7587">
        <f t="shared" si="279"/>
        <v>0</v>
      </c>
      <c r="CS7587">
        <f t="shared" si="279"/>
        <v>0</v>
      </c>
      <c r="CT7587">
        <f t="shared" si="279"/>
        <v>0</v>
      </c>
      <c r="CU7587">
        <f t="shared" si="279"/>
        <v>0</v>
      </c>
      <c r="CV7587">
        <f t="shared" si="279"/>
        <v>0</v>
      </c>
      <c r="CW7587">
        <f t="shared" si="279"/>
        <v>0</v>
      </c>
      <c r="CX7587">
        <f t="shared" si="279"/>
        <v>0</v>
      </c>
    </row>
    <row r="7588" spans="1:102">
      <c r="A7588" s="2"/>
      <c r="AY7588">
        <v>43</v>
      </c>
      <c r="AZ7588" s="2"/>
      <c r="BC7588">
        <f t="shared" ref="BC7588:CX7588" si="280">COUNTIF(B$3:B$7503,"43")</f>
        <v>0</v>
      </c>
      <c r="BD7588">
        <f t="shared" si="280"/>
        <v>0</v>
      </c>
      <c r="BE7588">
        <f t="shared" si="280"/>
        <v>0</v>
      </c>
      <c r="BF7588">
        <f t="shared" si="280"/>
        <v>0</v>
      </c>
      <c r="BG7588">
        <f t="shared" si="280"/>
        <v>0</v>
      </c>
      <c r="BH7588">
        <f t="shared" si="280"/>
        <v>0</v>
      </c>
      <c r="BI7588">
        <f t="shared" si="280"/>
        <v>0</v>
      </c>
      <c r="BJ7588">
        <f t="shared" si="280"/>
        <v>0</v>
      </c>
      <c r="BK7588">
        <f t="shared" si="280"/>
        <v>8</v>
      </c>
      <c r="BL7588">
        <f t="shared" si="280"/>
        <v>0</v>
      </c>
      <c r="BM7588">
        <f t="shared" si="280"/>
        <v>0</v>
      </c>
      <c r="BN7588">
        <f t="shared" si="280"/>
        <v>0</v>
      </c>
      <c r="BO7588">
        <f t="shared" si="280"/>
        <v>0</v>
      </c>
      <c r="BP7588">
        <f t="shared" si="280"/>
        <v>0</v>
      </c>
      <c r="BQ7588">
        <f t="shared" si="280"/>
        <v>0</v>
      </c>
      <c r="BR7588">
        <f t="shared" si="280"/>
        <v>0</v>
      </c>
      <c r="BS7588">
        <f t="shared" si="280"/>
        <v>0</v>
      </c>
      <c r="BT7588">
        <f t="shared" si="280"/>
        <v>0</v>
      </c>
      <c r="BU7588">
        <f t="shared" si="280"/>
        <v>0</v>
      </c>
      <c r="BV7588">
        <f t="shared" si="280"/>
        <v>0</v>
      </c>
      <c r="BW7588">
        <f t="shared" si="280"/>
        <v>0</v>
      </c>
      <c r="BX7588">
        <f t="shared" si="280"/>
        <v>0</v>
      </c>
      <c r="BY7588">
        <f t="shared" si="280"/>
        <v>0</v>
      </c>
      <c r="BZ7588">
        <f t="shared" si="280"/>
        <v>0</v>
      </c>
      <c r="CA7588">
        <f t="shared" si="280"/>
        <v>0</v>
      </c>
      <c r="CB7588">
        <f t="shared" si="280"/>
        <v>0</v>
      </c>
      <c r="CC7588">
        <f t="shared" si="280"/>
        <v>0</v>
      </c>
      <c r="CD7588">
        <f t="shared" si="280"/>
        <v>0</v>
      </c>
      <c r="CE7588">
        <f t="shared" si="280"/>
        <v>0</v>
      </c>
      <c r="CF7588">
        <f t="shared" si="280"/>
        <v>0</v>
      </c>
      <c r="CG7588">
        <f t="shared" si="280"/>
        <v>0</v>
      </c>
      <c r="CH7588">
        <f t="shared" si="280"/>
        <v>0</v>
      </c>
      <c r="CI7588">
        <f t="shared" si="280"/>
        <v>0</v>
      </c>
      <c r="CJ7588">
        <f t="shared" si="280"/>
        <v>0</v>
      </c>
      <c r="CK7588">
        <f t="shared" si="280"/>
        <v>0</v>
      </c>
      <c r="CL7588">
        <f t="shared" si="280"/>
        <v>0</v>
      </c>
      <c r="CM7588">
        <f t="shared" si="280"/>
        <v>0</v>
      </c>
      <c r="CN7588">
        <f t="shared" si="280"/>
        <v>0</v>
      </c>
      <c r="CO7588">
        <f t="shared" si="280"/>
        <v>0</v>
      </c>
      <c r="CP7588">
        <f t="shared" si="280"/>
        <v>0</v>
      </c>
      <c r="CQ7588">
        <f t="shared" si="280"/>
        <v>0</v>
      </c>
      <c r="CR7588">
        <f t="shared" si="280"/>
        <v>0</v>
      </c>
      <c r="CS7588">
        <f t="shared" si="280"/>
        <v>0</v>
      </c>
      <c r="CT7588">
        <f t="shared" si="280"/>
        <v>0</v>
      </c>
      <c r="CU7588">
        <f t="shared" si="280"/>
        <v>0</v>
      </c>
      <c r="CV7588">
        <f t="shared" si="280"/>
        <v>0</v>
      </c>
      <c r="CW7588">
        <f t="shared" si="280"/>
        <v>0</v>
      </c>
      <c r="CX7588">
        <f t="shared" si="280"/>
        <v>0</v>
      </c>
    </row>
    <row r="7589" spans="1:102">
      <c r="A7589" s="2"/>
      <c r="AY7589">
        <v>44</v>
      </c>
      <c r="AZ7589" s="2"/>
      <c r="BC7589">
        <f t="shared" ref="BC7589:CX7589" si="281">COUNTIF(B$3:B$7503,"44")</f>
        <v>0</v>
      </c>
      <c r="BD7589">
        <f t="shared" si="281"/>
        <v>0</v>
      </c>
      <c r="BE7589">
        <f t="shared" si="281"/>
        <v>0</v>
      </c>
      <c r="BF7589">
        <f t="shared" si="281"/>
        <v>0</v>
      </c>
      <c r="BG7589">
        <f t="shared" si="281"/>
        <v>0</v>
      </c>
      <c r="BH7589">
        <f t="shared" si="281"/>
        <v>0</v>
      </c>
      <c r="BI7589">
        <f t="shared" si="281"/>
        <v>0</v>
      </c>
      <c r="BJ7589">
        <f t="shared" si="281"/>
        <v>0</v>
      </c>
      <c r="BK7589">
        <f t="shared" si="281"/>
        <v>40</v>
      </c>
      <c r="BL7589">
        <f t="shared" si="281"/>
        <v>0</v>
      </c>
      <c r="BM7589">
        <f t="shared" si="281"/>
        <v>0</v>
      </c>
      <c r="BN7589">
        <f t="shared" si="281"/>
        <v>0</v>
      </c>
      <c r="BO7589">
        <f t="shared" si="281"/>
        <v>0</v>
      </c>
      <c r="BP7589">
        <f t="shared" si="281"/>
        <v>0</v>
      </c>
      <c r="BQ7589">
        <f t="shared" si="281"/>
        <v>0</v>
      </c>
      <c r="BR7589">
        <f t="shared" si="281"/>
        <v>0</v>
      </c>
      <c r="BS7589">
        <f t="shared" si="281"/>
        <v>0</v>
      </c>
      <c r="BT7589">
        <f t="shared" si="281"/>
        <v>0</v>
      </c>
      <c r="BU7589">
        <f t="shared" si="281"/>
        <v>0</v>
      </c>
      <c r="BV7589">
        <f t="shared" si="281"/>
        <v>0</v>
      </c>
      <c r="BW7589">
        <f t="shared" si="281"/>
        <v>0</v>
      </c>
      <c r="BX7589">
        <f t="shared" si="281"/>
        <v>0</v>
      </c>
      <c r="BY7589">
        <f t="shared" si="281"/>
        <v>0</v>
      </c>
      <c r="BZ7589">
        <f t="shared" si="281"/>
        <v>0</v>
      </c>
      <c r="CA7589">
        <f t="shared" si="281"/>
        <v>0</v>
      </c>
      <c r="CB7589">
        <f t="shared" si="281"/>
        <v>0</v>
      </c>
      <c r="CC7589">
        <f t="shared" si="281"/>
        <v>0</v>
      </c>
      <c r="CD7589">
        <f t="shared" si="281"/>
        <v>0</v>
      </c>
      <c r="CE7589">
        <f t="shared" si="281"/>
        <v>0</v>
      </c>
      <c r="CF7589">
        <f t="shared" si="281"/>
        <v>0</v>
      </c>
      <c r="CG7589">
        <f t="shared" si="281"/>
        <v>0</v>
      </c>
      <c r="CH7589">
        <f t="shared" si="281"/>
        <v>0</v>
      </c>
      <c r="CI7589">
        <f t="shared" si="281"/>
        <v>0</v>
      </c>
      <c r="CJ7589">
        <f t="shared" si="281"/>
        <v>0</v>
      </c>
      <c r="CK7589">
        <f t="shared" si="281"/>
        <v>0</v>
      </c>
      <c r="CL7589">
        <f t="shared" si="281"/>
        <v>0</v>
      </c>
      <c r="CM7589">
        <f t="shared" si="281"/>
        <v>0</v>
      </c>
      <c r="CN7589">
        <f t="shared" si="281"/>
        <v>0</v>
      </c>
      <c r="CO7589">
        <f t="shared" si="281"/>
        <v>0</v>
      </c>
      <c r="CP7589">
        <f t="shared" si="281"/>
        <v>0</v>
      </c>
      <c r="CQ7589">
        <f t="shared" si="281"/>
        <v>0</v>
      </c>
      <c r="CR7589">
        <f t="shared" si="281"/>
        <v>0</v>
      </c>
      <c r="CS7589">
        <f t="shared" si="281"/>
        <v>0</v>
      </c>
      <c r="CT7589">
        <f t="shared" si="281"/>
        <v>0</v>
      </c>
      <c r="CU7589">
        <f t="shared" si="281"/>
        <v>0</v>
      </c>
      <c r="CV7589">
        <f t="shared" si="281"/>
        <v>0</v>
      </c>
      <c r="CW7589">
        <f t="shared" si="281"/>
        <v>0</v>
      </c>
      <c r="CX7589">
        <f t="shared" si="281"/>
        <v>0</v>
      </c>
    </row>
    <row r="7590" spans="1:102">
      <c r="A7590" s="2"/>
      <c r="AY7590">
        <v>45</v>
      </c>
      <c r="AZ7590" s="2"/>
      <c r="BC7590">
        <f t="shared" ref="BC7590:CX7590" si="282">COUNTIF(B$3:B$7503,"45")</f>
        <v>0</v>
      </c>
      <c r="BD7590">
        <f t="shared" si="282"/>
        <v>0</v>
      </c>
      <c r="BE7590">
        <f t="shared" si="282"/>
        <v>0</v>
      </c>
      <c r="BF7590">
        <f t="shared" si="282"/>
        <v>0</v>
      </c>
      <c r="BG7590">
        <f t="shared" si="282"/>
        <v>0</v>
      </c>
      <c r="BH7590">
        <f t="shared" si="282"/>
        <v>0</v>
      </c>
      <c r="BI7590">
        <f t="shared" si="282"/>
        <v>0</v>
      </c>
      <c r="BJ7590">
        <f t="shared" si="282"/>
        <v>0</v>
      </c>
      <c r="BK7590">
        <f t="shared" si="282"/>
        <v>44</v>
      </c>
      <c r="BL7590">
        <f t="shared" si="282"/>
        <v>0</v>
      </c>
      <c r="BM7590">
        <f t="shared" si="282"/>
        <v>0</v>
      </c>
      <c r="BN7590">
        <f t="shared" si="282"/>
        <v>0</v>
      </c>
      <c r="BO7590">
        <f t="shared" si="282"/>
        <v>0</v>
      </c>
      <c r="BP7590">
        <f t="shared" si="282"/>
        <v>0</v>
      </c>
      <c r="BQ7590">
        <f t="shared" si="282"/>
        <v>0</v>
      </c>
      <c r="BR7590">
        <f t="shared" si="282"/>
        <v>0</v>
      </c>
      <c r="BS7590">
        <f t="shared" si="282"/>
        <v>0</v>
      </c>
      <c r="BT7590">
        <f t="shared" si="282"/>
        <v>0</v>
      </c>
      <c r="BU7590">
        <f t="shared" si="282"/>
        <v>0</v>
      </c>
      <c r="BV7590">
        <f t="shared" si="282"/>
        <v>0</v>
      </c>
      <c r="BW7590">
        <f t="shared" si="282"/>
        <v>0</v>
      </c>
      <c r="BX7590">
        <f t="shared" si="282"/>
        <v>0</v>
      </c>
      <c r="BY7590">
        <f t="shared" si="282"/>
        <v>0</v>
      </c>
      <c r="BZ7590">
        <f t="shared" si="282"/>
        <v>0</v>
      </c>
      <c r="CA7590">
        <f t="shared" si="282"/>
        <v>0</v>
      </c>
      <c r="CB7590">
        <f t="shared" si="282"/>
        <v>0</v>
      </c>
      <c r="CC7590">
        <f t="shared" si="282"/>
        <v>0</v>
      </c>
      <c r="CD7590">
        <f t="shared" si="282"/>
        <v>0</v>
      </c>
      <c r="CE7590">
        <f t="shared" si="282"/>
        <v>0</v>
      </c>
      <c r="CF7590">
        <f t="shared" si="282"/>
        <v>0</v>
      </c>
      <c r="CG7590">
        <f t="shared" si="282"/>
        <v>0</v>
      </c>
      <c r="CH7590">
        <f t="shared" si="282"/>
        <v>0</v>
      </c>
      <c r="CI7590">
        <f t="shared" si="282"/>
        <v>0</v>
      </c>
      <c r="CJ7590">
        <f t="shared" si="282"/>
        <v>0</v>
      </c>
      <c r="CK7590">
        <f t="shared" si="282"/>
        <v>0</v>
      </c>
      <c r="CL7590">
        <f t="shared" si="282"/>
        <v>0</v>
      </c>
      <c r="CM7590">
        <f t="shared" si="282"/>
        <v>0</v>
      </c>
      <c r="CN7590">
        <f t="shared" si="282"/>
        <v>0</v>
      </c>
      <c r="CO7590">
        <f t="shared" si="282"/>
        <v>0</v>
      </c>
      <c r="CP7590">
        <f t="shared" si="282"/>
        <v>0</v>
      </c>
      <c r="CQ7590">
        <f t="shared" si="282"/>
        <v>0</v>
      </c>
      <c r="CR7590">
        <f t="shared" si="282"/>
        <v>0</v>
      </c>
      <c r="CS7590">
        <f t="shared" si="282"/>
        <v>0</v>
      </c>
      <c r="CT7590">
        <f t="shared" si="282"/>
        <v>0</v>
      </c>
      <c r="CU7590">
        <f t="shared" si="282"/>
        <v>0</v>
      </c>
      <c r="CV7590">
        <f t="shared" si="282"/>
        <v>0</v>
      </c>
      <c r="CW7590">
        <f t="shared" si="282"/>
        <v>0</v>
      </c>
      <c r="CX7590">
        <f t="shared" si="282"/>
        <v>0</v>
      </c>
    </row>
    <row r="7591" spans="1:102">
      <c r="A7591" s="2"/>
      <c r="AY7591">
        <v>46</v>
      </c>
      <c r="AZ7591" s="2"/>
      <c r="BC7591">
        <f t="shared" ref="BC7591:CX7591" si="283">COUNTIF(B$3:B$7503,"46")</f>
        <v>0</v>
      </c>
      <c r="BD7591">
        <f t="shared" si="283"/>
        <v>0</v>
      </c>
      <c r="BE7591">
        <f t="shared" si="283"/>
        <v>0</v>
      </c>
      <c r="BF7591">
        <f t="shared" si="283"/>
        <v>0</v>
      </c>
      <c r="BG7591">
        <f t="shared" si="283"/>
        <v>0</v>
      </c>
      <c r="BH7591">
        <f t="shared" si="283"/>
        <v>0</v>
      </c>
      <c r="BI7591">
        <f t="shared" si="283"/>
        <v>0</v>
      </c>
      <c r="BJ7591">
        <f t="shared" si="283"/>
        <v>0</v>
      </c>
      <c r="BK7591">
        <f t="shared" si="283"/>
        <v>12</v>
      </c>
      <c r="BL7591">
        <f t="shared" si="283"/>
        <v>0</v>
      </c>
      <c r="BM7591">
        <f t="shared" si="283"/>
        <v>0</v>
      </c>
      <c r="BN7591">
        <f t="shared" si="283"/>
        <v>0</v>
      </c>
      <c r="BO7591">
        <f t="shared" si="283"/>
        <v>0</v>
      </c>
      <c r="BP7591">
        <f t="shared" si="283"/>
        <v>0</v>
      </c>
      <c r="BQ7591">
        <f t="shared" si="283"/>
        <v>0</v>
      </c>
      <c r="BR7591">
        <f t="shared" si="283"/>
        <v>0</v>
      </c>
      <c r="BS7591">
        <f t="shared" si="283"/>
        <v>0</v>
      </c>
      <c r="BT7591">
        <f t="shared" si="283"/>
        <v>0</v>
      </c>
      <c r="BU7591">
        <f t="shared" si="283"/>
        <v>0</v>
      </c>
      <c r="BV7591">
        <f t="shared" si="283"/>
        <v>0</v>
      </c>
      <c r="BW7591">
        <f t="shared" si="283"/>
        <v>0</v>
      </c>
      <c r="BX7591">
        <f t="shared" si="283"/>
        <v>0</v>
      </c>
      <c r="BY7591">
        <f t="shared" si="283"/>
        <v>0</v>
      </c>
      <c r="BZ7591">
        <f t="shared" si="283"/>
        <v>0</v>
      </c>
      <c r="CA7591">
        <f t="shared" si="283"/>
        <v>0</v>
      </c>
      <c r="CB7591">
        <f t="shared" si="283"/>
        <v>0</v>
      </c>
      <c r="CC7591">
        <f t="shared" si="283"/>
        <v>0</v>
      </c>
      <c r="CD7591">
        <f t="shared" si="283"/>
        <v>0</v>
      </c>
      <c r="CE7591">
        <f t="shared" si="283"/>
        <v>0</v>
      </c>
      <c r="CF7591">
        <f t="shared" si="283"/>
        <v>0</v>
      </c>
      <c r="CG7591">
        <f t="shared" si="283"/>
        <v>0</v>
      </c>
      <c r="CH7591">
        <f t="shared" si="283"/>
        <v>0</v>
      </c>
      <c r="CI7591">
        <f t="shared" si="283"/>
        <v>0</v>
      </c>
      <c r="CJ7591">
        <f t="shared" si="283"/>
        <v>0</v>
      </c>
      <c r="CK7591">
        <f t="shared" si="283"/>
        <v>0</v>
      </c>
      <c r="CL7591">
        <f t="shared" si="283"/>
        <v>0</v>
      </c>
      <c r="CM7591">
        <f t="shared" si="283"/>
        <v>0</v>
      </c>
      <c r="CN7591">
        <f t="shared" si="283"/>
        <v>0</v>
      </c>
      <c r="CO7591">
        <f t="shared" si="283"/>
        <v>0</v>
      </c>
      <c r="CP7591">
        <f t="shared" si="283"/>
        <v>0</v>
      </c>
      <c r="CQ7591">
        <f t="shared" si="283"/>
        <v>0</v>
      </c>
      <c r="CR7591">
        <f t="shared" si="283"/>
        <v>0</v>
      </c>
      <c r="CS7591">
        <f t="shared" si="283"/>
        <v>0</v>
      </c>
      <c r="CT7591">
        <f t="shared" si="283"/>
        <v>0</v>
      </c>
      <c r="CU7591">
        <f t="shared" si="283"/>
        <v>0</v>
      </c>
      <c r="CV7591">
        <f t="shared" si="283"/>
        <v>0</v>
      </c>
      <c r="CW7591">
        <f t="shared" si="283"/>
        <v>0</v>
      </c>
      <c r="CX7591">
        <f t="shared" si="283"/>
        <v>0</v>
      </c>
    </row>
    <row r="7592" spans="1:102">
      <c r="A7592" s="2"/>
      <c r="AY7592">
        <v>47</v>
      </c>
      <c r="AZ7592" s="2"/>
      <c r="BC7592">
        <f t="shared" ref="BC7592:CX7592" si="284">COUNTIF(B$3:B$7503,"47")</f>
        <v>0</v>
      </c>
      <c r="BD7592">
        <f t="shared" si="284"/>
        <v>0</v>
      </c>
      <c r="BE7592">
        <f t="shared" si="284"/>
        <v>0</v>
      </c>
      <c r="BF7592">
        <f t="shared" si="284"/>
        <v>0</v>
      </c>
      <c r="BG7592">
        <f t="shared" si="284"/>
        <v>0</v>
      </c>
      <c r="BH7592">
        <f t="shared" si="284"/>
        <v>0</v>
      </c>
      <c r="BI7592">
        <f t="shared" si="284"/>
        <v>0</v>
      </c>
      <c r="BJ7592">
        <f t="shared" si="284"/>
        <v>0</v>
      </c>
      <c r="BK7592">
        <f t="shared" si="284"/>
        <v>22</v>
      </c>
      <c r="BL7592">
        <f t="shared" si="284"/>
        <v>0</v>
      </c>
      <c r="BM7592">
        <f t="shared" si="284"/>
        <v>0</v>
      </c>
      <c r="BN7592">
        <f t="shared" si="284"/>
        <v>0</v>
      </c>
      <c r="BO7592">
        <f t="shared" si="284"/>
        <v>0</v>
      </c>
      <c r="BP7592">
        <f t="shared" si="284"/>
        <v>0</v>
      </c>
      <c r="BQ7592">
        <f t="shared" si="284"/>
        <v>0</v>
      </c>
      <c r="BR7592">
        <f t="shared" si="284"/>
        <v>0</v>
      </c>
      <c r="BS7592">
        <f t="shared" si="284"/>
        <v>0</v>
      </c>
      <c r="BT7592">
        <f t="shared" si="284"/>
        <v>0</v>
      </c>
      <c r="BU7592">
        <f t="shared" si="284"/>
        <v>0</v>
      </c>
      <c r="BV7592">
        <f t="shared" si="284"/>
        <v>0</v>
      </c>
      <c r="BW7592">
        <f t="shared" si="284"/>
        <v>0</v>
      </c>
      <c r="BX7592">
        <f t="shared" si="284"/>
        <v>0</v>
      </c>
      <c r="BY7592">
        <f t="shared" si="284"/>
        <v>0</v>
      </c>
      <c r="BZ7592">
        <f t="shared" si="284"/>
        <v>0</v>
      </c>
      <c r="CA7592">
        <f t="shared" si="284"/>
        <v>0</v>
      </c>
      <c r="CB7592">
        <f t="shared" si="284"/>
        <v>0</v>
      </c>
      <c r="CC7592">
        <f t="shared" si="284"/>
        <v>0</v>
      </c>
      <c r="CD7592">
        <f t="shared" si="284"/>
        <v>0</v>
      </c>
      <c r="CE7592">
        <f t="shared" si="284"/>
        <v>0</v>
      </c>
      <c r="CF7592">
        <f t="shared" si="284"/>
        <v>0</v>
      </c>
      <c r="CG7592">
        <f t="shared" si="284"/>
        <v>0</v>
      </c>
      <c r="CH7592">
        <f t="shared" si="284"/>
        <v>0</v>
      </c>
      <c r="CI7592">
        <f t="shared" si="284"/>
        <v>0</v>
      </c>
      <c r="CJ7592">
        <f t="shared" si="284"/>
        <v>0</v>
      </c>
      <c r="CK7592">
        <f t="shared" si="284"/>
        <v>0</v>
      </c>
      <c r="CL7592">
        <f t="shared" si="284"/>
        <v>0</v>
      </c>
      <c r="CM7592">
        <f t="shared" si="284"/>
        <v>0</v>
      </c>
      <c r="CN7592">
        <f t="shared" si="284"/>
        <v>0</v>
      </c>
      <c r="CO7592">
        <f t="shared" si="284"/>
        <v>0</v>
      </c>
      <c r="CP7592">
        <f t="shared" si="284"/>
        <v>0</v>
      </c>
      <c r="CQ7592">
        <f t="shared" si="284"/>
        <v>0</v>
      </c>
      <c r="CR7592">
        <f t="shared" si="284"/>
        <v>0</v>
      </c>
      <c r="CS7592">
        <f t="shared" si="284"/>
        <v>0</v>
      </c>
      <c r="CT7592">
        <f t="shared" si="284"/>
        <v>0</v>
      </c>
      <c r="CU7592">
        <f t="shared" si="284"/>
        <v>0</v>
      </c>
      <c r="CV7592">
        <f t="shared" si="284"/>
        <v>0</v>
      </c>
      <c r="CW7592">
        <f t="shared" si="284"/>
        <v>0</v>
      </c>
      <c r="CX7592">
        <f t="shared" si="284"/>
        <v>0</v>
      </c>
    </row>
    <row r="7593" spans="1:102">
      <c r="A7593" s="2"/>
      <c r="AY7593">
        <v>48</v>
      </c>
      <c r="AZ7593" s="2"/>
      <c r="BC7593">
        <f t="shared" ref="BC7593:CX7593" si="285">COUNTIF(B$3:B$7503,"48")</f>
        <v>0</v>
      </c>
      <c r="BD7593">
        <f t="shared" si="285"/>
        <v>0</v>
      </c>
      <c r="BE7593">
        <f t="shared" si="285"/>
        <v>0</v>
      </c>
      <c r="BF7593">
        <f t="shared" si="285"/>
        <v>0</v>
      </c>
      <c r="BG7593">
        <f t="shared" si="285"/>
        <v>0</v>
      </c>
      <c r="BH7593">
        <f t="shared" si="285"/>
        <v>0</v>
      </c>
      <c r="BI7593">
        <f t="shared" si="285"/>
        <v>0</v>
      </c>
      <c r="BJ7593">
        <f t="shared" si="285"/>
        <v>0</v>
      </c>
      <c r="BK7593">
        <f t="shared" si="285"/>
        <v>5</v>
      </c>
      <c r="BL7593">
        <f t="shared" si="285"/>
        <v>0</v>
      </c>
      <c r="BM7593">
        <f t="shared" si="285"/>
        <v>0</v>
      </c>
      <c r="BN7593">
        <f t="shared" si="285"/>
        <v>0</v>
      </c>
      <c r="BO7593">
        <f t="shared" si="285"/>
        <v>0</v>
      </c>
      <c r="BP7593">
        <f t="shared" si="285"/>
        <v>0</v>
      </c>
      <c r="BQ7593">
        <f t="shared" si="285"/>
        <v>0</v>
      </c>
      <c r="BR7593">
        <f t="shared" si="285"/>
        <v>0</v>
      </c>
      <c r="BS7593">
        <f t="shared" si="285"/>
        <v>0</v>
      </c>
      <c r="BT7593">
        <f t="shared" si="285"/>
        <v>0</v>
      </c>
      <c r="BU7593">
        <f t="shared" si="285"/>
        <v>0</v>
      </c>
      <c r="BV7593">
        <f t="shared" si="285"/>
        <v>0</v>
      </c>
      <c r="BW7593">
        <f t="shared" si="285"/>
        <v>0</v>
      </c>
      <c r="BX7593">
        <f t="shared" si="285"/>
        <v>0</v>
      </c>
      <c r="BY7593">
        <f t="shared" si="285"/>
        <v>0</v>
      </c>
      <c r="BZ7593">
        <f t="shared" si="285"/>
        <v>0</v>
      </c>
      <c r="CA7593">
        <f t="shared" si="285"/>
        <v>0</v>
      </c>
      <c r="CB7593">
        <f t="shared" si="285"/>
        <v>0</v>
      </c>
      <c r="CC7593">
        <f t="shared" si="285"/>
        <v>0</v>
      </c>
      <c r="CD7593">
        <f t="shared" si="285"/>
        <v>0</v>
      </c>
      <c r="CE7593">
        <f t="shared" si="285"/>
        <v>0</v>
      </c>
      <c r="CF7593">
        <f t="shared" si="285"/>
        <v>0</v>
      </c>
      <c r="CG7593">
        <f t="shared" si="285"/>
        <v>0</v>
      </c>
      <c r="CH7593">
        <f t="shared" si="285"/>
        <v>0</v>
      </c>
      <c r="CI7593">
        <f t="shared" si="285"/>
        <v>0</v>
      </c>
      <c r="CJ7593">
        <f t="shared" si="285"/>
        <v>0</v>
      </c>
      <c r="CK7593">
        <f t="shared" si="285"/>
        <v>0</v>
      </c>
      <c r="CL7593">
        <f t="shared" si="285"/>
        <v>0</v>
      </c>
      <c r="CM7593">
        <f t="shared" si="285"/>
        <v>0</v>
      </c>
      <c r="CN7593">
        <f t="shared" si="285"/>
        <v>0</v>
      </c>
      <c r="CO7593">
        <f t="shared" si="285"/>
        <v>0</v>
      </c>
      <c r="CP7593">
        <f t="shared" si="285"/>
        <v>0</v>
      </c>
      <c r="CQ7593">
        <f t="shared" si="285"/>
        <v>0</v>
      </c>
      <c r="CR7593">
        <f t="shared" si="285"/>
        <v>0</v>
      </c>
      <c r="CS7593">
        <f t="shared" si="285"/>
        <v>0</v>
      </c>
      <c r="CT7593">
        <f t="shared" si="285"/>
        <v>0</v>
      </c>
      <c r="CU7593">
        <f t="shared" si="285"/>
        <v>0</v>
      </c>
      <c r="CV7593">
        <f t="shared" si="285"/>
        <v>0</v>
      </c>
      <c r="CW7593">
        <f t="shared" si="285"/>
        <v>0</v>
      </c>
      <c r="CX7593">
        <f t="shared" si="285"/>
        <v>0</v>
      </c>
    </row>
    <row r="7594" spans="1:102">
      <c r="A7594" s="2"/>
      <c r="AY7594">
        <v>49</v>
      </c>
      <c r="AZ7594" s="2"/>
      <c r="BC7594">
        <f t="shared" ref="BC7594:CX7594" si="286">COUNTIF(B$3:B$7503,"49")</f>
        <v>0</v>
      </c>
      <c r="BD7594">
        <f t="shared" si="286"/>
        <v>0</v>
      </c>
      <c r="BE7594">
        <f t="shared" si="286"/>
        <v>0</v>
      </c>
      <c r="BF7594">
        <f t="shared" si="286"/>
        <v>0</v>
      </c>
      <c r="BG7594">
        <f t="shared" si="286"/>
        <v>0</v>
      </c>
      <c r="BH7594">
        <f t="shared" si="286"/>
        <v>0</v>
      </c>
      <c r="BI7594">
        <f t="shared" si="286"/>
        <v>0</v>
      </c>
      <c r="BJ7594">
        <f t="shared" si="286"/>
        <v>0</v>
      </c>
      <c r="BK7594">
        <f t="shared" si="286"/>
        <v>21</v>
      </c>
      <c r="BL7594">
        <f t="shared" si="286"/>
        <v>0</v>
      </c>
      <c r="BM7594">
        <f t="shared" si="286"/>
        <v>0</v>
      </c>
      <c r="BN7594">
        <f t="shared" si="286"/>
        <v>0</v>
      </c>
      <c r="BO7594">
        <f t="shared" si="286"/>
        <v>0</v>
      </c>
      <c r="BP7594">
        <f t="shared" si="286"/>
        <v>0</v>
      </c>
      <c r="BQ7594">
        <f t="shared" si="286"/>
        <v>0</v>
      </c>
      <c r="BR7594">
        <f t="shared" si="286"/>
        <v>0</v>
      </c>
      <c r="BS7594">
        <f t="shared" si="286"/>
        <v>0</v>
      </c>
      <c r="BT7594">
        <f t="shared" si="286"/>
        <v>0</v>
      </c>
      <c r="BU7594">
        <f t="shared" si="286"/>
        <v>0</v>
      </c>
      <c r="BV7594">
        <f t="shared" si="286"/>
        <v>0</v>
      </c>
      <c r="BW7594">
        <f t="shared" si="286"/>
        <v>0</v>
      </c>
      <c r="BX7594">
        <f t="shared" si="286"/>
        <v>0</v>
      </c>
      <c r="BY7594">
        <f t="shared" si="286"/>
        <v>0</v>
      </c>
      <c r="BZ7594">
        <f t="shared" si="286"/>
        <v>0</v>
      </c>
      <c r="CA7594">
        <f t="shared" si="286"/>
        <v>0</v>
      </c>
      <c r="CB7594">
        <f t="shared" si="286"/>
        <v>0</v>
      </c>
      <c r="CC7594">
        <f t="shared" si="286"/>
        <v>0</v>
      </c>
      <c r="CD7594">
        <f t="shared" si="286"/>
        <v>0</v>
      </c>
      <c r="CE7594">
        <f t="shared" si="286"/>
        <v>0</v>
      </c>
      <c r="CF7594">
        <f t="shared" si="286"/>
        <v>0</v>
      </c>
      <c r="CG7594">
        <f t="shared" si="286"/>
        <v>0</v>
      </c>
      <c r="CH7594">
        <f t="shared" si="286"/>
        <v>0</v>
      </c>
      <c r="CI7594">
        <f t="shared" si="286"/>
        <v>0</v>
      </c>
      <c r="CJ7594">
        <f t="shared" si="286"/>
        <v>0</v>
      </c>
      <c r="CK7594">
        <f t="shared" si="286"/>
        <v>0</v>
      </c>
      <c r="CL7594">
        <f t="shared" si="286"/>
        <v>0</v>
      </c>
      <c r="CM7594">
        <f t="shared" si="286"/>
        <v>0</v>
      </c>
      <c r="CN7594">
        <f t="shared" si="286"/>
        <v>0</v>
      </c>
      <c r="CO7594">
        <f t="shared" si="286"/>
        <v>0</v>
      </c>
      <c r="CP7594">
        <f t="shared" si="286"/>
        <v>0</v>
      </c>
      <c r="CQ7594">
        <f t="shared" si="286"/>
        <v>0</v>
      </c>
      <c r="CR7594">
        <f t="shared" si="286"/>
        <v>0</v>
      </c>
      <c r="CS7594">
        <f t="shared" si="286"/>
        <v>0</v>
      </c>
      <c r="CT7594">
        <f t="shared" si="286"/>
        <v>0</v>
      </c>
      <c r="CU7594">
        <f t="shared" si="286"/>
        <v>0</v>
      </c>
      <c r="CV7594">
        <f t="shared" si="286"/>
        <v>0</v>
      </c>
      <c r="CW7594">
        <f t="shared" si="286"/>
        <v>0</v>
      </c>
      <c r="CX7594">
        <f t="shared" si="286"/>
        <v>0</v>
      </c>
    </row>
    <row r="7595" spans="1:102">
      <c r="A7595" s="2"/>
      <c r="AY7595">
        <v>50</v>
      </c>
      <c r="AZ7595" s="2"/>
      <c r="BC7595">
        <f t="shared" ref="BC7595:CX7595" si="287">COUNTIF(B$3:B$7503,"50")</f>
        <v>0</v>
      </c>
      <c r="BD7595">
        <f t="shared" si="287"/>
        <v>0</v>
      </c>
      <c r="BE7595">
        <f t="shared" si="287"/>
        <v>0</v>
      </c>
      <c r="BF7595">
        <f t="shared" si="287"/>
        <v>0</v>
      </c>
      <c r="BG7595">
        <f t="shared" si="287"/>
        <v>0</v>
      </c>
      <c r="BH7595">
        <f t="shared" si="287"/>
        <v>0</v>
      </c>
      <c r="BI7595">
        <f t="shared" si="287"/>
        <v>0</v>
      </c>
      <c r="BJ7595">
        <f t="shared" si="287"/>
        <v>0</v>
      </c>
      <c r="BK7595">
        <f t="shared" si="287"/>
        <v>35</v>
      </c>
      <c r="BL7595">
        <f t="shared" si="287"/>
        <v>0</v>
      </c>
      <c r="BM7595">
        <f t="shared" si="287"/>
        <v>0</v>
      </c>
      <c r="BN7595">
        <f t="shared" si="287"/>
        <v>0</v>
      </c>
      <c r="BO7595">
        <f t="shared" si="287"/>
        <v>0</v>
      </c>
      <c r="BP7595">
        <f t="shared" si="287"/>
        <v>0</v>
      </c>
      <c r="BQ7595">
        <f t="shared" si="287"/>
        <v>0</v>
      </c>
      <c r="BR7595">
        <f t="shared" si="287"/>
        <v>0</v>
      </c>
      <c r="BS7595">
        <f t="shared" si="287"/>
        <v>0</v>
      </c>
      <c r="BT7595">
        <f t="shared" si="287"/>
        <v>0</v>
      </c>
      <c r="BU7595">
        <f t="shared" si="287"/>
        <v>0</v>
      </c>
      <c r="BV7595">
        <f t="shared" si="287"/>
        <v>0</v>
      </c>
      <c r="BW7595">
        <f t="shared" si="287"/>
        <v>0</v>
      </c>
      <c r="BX7595">
        <f t="shared" si="287"/>
        <v>0</v>
      </c>
      <c r="BY7595">
        <f t="shared" si="287"/>
        <v>0</v>
      </c>
      <c r="BZ7595">
        <f t="shared" si="287"/>
        <v>0</v>
      </c>
      <c r="CA7595">
        <f t="shared" si="287"/>
        <v>0</v>
      </c>
      <c r="CB7595">
        <f t="shared" si="287"/>
        <v>0</v>
      </c>
      <c r="CC7595">
        <f t="shared" si="287"/>
        <v>0</v>
      </c>
      <c r="CD7595">
        <f t="shared" si="287"/>
        <v>0</v>
      </c>
      <c r="CE7595">
        <f t="shared" si="287"/>
        <v>0</v>
      </c>
      <c r="CF7595">
        <f t="shared" si="287"/>
        <v>0</v>
      </c>
      <c r="CG7595">
        <f t="shared" si="287"/>
        <v>0</v>
      </c>
      <c r="CH7595">
        <f t="shared" si="287"/>
        <v>0</v>
      </c>
      <c r="CI7595">
        <f t="shared" si="287"/>
        <v>0</v>
      </c>
      <c r="CJ7595">
        <f t="shared" si="287"/>
        <v>0</v>
      </c>
      <c r="CK7595">
        <f t="shared" si="287"/>
        <v>0</v>
      </c>
      <c r="CL7595">
        <f t="shared" si="287"/>
        <v>0</v>
      </c>
      <c r="CM7595">
        <f t="shared" si="287"/>
        <v>0</v>
      </c>
      <c r="CN7595">
        <f t="shared" si="287"/>
        <v>0</v>
      </c>
      <c r="CO7595">
        <f t="shared" si="287"/>
        <v>0</v>
      </c>
      <c r="CP7595">
        <f t="shared" si="287"/>
        <v>0</v>
      </c>
      <c r="CQ7595">
        <f t="shared" si="287"/>
        <v>0</v>
      </c>
      <c r="CR7595">
        <f t="shared" si="287"/>
        <v>0</v>
      </c>
      <c r="CS7595">
        <f t="shared" si="287"/>
        <v>0</v>
      </c>
      <c r="CT7595">
        <f t="shared" si="287"/>
        <v>0</v>
      </c>
      <c r="CU7595">
        <f t="shared" si="287"/>
        <v>0</v>
      </c>
      <c r="CV7595">
        <f t="shared" si="287"/>
        <v>0</v>
      </c>
      <c r="CW7595">
        <f t="shared" si="287"/>
        <v>0</v>
      </c>
      <c r="CX7595">
        <f t="shared" si="287"/>
        <v>0</v>
      </c>
    </row>
    <row r="7596" spans="1:102">
      <c r="A7596" s="2"/>
      <c r="AY7596">
        <v>51</v>
      </c>
      <c r="AZ7596" s="2"/>
      <c r="BC7596">
        <f t="shared" ref="BC7596:CX7596" si="288">COUNTIF(B$3:B$7503,"51")</f>
        <v>0</v>
      </c>
      <c r="BD7596">
        <f t="shared" si="288"/>
        <v>0</v>
      </c>
      <c r="BE7596">
        <f t="shared" si="288"/>
        <v>0</v>
      </c>
      <c r="BF7596">
        <f t="shared" si="288"/>
        <v>0</v>
      </c>
      <c r="BG7596">
        <f t="shared" si="288"/>
        <v>0</v>
      </c>
      <c r="BH7596">
        <f t="shared" si="288"/>
        <v>0</v>
      </c>
      <c r="BI7596">
        <f t="shared" si="288"/>
        <v>0</v>
      </c>
      <c r="BJ7596">
        <f t="shared" si="288"/>
        <v>0</v>
      </c>
      <c r="BK7596">
        <f t="shared" si="288"/>
        <v>41</v>
      </c>
      <c r="BL7596">
        <f t="shared" si="288"/>
        <v>0</v>
      </c>
      <c r="BM7596">
        <f t="shared" si="288"/>
        <v>0</v>
      </c>
      <c r="BN7596">
        <f t="shared" si="288"/>
        <v>0</v>
      </c>
      <c r="BO7596">
        <f t="shared" si="288"/>
        <v>0</v>
      </c>
      <c r="BP7596">
        <f t="shared" si="288"/>
        <v>0</v>
      </c>
      <c r="BQ7596">
        <f t="shared" si="288"/>
        <v>0</v>
      </c>
      <c r="BR7596">
        <f t="shared" si="288"/>
        <v>0</v>
      </c>
      <c r="BS7596">
        <f t="shared" si="288"/>
        <v>0</v>
      </c>
      <c r="BT7596">
        <f t="shared" si="288"/>
        <v>0</v>
      </c>
      <c r="BU7596">
        <f t="shared" si="288"/>
        <v>0</v>
      </c>
      <c r="BV7596">
        <f t="shared" si="288"/>
        <v>0</v>
      </c>
      <c r="BW7596">
        <f t="shared" si="288"/>
        <v>0</v>
      </c>
      <c r="BX7596">
        <f t="shared" si="288"/>
        <v>0</v>
      </c>
      <c r="BY7596">
        <f t="shared" si="288"/>
        <v>0</v>
      </c>
      <c r="BZ7596">
        <f t="shared" si="288"/>
        <v>0</v>
      </c>
      <c r="CA7596">
        <f t="shared" si="288"/>
        <v>0</v>
      </c>
      <c r="CB7596">
        <f t="shared" si="288"/>
        <v>0</v>
      </c>
      <c r="CC7596">
        <f t="shared" si="288"/>
        <v>0</v>
      </c>
      <c r="CD7596">
        <f t="shared" si="288"/>
        <v>0</v>
      </c>
      <c r="CE7596">
        <f t="shared" si="288"/>
        <v>0</v>
      </c>
      <c r="CF7596">
        <f t="shared" si="288"/>
        <v>0</v>
      </c>
      <c r="CG7596">
        <f t="shared" si="288"/>
        <v>0</v>
      </c>
      <c r="CH7596">
        <f t="shared" si="288"/>
        <v>0</v>
      </c>
      <c r="CI7596">
        <f t="shared" si="288"/>
        <v>0</v>
      </c>
      <c r="CJ7596">
        <f t="shared" si="288"/>
        <v>0</v>
      </c>
      <c r="CK7596">
        <f t="shared" si="288"/>
        <v>0</v>
      </c>
      <c r="CL7596">
        <f t="shared" si="288"/>
        <v>0</v>
      </c>
      <c r="CM7596">
        <f t="shared" si="288"/>
        <v>0</v>
      </c>
      <c r="CN7596">
        <f t="shared" si="288"/>
        <v>0</v>
      </c>
      <c r="CO7596">
        <f t="shared" si="288"/>
        <v>0</v>
      </c>
      <c r="CP7596">
        <f t="shared" si="288"/>
        <v>0</v>
      </c>
      <c r="CQ7596">
        <f t="shared" si="288"/>
        <v>0</v>
      </c>
      <c r="CR7596">
        <f t="shared" si="288"/>
        <v>0</v>
      </c>
      <c r="CS7596">
        <f t="shared" si="288"/>
        <v>0</v>
      </c>
      <c r="CT7596">
        <f t="shared" si="288"/>
        <v>0</v>
      </c>
      <c r="CU7596">
        <f t="shared" si="288"/>
        <v>0</v>
      </c>
      <c r="CV7596">
        <f t="shared" si="288"/>
        <v>0</v>
      </c>
      <c r="CW7596">
        <f t="shared" si="288"/>
        <v>0</v>
      </c>
      <c r="CX7596">
        <f t="shared" si="288"/>
        <v>0</v>
      </c>
    </row>
    <row r="7597" spans="1:102">
      <c r="A7597" s="2"/>
      <c r="AY7597">
        <v>52</v>
      </c>
      <c r="AZ7597" s="2"/>
      <c r="BC7597">
        <f t="shared" ref="BC7597:CX7597" si="289">COUNTIF(B$3:B$7503,"52")</f>
        <v>0</v>
      </c>
      <c r="BD7597">
        <f t="shared" si="289"/>
        <v>0</v>
      </c>
      <c r="BE7597">
        <f t="shared" si="289"/>
        <v>0</v>
      </c>
      <c r="BF7597">
        <f t="shared" si="289"/>
        <v>0</v>
      </c>
      <c r="BG7597">
        <f t="shared" si="289"/>
        <v>0</v>
      </c>
      <c r="BH7597">
        <f t="shared" si="289"/>
        <v>0</v>
      </c>
      <c r="BI7597">
        <f t="shared" si="289"/>
        <v>0</v>
      </c>
      <c r="BJ7597">
        <f t="shared" si="289"/>
        <v>0</v>
      </c>
      <c r="BK7597">
        <f t="shared" si="289"/>
        <v>34</v>
      </c>
      <c r="BL7597">
        <f t="shared" si="289"/>
        <v>0</v>
      </c>
      <c r="BM7597">
        <f t="shared" si="289"/>
        <v>0</v>
      </c>
      <c r="BN7597">
        <f t="shared" si="289"/>
        <v>0</v>
      </c>
      <c r="BO7597">
        <f t="shared" si="289"/>
        <v>0</v>
      </c>
      <c r="BP7597">
        <f t="shared" si="289"/>
        <v>0</v>
      </c>
      <c r="BQ7597">
        <f t="shared" si="289"/>
        <v>0</v>
      </c>
      <c r="BR7597">
        <f t="shared" si="289"/>
        <v>0</v>
      </c>
      <c r="BS7597">
        <f t="shared" si="289"/>
        <v>0</v>
      </c>
      <c r="BT7597">
        <f t="shared" si="289"/>
        <v>0</v>
      </c>
      <c r="BU7597">
        <f t="shared" si="289"/>
        <v>0</v>
      </c>
      <c r="BV7597">
        <f t="shared" si="289"/>
        <v>0</v>
      </c>
      <c r="BW7597">
        <f t="shared" si="289"/>
        <v>0</v>
      </c>
      <c r="BX7597">
        <f t="shared" si="289"/>
        <v>0</v>
      </c>
      <c r="BY7597">
        <f t="shared" si="289"/>
        <v>0</v>
      </c>
      <c r="BZ7597">
        <f t="shared" si="289"/>
        <v>0</v>
      </c>
      <c r="CA7597">
        <f t="shared" si="289"/>
        <v>0</v>
      </c>
      <c r="CB7597">
        <f t="shared" si="289"/>
        <v>0</v>
      </c>
      <c r="CC7597">
        <f t="shared" si="289"/>
        <v>0</v>
      </c>
      <c r="CD7597">
        <f t="shared" si="289"/>
        <v>0</v>
      </c>
      <c r="CE7597">
        <f t="shared" si="289"/>
        <v>0</v>
      </c>
      <c r="CF7597">
        <f t="shared" si="289"/>
        <v>0</v>
      </c>
      <c r="CG7597">
        <f t="shared" si="289"/>
        <v>0</v>
      </c>
      <c r="CH7597">
        <f t="shared" si="289"/>
        <v>0</v>
      </c>
      <c r="CI7597">
        <f t="shared" si="289"/>
        <v>0</v>
      </c>
      <c r="CJ7597">
        <f t="shared" si="289"/>
        <v>0</v>
      </c>
      <c r="CK7597">
        <f t="shared" si="289"/>
        <v>0</v>
      </c>
      <c r="CL7597">
        <f t="shared" si="289"/>
        <v>0</v>
      </c>
      <c r="CM7597">
        <f t="shared" si="289"/>
        <v>0</v>
      </c>
      <c r="CN7597">
        <f t="shared" si="289"/>
        <v>0</v>
      </c>
      <c r="CO7597">
        <f t="shared" si="289"/>
        <v>0</v>
      </c>
      <c r="CP7597">
        <f t="shared" si="289"/>
        <v>0</v>
      </c>
      <c r="CQ7597">
        <f t="shared" si="289"/>
        <v>0</v>
      </c>
      <c r="CR7597">
        <f t="shared" si="289"/>
        <v>0</v>
      </c>
      <c r="CS7597">
        <f t="shared" si="289"/>
        <v>0</v>
      </c>
      <c r="CT7597">
        <f t="shared" si="289"/>
        <v>0</v>
      </c>
      <c r="CU7597">
        <f t="shared" si="289"/>
        <v>0</v>
      </c>
      <c r="CV7597">
        <f t="shared" si="289"/>
        <v>0</v>
      </c>
      <c r="CW7597">
        <f t="shared" si="289"/>
        <v>0</v>
      </c>
      <c r="CX7597">
        <f t="shared" si="289"/>
        <v>0</v>
      </c>
    </row>
    <row r="7598" spans="1:102">
      <c r="A7598" s="2"/>
      <c r="AY7598">
        <v>53</v>
      </c>
      <c r="AZ7598" s="2"/>
      <c r="BC7598">
        <f t="shared" ref="BC7598:CX7598" si="290">COUNTIF(B$3:B$7503,"53")</f>
        <v>0</v>
      </c>
      <c r="BD7598">
        <f t="shared" si="290"/>
        <v>0</v>
      </c>
      <c r="BE7598">
        <f t="shared" si="290"/>
        <v>0</v>
      </c>
      <c r="BF7598">
        <f t="shared" si="290"/>
        <v>0</v>
      </c>
      <c r="BG7598">
        <f t="shared" si="290"/>
        <v>0</v>
      </c>
      <c r="BH7598">
        <f t="shared" si="290"/>
        <v>0</v>
      </c>
      <c r="BI7598">
        <f t="shared" si="290"/>
        <v>0</v>
      </c>
      <c r="BJ7598">
        <f t="shared" si="290"/>
        <v>0</v>
      </c>
      <c r="BK7598">
        <f t="shared" si="290"/>
        <v>11</v>
      </c>
      <c r="BL7598">
        <f t="shared" si="290"/>
        <v>0</v>
      </c>
      <c r="BM7598">
        <f t="shared" si="290"/>
        <v>0</v>
      </c>
      <c r="BN7598">
        <f t="shared" si="290"/>
        <v>0</v>
      </c>
      <c r="BO7598">
        <f t="shared" si="290"/>
        <v>0</v>
      </c>
      <c r="BP7598">
        <f t="shared" si="290"/>
        <v>0</v>
      </c>
      <c r="BQ7598">
        <f t="shared" si="290"/>
        <v>0</v>
      </c>
      <c r="BR7598">
        <f t="shared" si="290"/>
        <v>0</v>
      </c>
      <c r="BS7598">
        <f t="shared" si="290"/>
        <v>0</v>
      </c>
      <c r="BT7598">
        <f t="shared" si="290"/>
        <v>0</v>
      </c>
      <c r="BU7598">
        <f t="shared" si="290"/>
        <v>0</v>
      </c>
      <c r="BV7598">
        <f t="shared" si="290"/>
        <v>0</v>
      </c>
      <c r="BW7598">
        <f t="shared" si="290"/>
        <v>0</v>
      </c>
      <c r="BX7598">
        <f t="shared" si="290"/>
        <v>0</v>
      </c>
      <c r="BY7598">
        <f t="shared" si="290"/>
        <v>0</v>
      </c>
      <c r="BZ7598">
        <f t="shared" si="290"/>
        <v>0</v>
      </c>
      <c r="CA7598">
        <f t="shared" si="290"/>
        <v>0</v>
      </c>
      <c r="CB7598">
        <f t="shared" si="290"/>
        <v>0</v>
      </c>
      <c r="CC7598">
        <f t="shared" si="290"/>
        <v>0</v>
      </c>
      <c r="CD7598">
        <f t="shared" si="290"/>
        <v>0</v>
      </c>
      <c r="CE7598">
        <f t="shared" si="290"/>
        <v>0</v>
      </c>
      <c r="CF7598">
        <f t="shared" si="290"/>
        <v>0</v>
      </c>
      <c r="CG7598">
        <f t="shared" si="290"/>
        <v>0</v>
      </c>
      <c r="CH7598">
        <f t="shared" si="290"/>
        <v>0</v>
      </c>
      <c r="CI7598">
        <f t="shared" si="290"/>
        <v>0</v>
      </c>
      <c r="CJ7598">
        <f t="shared" si="290"/>
        <v>0</v>
      </c>
      <c r="CK7598">
        <f t="shared" si="290"/>
        <v>0</v>
      </c>
      <c r="CL7598">
        <f t="shared" si="290"/>
        <v>0</v>
      </c>
      <c r="CM7598">
        <f t="shared" si="290"/>
        <v>0</v>
      </c>
      <c r="CN7598">
        <f t="shared" si="290"/>
        <v>0</v>
      </c>
      <c r="CO7598">
        <f t="shared" si="290"/>
        <v>0</v>
      </c>
      <c r="CP7598">
        <f t="shared" si="290"/>
        <v>0</v>
      </c>
      <c r="CQ7598">
        <f t="shared" si="290"/>
        <v>0</v>
      </c>
      <c r="CR7598">
        <f t="shared" si="290"/>
        <v>0</v>
      </c>
      <c r="CS7598">
        <f t="shared" si="290"/>
        <v>0</v>
      </c>
      <c r="CT7598">
        <f t="shared" si="290"/>
        <v>0</v>
      </c>
      <c r="CU7598">
        <f t="shared" si="290"/>
        <v>0</v>
      </c>
      <c r="CV7598">
        <f t="shared" si="290"/>
        <v>0</v>
      </c>
      <c r="CW7598">
        <f t="shared" si="290"/>
        <v>0</v>
      </c>
      <c r="CX7598">
        <f t="shared" si="290"/>
        <v>0</v>
      </c>
    </row>
    <row r="7599" spans="1:102">
      <c r="A7599" s="2"/>
      <c r="AY7599">
        <v>54</v>
      </c>
      <c r="AZ7599" s="2"/>
      <c r="BC7599">
        <f t="shared" ref="BC7599:CX7599" si="291">COUNTIF(B$3:B$7503,"54")</f>
        <v>0</v>
      </c>
      <c r="BD7599">
        <f t="shared" si="291"/>
        <v>0</v>
      </c>
      <c r="BE7599">
        <f t="shared" si="291"/>
        <v>0</v>
      </c>
      <c r="BF7599">
        <f t="shared" si="291"/>
        <v>0</v>
      </c>
      <c r="BG7599">
        <f t="shared" si="291"/>
        <v>0</v>
      </c>
      <c r="BH7599">
        <f t="shared" si="291"/>
        <v>0</v>
      </c>
      <c r="BI7599">
        <f t="shared" si="291"/>
        <v>0</v>
      </c>
      <c r="BJ7599">
        <f t="shared" si="291"/>
        <v>0</v>
      </c>
      <c r="BK7599">
        <f t="shared" si="291"/>
        <v>9</v>
      </c>
      <c r="BL7599">
        <f t="shared" si="291"/>
        <v>0</v>
      </c>
      <c r="BM7599">
        <f t="shared" si="291"/>
        <v>0</v>
      </c>
      <c r="BN7599">
        <f t="shared" si="291"/>
        <v>0</v>
      </c>
      <c r="BO7599">
        <f t="shared" si="291"/>
        <v>0</v>
      </c>
      <c r="BP7599">
        <f t="shared" si="291"/>
        <v>0</v>
      </c>
      <c r="BQ7599">
        <f t="shared" si="291"/>
        <v>0</v>
      </c>
      <c r="BR7599">
        <f t="shared" si="291"/>
        <v>0</v>
      </c>
      <c r="BS7599">
        <f t="shared" si="291"/>
        <v>0</v>
      </c>
      <c r="BT7599">
        <f t="shared" si="291"/>
        <v>0</v>
      </c>
      <c r="BU7599">
        <f t="shared" si="291"/>
        <v>0</v>
      </c>
      <c r="BV7599">
        <f t="shared" si="291"/>
        <v>0</v>
      </c>
      <c r="BW7599">
        <f t="shared" si="291"/>
        <v>0</v>
      </c>
      <c r="BX7599">
        <f t="shared" si="291"/>
        <v>0</v>
      </c>
      <c r="BY7599">
        <f t="shared" si="291"/>
        <v>0</v>
      </c>
      <c r="BZ7599">
        <f t="shared" si="291"/>
        <v>0</v>
      </c>
      <c r="CA7599">
        <f t="shared" si="291"/>
        <v>0</v>
      </c>
      <c r="CB7599">
        <f t="shared" si="291"/>
        <v>0</v>
      </c>
      <c r="CC7599">
        <f t="shared" si="291"/>
        <v>0</v>
      </c>
      <c r="CD7599">
        <f t="shared" si="291"/>
        <v>0</v>
      </c>
      <c r="CE7599">
        <f t="shared" si="291"/>
        <v>0</v>
      </c>
      <c r="CF7599">
        <f t="shared" si="291"/>
        <v>0</v>
      </c>
      <c r="CG7599">
        <f t="shared" si="291"/>
        <v>0</v>
      </c>
      <c r="CH7599">
        <f t="shared" si="291"/>
        <v>0</v>
      </c>
      <c r="CI7599">
        <f t="shared" si="291"/>
        <v>0</v>
      </c>
      <c r="CJ7599">
        <f t="shared" si="291"/>
        <v>0</v>
      </c>
      <c r="CK7599">
        <f t="shared" si="291"/>
        <v>0</v>
      </c>
      <c r="CL7599">
        <f t="shared" si="291"/>
        <v>0</v>
      </c>
      <c r="CM7599">
        <f t="shared" si="291"/>
        <v>0</v>
      </c>
      <c r="CN7599">
        <f t="shared" si="291"/>
        <v>0</v>
      </c>
      <c r="CO7599">
        <f t="shared" si="291"/>
        <v>0</v>
      </c>
      <c r="CP7599">
        <f t="shared" si="291"/>
        <v>0</v>
      </c>
      <c r="CQ7599">
        <f t="shared" si="291"/>
        <v>0</v>
      </c>
      <c r="CR7599">
        <f t="shared" si="291"/>
        <v>0</v>
      </c>
      <c r="CS7599">
        <f t="shared" si="291"/>
        <v>0</v>
      </c>
      <c r="CT7599">
        <f t="shared" si="291"/>
        <v>0</v>
      </c>
      <c r="CU7599">
        <f t="shared" si="291"/>
        <v>0</v>
      </c>
      <c r="CV7599">
        <f t="shared" si="291"/>
        <v>0</v>
      </c>
      <c r="CW7599">
        <f t="shared" si="291"/>
        <v>0</v>
      </c>
      <c r="CX7599">
        <f t="shared" si="291"/>
        <v>0</v>
      </c>
    </row>
    <row r="7600" spans="1:102">
      <c r="A7600" s="2"/>
      <c r="AY7600">
        <v>55</v>
      </c>
      <c r="AZ7600" s="2"/>
      <c r="BC7600">
        <f t="shared" ref="BC7600:CX7600" si="292">COUNTIF(B$3:B$7503,"55")</f>
        <v>0</v>
      </c>
      <c r="BD7600">
        <f t="shared" si="292"/>
        <v>0</v>
      </c>
      <c r="BE7600">
        <f t="shared" si="292"/>
        <v>0</v>
      </c>
      <c r="BF7600">
        <f t="shared" si="292"/>
        <v>0</v>
      </c>
      <c r="BG7600">
        <f t="shared" si="292"/>
        <v>0</v>
      </c>
      <c r="BH7600">
        <f t="shared" si="292"/>
        <v>0</v>
      </c>
      <c r="BI7600">
        <f t="shared" si="292"/>
        <v>0</v>
      </c>
      <c r="BJ7600">
        <f t="shared" si="292"/>
        <v>0</v>
      </c>
      <c r="BK7600">
        <f t="shared" si="292"/>
        <v>9</v>
      </c>
      <c r="BL7600">
        <f t="shared" si="292"/>
        <v>0</v>
      </c>
      <c r="BM7600">
        <f t="shared" si="292"/>
        <v>0</v>
      </c>
      <c r="BN7600">
        <f t="shared" si="292"/>
        <v>0</v>
      </c>
      <c r="BO7600">
        <f t="shared" si="292"/>
        <v>0</v>
      </c>
      <c r="BP7600">
        <f t="shared" si="292"/>
        <v>0</v>
      </c>
      <c r="BQ7600">
        <f t="shared" si="292"/>
        <v>0</v>
      </c>
      <c r="BR7600">
        <f t="shared" si="292"/>
        <v>0</v>
      </c>
      <c r="BS7600">
        <f t="shared" si="292"/>
        <v>0</v>
      </c>
      <c r="BT7600">
        <f t="shared" si="292"/>
        <v>0</v>
      </c>
      <c r="BU7600">
        <f t="shared" si="292"/>
        <v>0</v>
      </c>
      <c r="BV7600">
        <f t="shared" si="292"/>
        <v>0</v>
      </c>
      <c r="BW7600">
        <f t="shared" si="292"/>
        <v>0</v>
      </c>
      <c r="BX7600">
        <f t="shared" si="292"/>
        <v>0</v>
      </c>
      <c r="BY7600">
        <f t="shared" si="292"/>
        <v>0</v>
      </c>
      <c r="BZ7600">
        <f t="shared" si="292"/>
        <v>0</v>
      </c>
      <c r="CA7600">
        <f t="shared" si="292"/>
        <v>0</v>
      </c>
      <c r="CB7600">
        <f t="shared" si="292"/>
        <v>0</v>
      </c>
      <c r="CC7600">
        <f t="shared" si="292"/>
        <v>0</v>
      </c>
      <c r="CD7600">
        <f t="shared" si="292"/>
        <v>0</v>
      </c>
      <c r="CE7600">
        <f t="shared" si="292"/>
        <v>0</v>
      </c>
      <c r="CF7600">
        <f t="shared" si="292"/>
        <v>0</v>
      </c>
      <c r="CG7600">
        <f t="shared" si="292"/>
        <v>0</v>
      </c>
      <c r="CH7600">
        <f t="shared" si="292"/>
        <v>0</v>
      </c>
      <c r="CI7600">
        <f t="shared" si="292"/>
        <v>0</v>
      </c>
      <c r="CJ7600">
        <f t="shared" si="292"/>
        <v>0</v>
      </c>
      <c r="CK7600">
        <f t="shared" si="292"/>
        <v>0</v>
      </c>
      <c r="CL7600">
        <f t="shared" si="292"/>
        <v>0</v>
      </c>
      <c r="CM7600">
        <f t="shared" si="292"/>
        <v>0</v>
      </c>
      <c r="CN7600">
        <f t="shared" si="292"/>
        <v>0</v>
      </c>
      <c r="CO7600">
        <f t="shared" si="292"/>
        <v>0</v>
      </c>
      <c r="CP7600">
        <f t="shared" si="292"/>
        <v>0</v>
      </c>
      <c r="CQ7600">
        <f t="shared" si="292"/>
        <v>0</v>
      </c>
      <c r="CR7600">
        <f t="shared" si="292"/>
        <v>0</v>
      </c>
      <c r="CS7600">
        <f t="shared" si="292"/>
        <v>0</v>
      </c>
      <c r="CT7600">
        <f t="shared" si="292"/>
        <v>0</v>
      </c>
      <c r="CU7600">
        <f t="shared" si="292"/>
        <v>0</v>
      </c>
      <c r="CV7600">
        <f t="shared" si="292"/>
        <v>0</v>
      </c>
      <c r="CW7600">
        <f t="shared" si="292"/>
        <v>0</v>
      </c>
      <c r="CX7600">
        <f t="shared" si="292"/>
        <v>0</v>
      </c>
    </row>
    <row r="7601" spans="1:102">
      <c r="A7601" s="2"/>
      <c r="AY7601">
        <v>56</v>
      </c>
      <c r="AZ7601" s="2"/>
      <c r="BC7601">
        <f t="shared" ref="BC7601:CX7601" si="293">COUNTIF(B$3:B$7503,"56")</f>
        <v>0</v>
      </c>
      <c r="BD7601">
        <f t="shared" si="293"/>
        <v>0</v>
      </c>
      <c r="BE7601">
        <f t="shared" si="293"/>
        <v>0</v>
      </c>
      <c r="BF7601">
        <f t="shared" si="293"/>
        <v>0</v>
      </c>
      <c r="BG7601">
        <f t="shared" si="293"/>
        <v>0</v>
      </c>
      <c r="BH7601">
        <f t="shared" si="293"/>
        <v>0</v>
      </c>
      <c r="BI7601">
        <f t="shared" si="293"/>
        <v>0</v>
      </c>
      <c r="BJ7601">
        <f t="shared" si="293"/>
        <v>0</v>
      </c>
      <c r="BK7601">
        <f t="shared" si="293"/>
        <v>15</v>
      </c>
      <c r="BL7601">
        <f t="shared" si="293"/>
        <v>0</v>
      </c>
      <c r="BM7601">
        <f t="shared" si="293"/>
        <v>0</v>
      </c>
      <c r="BN7601">
        <f t="shared" si="293"/>
        <v>0</v>
      </c>
      <c r="BO7601">
        <f t="shared" si="293"/>
        <v>0</v>
      </c>
      <c r="BP7601">
        <f t="shared" si="293"/>
        <v>0</v>
      </c>
      <c r="BQ7601">
        <f t="shared" si="293"/>
        <v>0</v>
      </c>
      <c r="BR7601">
        <f t="shared" si="293"/>
        <v>0</v>
      </c>
      <c r="BS7601">
        <f t="shared" si="293"/>
        <v>0</v>
      </c>
      <c r="BT7601">
        <f t="shared" si="293"/>
        <v>0</v>
      </c>
      <c r="BU7601">
        <f t="shared" si="293"/>
        <v>0</v>
      </c>
      <c r="BV7601">
        <f t="shared" si="293"/>
        <v>0</v>
      </c>
      <c r="BW7601">
        <f t="shared" si="293"/>
        <v>0</v>
      </c>
      <c r="BX7601">
        <f t="shared" si="293"/>
        <v>0</v>
      </c>
      <c r="BY7601">
        <f t="shared" si="293"/>
        <v>0</v>
      </c>
      <c r="BZ7601">
        <f t="shared" si="293"/>
        <v>0</v>
      </c>
      <c r="CA7601">
        <f t="shared" si="293"/>
        <v>0</v>
      </c>
      <c r="CB7601">
        <f t="shared" si="293"/>
        <v>0</v>
      </c>
      <c r="CC7601">
        <f t="shared" si="293"/>
        <v>0</v>
      </c>
      <c r="CD7601">
        <f t="shared" si="293"/>
        <v>0</v>
      </c>
      <c r="CE7601">
        <f t="shared" si="293"/>
        <v>0</v>
      </c>
      <c r="CF7601">
        <f t="shared" si="293"/>
        <v>0</v>
      </c>
      <c r="CG7601">
        <f t="shared" si="293"/>
        <v>0</v>
      </c>
      <c r="CH7601">
        <f t="shared" si="293"/>
        <v>0</v>
      </c>
      <c r="CI7601">
        <f t="shared" si="293"/>
        <v>0</v>
      </c>
      <c r="CJ7601">
        <f t="shared" si="293"/>
        <v>0</v>
      </c>
      <c r="CK7601">
        <f t="shared" si="293"/>
        <v>0</v>
      </c>
      <c r="CL7601">
        <f t="shared" si="293"/>
        <v>0</v>
      </c>
      <c r="CM7601">
        <f t="shared" si="293"/>
        <v>0</v>
      </c>
      <c r="CN7601">
        <f t="shared" si="293"/>
        <v>0</v>
      </c>
      <c r="CO7601">
        <f t="shared" si="293"/>
        <v>0</v>
      </c>
      <c r="CP7601">
        <f t="shared" si="293"/>
        <v>0</v>
      </c>
      <c r="CQ7601">
        <f t="shared" si="293"/>
        <v>0</v>
      </c>
      <c r="CR7601">
        <f t="shared" si="293"/>
        <v>0</v>
      </c>
      <c r="CS7601">
        <f t="shared" si="293"/>
        <v>0</v>
      </c>
      <c r="CT7601">
        <f t="shared" si="293"/>
        <v>0</v>
      </c>
      <c r="CU7601">
        <f t="shared" si="293"/>
        <v>0</v>
      </c>
      <c r="CV7601">
        <f t="shared" si="293"/>
        <v>0</v>
      </c>
      <c r="CW7601">
        <f t="shared" si="293"/>
        <v>0</v>
      </c>
      <c r="CX7601">
        <f t="shared" si="293"/>
        <v>0</v>
      </c>
    </row>
    <row r="7602" spans="1:102">
      <c r="A7602" s="2"/>
      <c r="AY7602">
        <v>57</v>
      </c>
      <c r="AZ7602" s="2"/>
      <c r="BC7602">
        <f t="shared" ref="BC7602:CX7602" si="294">COUNTIF(B$3:B$7503,"57")</f>
        <v>0</v>
      </c>
      <c r="BD7602">
        <f t="shared" si="294"/>
        <v>0</v>
      </c>
      <c r="BE7602">
        <f t="shared" si="294"/>
        <v>0</v>
      </c>
      <c r="BF7602">
        <f t="shared" si="294"/>
        <v>0</v>
      </c>
      <c r="BG7602">
        <f t="shared" si="294"/>
        <v>0</v>
      </c>
      <c r="BH7602">
        <f t="shared" si="294"/>
        <v>0</v>
      </c>
      <c r="BI7602">
        <f t="shared" si="294"/>
        <v>0</v>
      </c>
      <c r="BJ7602">
        <f t="shared" si="294"/>
        <v>0</v>
      </c>
      <c r="BK7602">
        <f t="shared" si="294"/>
        <v>22</v>
      </c>
      <c r="BL7602">
        <f t="shared" si="294"/>
        <v>0</v>
      </c>
      <c r="BM7602">
        <f t="shared" si="294"/>
        <v>0</v>
      </c>
      <c r="BN7602">
        <f t="shared" si="294"/>
        <v>0</v>
      </c>
      <c r="BO7602">
        <f t="shared" si="294"/>
        <v>0</v>
      </c>
      <c r="BP7602">
        <f t="shared" si="294"/>
        <v>0</v>
      </c>
      <c r="BQ7602">
        <f t="shared" si="294"/>
        <v>0</v>
      </c>
      <c r="BR7602">
        <f t="shared" si="294"/>
        <v>0</v>
      </c>
      <c r="BS7602">
        <f t="shared" si="294"/>
        <v>0</v>
      </c>
      <c r="BT7602">
        <f t="shared" si="294"/>
        <v>0</v>
      </c>
      <c r="BU7602">
        <f t="shared" si="294"/>
        <v>0</v>
      </c>
      <c r="BV7602">
        <f t="shared" si="294"/>
        <v>0</v>
      </c>
      <c r="BW7602">
        <f t="shared" si="294"/>
        <v>0</v>
      </c>
      <c r="BX7602">
        <f t="shared" si="294"/>
        <v>0</v>
      </c>
      <c r="BY7602">
        <f t="shared" si="294"/>
        <v>0</v>
      </c>
      <c r="BZ7602">
        <f t="shared" si="294"/>
        <v>0</v>
      </c>
      <c r="CA7602">
        <f t="shared" si="294"/>
        <v>0</v>
      </c>
      <c r="CB7602">
        <f t="shared" si="294"/>
        <v>0</v>
      </c>
      <c r="CC7602">
        <f t="shared" si="294"/>
        <v>0</v>
      </c>
      <c r="CD7602">
        <f t="shared" si="294"/>
        <v>0</v>
      </c>
      <c r="CE7602">
        <f t="shared" si="294"/>
        <v>0</v>
      </c>
      <c r="CF7602">
        <f t="shared" si="294"/>
        <v>0</v>
      </c>
      <c r="CG7602">
        <f t="shared" si="294"/>
        <v>0</v>
      </c>
      <c r="CH7602">
        <f t="shared" si="294"/>
        <v>0</v>
      </c>
      <c r="CI7602">
        <f t="shared" si="294"/>
        <v>0</v>
      </c>
      <c r="CJ7602">
        <f t="shared" si="294"/>
        <v>0</v>
      </c>
      <c r="CK7602">
        <f t="shared" si="294"/>
        <v>0</v>
      </c>
      <c r="CL7602">
        <f t="shared" si="294"/>
        <v>0</v>
      </c>
      <c r="CM7602">
        <f t="shared" si="294"/>
        <v>0</v>
      </c>
      <c r="CN7602">
        <f t="shared" si="294"/>
        <v>0</v>
      </c>
      <c r="CO7602">
        <f t="shared" si="294"/>
        <v>0</v>
      </c>
      <c r="CP7602">
        <f t="shared" si="294"/>
        <v>0</v>
      </c>
      <c r="CQ7602">
        <f t="shared" si="294"/>
        <v>0</v>
      </c>
      <c r="CR7602">
        <f t="shared" si="294"/>
        <v>0</v>
      </c>
      <c r="CS7602">
        <f t="shared" si="294"/>
        <v>0</v>
      </c>
      <c r="CT7602">
        <f t="shared" si="294"/>
        <v>0</v>
      </c>
      <c r="CU7602">
        <f t="shared" si="294"/>
        <v>0</v>
      </c>
      <c r="CV7602">
        <f t="shared" si="294"/>
        <v>0</v>
      </c>
      <c r="CW7602">
        <f t="shared" si="294"/>
        <v>0</v>
      </c>
      <c r="CX7602">
        <f t="shared" si="294"/>
        <v>0</v>
      </c>
    </row>
    <row r="7603" spans="1:102">
      <c r="A7603" s="2"/>
      <c r="AY7603">
        <v>58</v>
      </c>
      <c r="AZ7603" s="2"/>
      <c r="BC7603">
        <f t="shared" ref="BC7603:CX7603" si="295">COUNTIF(B$3:B$7503,"58")</f>
        <v>0</v>
      </c>
      <c r="BD7603">
        <f t="shared" si="295"/>
        <v>0</v>
      </c>
      <c r="BE7603">
        <f t="shared" si="295"/>
        <v>0</v>
      </c>
      <c r="BF7603">
        <f t="shared" si="295"/>
        <v>0</v>
      </c>
      <c r="BG7603">
        <f t="shared" si="295"/>
        <v>0</v>
      </c>
      <c r="BH7603">
        <f t="shared" si="295"/>
        <v>0</v>
      </c>
      <c r="BI7603">
        <f t="shared" si="295"/>
        <v>0</v>
      </c>
      <c r="BJ7603">
        <f t="shared" si="295"/>
        <v>0</v>
      </c>
      <c r="BK7603">
        <f t="shared" si="295"/>
        <v>28</v>
      </c>
      <c r="BL7603">
        <f t="shared" si="295"/>
        <v>0</v>
      </c>
      <c r="BM7603">
        <f t="shared" si="295"/>
        <v>0</v>
      </c>
      <c r="BN7603">
        <f t="shared" si="295"/>
        <v>0</v>
      </c>
      <c r="BO7603">
        <f t="shared" si="295"/>
        <v>0</v>
      </c>
      <c r="BP7603">
        <f t="shared" si="295"/>
        <v>0</v>
      </c>
      <c r="BQ7603">
        <f t="shared" si="295"/>
        <v>0</v>
      </c>
      <c r="BR7603">
        <f t="shared" si="295"/>
        <v>0</v>
      </c>
      <c r="BS7603">
        <f t="shared" si="295"/>
        <v>0</v>
      </c>
      <c r="BT7603">
        <f t="shared" si="295"/>
        <v>0</v>
      </c>
      <c r="BU7603">
        <f t="shared" si="295"/>
        <v>0</v>
      </c>
      <c r="BV7603">
        <f t="shared" si="295"/>
        <v>0</v>
      </c>
      <c r="BW7603">
        <f t="shared" si="295"/>
        <v>0</v>
      </c>
      <c r="BX7603">
        <f t="shared" si="295"/>
        <v>0</v>
      </c>
      <c r="BY7603">
        <f t="shared" si="295"/>
        <v>0</v>
      </c>
      <c r="BZ7603">
        <f t="shared" si="295"/>
        <v>0</v>
      </c>
      <c r="CA7603">
        <f t="shared" si="295"/>
        <v>0</v>
      </c>
      <c r="CB7603">
        <f t="shared" si="295"/>
        <v>0</v>
      </c>
      <c r="CC7603">
        <f t="shared" si="295"/>
        <v>0</v>
      </c>
      <c r="CD7603">
        <f t="shared" si="295"/>
        <v>0</v>
      </c>
      <c r="CE7603">
        <f t="shared" si="295"/>
        <v>0</v>
      </c>
      <c r="CF7603">
        <f t="shared" si="295"/>
        <v>0</v>
      </c>
      <c r="CG7603">
        <f t="shared" si="295"/>
        <v>0</v>
      </c>
      <c r="CH7603">
        <f t="shared" si="295"/>
        <v>0</v>
      </c>
      <c r="CI7603">
        <f t="shared" si="295"/>
        <v>0</v>
      </c>
      <c r="CJ7603">
        <f t="shared" si="295"/>
        <v>0</v>
      </c>
      <c r="CK7603">
        <f t="shared" si="295"/>
        <v>0</v>
      </c>
      <c r="CL7603">
        <f t="shared" si="295"/>
        <v>0</v>
      </c>
      <c r="CM7603">
        <f t="shared" si="295"/>
        <v>0</v>
      </c>
      <c r="CN7603">
        <f t="shared" si="295"/>
        <v>0</v>
      </c>
      <c r="CO7603">
        <f t="shared" si="295"/>
        <v>0</v>
      </c>
      <c r="CP7603">
        <f t="shared" si="295"/>
        <v>0</v>
      </c>
      <c r="CQ7603">
        <f t="shared" si="295"/>
        <v>0</v>
      </c>
      <c r="CR7603">
        <f t="shared" si="295"/>
        <v>0</v>
      </c>
      <c r="CS7603">
        <f t="shared" si="295"/>
        <v>0</v>
      </c>
      <c r="CT7603">
        <f t="shared" si="295"/>
        <v>0</v>
      </c>
      <c r="CU7603">
        <f t="shared" si="295"/>
        <v>0</v>
      </c>
      <c r="CV7603">
        <f t="shared" si="295"/>
        <v>0</v>
      </c>
      <c r="CW7603">
        <f t="shared" si="295"/>
        <v>0</v>
      </c>
      <c r="CX7603">
        <f t="shared" si="295"/>
        <v>0</v>
      </c>
    </row>
    <row r="7604" spans="1:102">
      <c r="A7604" s="2"/>
      <c r="AY7604">
        <v>59</v>
      </c>
      <c r="AZ7604" s="2"/>
      <c r="BC7604">
        <f t="shared" ref="BC7604:CX7604" si="296">COUNTIF(B$3:B$7503,"59")</f>
        <v>0</v>
      </c>
      <c r="BD7604">
        <f t="shared" si="296"/>
        <v>0</v>
      </c>
      <c r="BE7604">
        <f t="shared" si="296"/>
        <v>0</v>
      </c>
      <c r="BF7604">
        <f t="shared" si="296"/>
        <v>0</v>
      </c>
      <c r="BG7604">
        <f t="shared" si="296"/>
        <v>0</v>
      </c>
      <c r="BH7604">
        <f t="shared" si="296"/>
        <v>0</v>
      </c>
      <c r="BI7604">
        <f t="shared" si="296"/>
        <v>0</v>
      </c>
      <c r="BJ7604">
        <f t="shared" si="296"/>
        <v>0</v>
      </c>
      <c r="BK7604">
        <f t="shared" si="296"/>
        <v>19</v>
      </c>
      <c r="BL7604">
        <f t="shared" si="296"/>
        <v>0</v>
      </c>
      <c r="BM7604">
        <f t="shared" si="296"/>
        <v>0</v>
      </c>
      <c r="BN7604">
        <f t="shared" si="296"/>
        <v>0</v>
      </c>
      <c r="BO7604">
        <f t="shared" si="296"/>
        <v>0</v>
      </c>
      <c r="BP7604">
        <f t="shared" si="296"/>
        <v>0</v>
      </c>
      <c r="BQ7604">
        <f t="shared" si="296"/>
        <v>0</v>
      </c>
      <c r="BR7604">
        <f t="shared" si="296"/>
        <v>0</v>
      </c>
      <c r="BS7604">
        <f t="shared" si="296"/>
        <v>0</v>
      </c>
      <c r="BT7604">
        <f t="shared" si="296"/>
        <v>0</v>
      </c>
      <c r="BU7604">
        <f t="shared" si="296"/>
        <v>0</v>
      </c>
      <c r="BV7604">
        <f t="shared" si="296"/>
        <v>0</v>
      </c>
      <c r="BW7604">
        <f t="shared" si="296"/>
        <v>0</v>
      </c>
      <c r="BX7604">
        <f t="shared" si="296"/>
        <v>0</v>
      </c>
      <c r="BY7604">
        <f t="shared" si="296"/>
        <v>0</v>
      </c>
      <c r="BZ7604">
        <f t="shared" si="296"/>
        <v>0</v>
      </c>
      <c r="CA7604">
        <f t="shared" si="296"/>
        <v>0</v>
      </c>
      <c r="CB7604">
        <f t="shared" si="296"/>
        <v>0</v>
      </c>
      <c r="CC7604">
        <f t="shared" si="296"/>
        <v>0</v>
      </c>
      <c r="CD7604">
        <f t="shared" si="296"/>
        <v>0</v>
      </c>
      <c r="CE7604">
        <f t="shared" si="296"/>
        <v>0</v>
      </c>
      <c r="CF7604">
        <f t="shared" si="296"/>
        <v>0</v>
      </c>
      <c r="CG7604">
        <f t="shared" si="296"/>
        <v>0</v>
      </c>
      <c r="CH7604">
        <f t="shared" si="296"/>
        <v>0</v>
      </c>
      <c r="CI7604">
        <f t="shared" si="296"/>
        <v>0</v>
      </c>
      <c r="CJ7604">
        <f t="shared" si="296"/>
        <v>0</v>
      </c>
      <c r="CK7604">
        <f t="shared" si="296"/>
        <v>0</v>
      </c>
      <c r="CL7604">
        <f t="shared" si="296"/>
        <v>0</v>
      </c>
      <c r="CM7604">
        <f t="shared" si="296"/>
        <v>0</v>
      </c>
      <c r="CN7604">
        <f t="shared" si="296"/>
        <v>0</v>
      </c>
      <c r="CO7604">
        <f t="shared" si="296"/>
        <v>0</v>
      </c>
      <c r="CP7604">
        <f t="shared" si="296"/>
        <v>0</v>
      </c>
      <c r="CQ7604">
        <f t="shared" si="296"/>
        <v>0</v>
      </c>
      <c r="CR7604">
        <f t="shared" si="296"/>
        <v>0</v>
      </c>
      <c r="CS7604">
        <f t="shared" si="296"/>
        <v>0</v>
      </c>
      <c r="CT7604">
        <f t="shared" si="296"/>
        <v>0</v>
      </c>
      <c r="CU7604">
        <f t="shared" si="296"/>
        <v>0</v>
      </c>
      <c r="CV7604">
        <f t="shared" si="296"/>
        <v>0</v>
      </c>
      <c r="CW7604">
        <f t="shared" si="296"/>
        <v>0</v>
      </c>
      <c r="CX7604">
        <f t="shared" si="296"/>
        <v>0</v>
      </c>
    </row>
    <row r="7605" spans="1:102">
      <c r="A7605" s="2"/>
      <c r="AY7605">
        <v>60</v>
      </c>
      <c r="AZ7605" s="2"/>
      <c r="BC7605">
        <f t="shared" ref="BC7605:CX7605" si="297">COUNTIF(B$3:B$7503,"60")</f>
        <v>0</v>
      </c>
      <c r="BD7605">
        <f t="shared" si="297"/>
        <v>0</v>
      </c>
      <c r="BE7605">
        <f t="shared" si="297"/>
        <v>0</v>
      </c>
      <c r="BF7605">
        <f t="shared" si="297"/>
        <v>0</v>
      </c>
      <c r="BG7605">
        <f t="shared" si="297"/>
        <v>0</v>
      </c>
      <c r="BH7605">
        <f t="shared" si="297"/>
        <v>0</v>
      </c>
      <c r="BI7605">
        <f t="shared" si="297"/>
        <v>0</v>
      </c>
      <c r="BJ7605">
        <f t="shared" si="297"/>
        <v>0</v>
      </c>
      <c r="BK7605">
        <f t="shared" si="297"/>
        <v>8</v>
      </c>
      <c r="BL7605">
        <f t="shared" si="297"/>
        <v>0</v>
      </c>
      <c r="BM7605">
        <f t="shared" si="297"/>
        <v>0</v>
      </c>
      <c r="BN7605">
        <f t="shared" si="297"/>
        <v>0</v>
      </c>
      <c r="BO7605">
        <f t="shared" si="297"/>
        <v>0</v>
      </c>
      <c r="BP7605">
        <f t="shared" si="297"/>
        <v>0</v>
      </c>
      <c r="BQ7605">
        <f t="shared" si="297"/>
        <v>0</v>
      </c>
      <c r="BR7605">
        <f t="shared" si="297"/>
        <v>0</v>
      </c>
      <c r="BS7605">
        <f t="shared" si="297"/>
        <v>0</v>
      </c>
      <c r="BT7605">
        <f t="shared" si="297"/>
        <v>0</v>
      </c>
      <c r="BU7605">
        <f t="shared" si="297"/>
        <v>0</v>
      </c>
      <c r="BV7605">
        <f t="shared" si="297"/>
        <v>0</v>
      </c>
      <c r="BW7605">
        <f t="shared" si="297"/>
        <v>0</v>
      </c>
      <c r="BX7605">
        <f t="shared" si="297"/>
        <v>0</v>
      </c>
      <c r="BY7605">
        <f t="shared" si="297"/>
        <v>0</v>
      </c>
      <c r="BZ7605">
        <f t="shared" si="297"/>
        <v>0</v>
      </c>
      <c r="CA7605">
        <f t="shared" si="297"/>
        <v>0</v>
      </c>
      <c r="CB7605">
        <f t="shared" si="297"/>
        <v>0</v>
      </c>
      <c r="CC7605">
        <f t="shared" si="297"/>
        <v>0</v>
      </c>
      <c r="CD7605">
        <f t="shared" si="297"/>
        <v>0</v>
      </c>
      <c r="CE7605">
        <f t="shared" si="297"/>
        <v>0</v>
      </c>
      <c r="CF7605">
        <f t="shared" si="297"/>
        <v>0</v>
      </c>
      <c r="CG7605">
        <f t="shared" si="297"/>
        <v>0</v>
      </c>
      <c r="CH7605">
        <f t="shared" si="297"/>
        <v>0</v>
      </c>
      <c r="CI7605">
        <f t="shared" si="297"/>
        <v>0</v>
      </c>
      <c r="CJ7605">
        <f t="shared" si="297"/>
        <v>0</v>
      </c>
      <c r="CK7605">
        <f t="shared" si="297"/>
        <v>0</v>
      </c>
      <c r="CL7605">
        <f t="shared" si="297"/>
        <v>0</v>
      </c>
      <c r="CM7605">
        <f t="shared" si="297"/>
        <v>0</v>
      </c>
      <c r="CN7605">
        <f t="shared" si="297"/>
        <v>0</v>
      </c>
      <c r="CO7605">
        <f t="shared" si="297"/>
        <v>0</v>
      </c>
      <c r="CP7605">
        <f t="shared" si="297"/>
        <v>0</v>
      </c>
      <c r="CQ7605">
        <f t="shared" si="297"/>
        <v>0</v>
      </c>
      <c r="CR7605">
        <f t="shared" si="297"/>
        <v>0</v>
      </c>
      <c r="CS7605">
        <f t="shared" si="297"/>
        <v>0</v>
      </c>
      <c r="CT7605">
        <f t="shared" si="297"/>
        <v>0</v>
      </c>
      <c r="CU7605">
        <f t="shared" si="297"/>
        <v>0</v>
      </c>
      <c r="CV7605">
        <f t="shared" si="297"/>
        <v>0</v>
      </c>
      <c r="CW7605">
        <f t="shared" si="297"/>
        <v>0</v>
      </c>
      <c r="CX7605">
        <f t="shared" si="297"/>
        <v>0</v>
      </c>
    </row>
    <row r="7606" spans="1:102">
      <c r="A7606" s="2"/>
      <c r="AY7606">
        <v>61</v>
      </c>
      <c r="AZ7606" s="2"/>
      <c r="BC7606">
        <f t="shared" ref="BC7606:CX7606" si="298">COUNTIF(B$3:B$7503,"61")</f>
        <v>0</v>
      </c>
      <c r="BD7606">
        <f t="shared" si="298"/>
        <v>0</v>
      </c>
      <c r="BE7606">
        <f t="shared" si="298"/>
        <v>0</v>
      </c>
      <c r="BF7606">
        <f t="shared" si="298"/>
        <v>0</v>
      </c>
      <c r="BG7606">
        <f t="shared" si="298"/>
        <v>0</v>
      </c>
      <c r="BH7606">
        <f t="shared" si="298"/>
        <v>0</v>
      </c>
      <c r="BI7606">
        <f t="shared" si="298"/>
        <v>0</v>
      </c>
      <c r="BJ7606">
        <f t="shared" si="298"/>
        <v>0</v>
      </c>
      <c r="BK7606">
        <f t="shared" si="298"/>
        <v>45</v>
      </c>
      <c r="BL7606">
        <f t="shared" si="298"/>
        <v>0</v>
      </c>
      <c r="BM7606">
        <f t="shared" si="298"/>
        <v>0</v>
      </c>
      <c r="BN7606">
        <f t="shared" si="298"/>
        <v>0</v>
      </c>
      <c r="BO7606">
        <f t="shared" si="298"/>
        <v>0</v>
      </c>
      <c r="BP7606">
        <f t="shared" si="298"/>
        <v>0</v>
      </c>
      <c r="BQ7606">
        <f t="shared" si="298"/>
        <v>0</v>
      </c>
      <c r="BR7606">
        <f t="shared" si="298"/>
        <v>0</v>
      </c>
      <c r="BS7606">
        <f t="shared" si="298"/>
        <v>0</v>
      </c>
      <c r="BT7606">
        <f t="shared" si="298"/>
        <v>0</v>
      </c>
      <c r="BU7606">
        <f t="shared" si="298"/>
        <v>0</v>
      </c>
      <c r="BV7606">
        <f t="shared" si="298"/>
        <v>0</v>
      </c>
      <c r="BW7606">
        <f t="shared" si="298"/>
        <v>0</v>
      </c>
      <c r="BX7606">
        <f t="shared" si="298"/>
        <v>0</v>
      </c>
      <c r="BY7606">
        <f t="shared" si="298"/>
        <v>0</v>
      </c>
      <c r="BZ7606">
        <f t="shared" si="298"/>
        <v>0</v>
      </c>
      <c r="CA7606">
        <f t="shared" si="298"/>
        <v>0</v>
      </c>
      <c r="CB7606">
        <f t="shared" si="298"/>
        <v>0</v>
      </c>
      <c r="CC7606">
        <f t="shared" si="298"/>
        <v>0</v>
      </c>
      <c r="CD7606">
        <f t="shared" si="298"/>
        <v>0</v>
      </c>
      <c r="CE7606">
        <f t="shared" si="298"/>
        <v>0</v>
      </c>
      <c r="CF7606">
        <f t="shared" si="298"/>
        <v>0</v>
      </c>
      <c r="CG7606">
        <f t="shared" si="298"/>
        <v>0</v>
      </c>
      <c r="CH7606">
        <f t="shared" si="298"/>
        <v>0</v>
      </c>
      <c r="CI7606">
        <f t="shared" si="298"/>
        <v>0</v>
      </c>
      <c r="CJ7606">
        <f t="shared" si="298"/>
        <v>0</v>
      </c>
      <c r="CK7606">
        <f t="shared" si="298"/>
        <v>0</v>
      </c>
      <c r="CL7606">
        <f t="shared" si="298"/>
        <v>0</v>
      </c>
      <c r="CM7606">
        <f t="shared" si="298"/>
        <v>0</v>
      </c>
      <c r="CN7606">
        <f t="shared" si="298"/>
        <v>0</v>
      </c>
      <c r="CO7606">
        <f t="shared" si="298"/>
        <v>0</v>
      </c>
      <c r="CP7606">
        <f t="shared" si="298"/>
        <v>0</v>
      </c>
      <c r="CQ7606">
        <f t="shared" si="298"/>
        <v>0</v>
      </c>
      <c r="CR7606">
        <f t="shared" si="298"/>
        <v>0</v>
      </c>
      <c r="CS7606">
        <f t="shared" si="298"/>
        <v>0</v>
      </c>
      <c r="CT7606">
        <f t="shared" si="298"/>
        <v>0</v>
      </c>
      <c r="CU7606">
        <f t="shared" si="298"/>
        <v>0</v>
      </c>
      <c r="CV7606">
        <f t="shared" si="298"/>
        <v>0</v>
      </c>
      <c r="CW7606">
        <f t="shared" si="298"/>
        <v>0</v>
      </c>
      <c r="CX7606">
        <f t="shared" si="298"/>
        <v>0</v>
      </c>
    </row>
    <row r="7607" spans="1:102">
      <c r="A7607" s="2"/>
      <c r="AY7607">
        <v>62</v>
      </c>
      <c r="AZ7607" s="2"/>
      <c r="BC7607">
        <f t="shared" ref="BC7607:CX7607" si="299">COUNTIF(B$3:B$7503,"62")</f>
        <v>0</v>
      </c>
      <c r="BD7607">
        <f t="shared" si="299"/>
        <v>0</v>
      </c>
      <c r="BE7607">
        <f t="shared" si="299"/>
        <v>0</v>
      </c>
      <c r="BF7607">
        <f t="shared" si="299"/>
        <v>0</v>
      </c>
      <c r="BG7607">
        <f t="shared" si="299"/>
        <v>0</v>
      </c>
      <c r="BH7607">
        <f t="shared" si="299"/>
        <v>0</v>
      </c>
      <c r="BI7607">
        <f t="shared" si="299"/>
        <v>0</v>
      </c>
      <c r="BJ7607">
        <f t="shared" si="299"/>
        <v>0</v>
      </c>
      <c r="BK7607">
        <f t="shared" si="299"/>
        <v>43</v>
      </c>
      <c r="BL7607">
        <f t="shared" si="299"/>
        <v>0</v>
      </c>
      <c r="BM7607">
        <f t="shared" si="299"/>
        <v>0</v>
      </c>
      <c r="BN7607">
        <f t="shared" si="299"/>
        <v>0</v>
      </c>
      <c r="BO7607">
        <f t="shared" si="299"/>
        <v>0</v>
      </c>
      <c r="BP7607">
        <f t="shared" si="299"/>
        <v>0</v>
      </c>
      <c r="BQ7607">
        <f t="shared" si="299"/>
        <v>0</v>
      </c>
      <c r="BR7607">
        <f t="shared" si="299"/>
        <v>0</v>
      </c>
      <c r="BS7607">
        <f t="shared" si="299"/>
        <v>0</v>
      </c>
      <c r="BT7607">
        <f t="shared" si="299"/>
        <v>0</v>
      </c>
      <c r="BU7607">
        <f t="shared" si="299"/>
        <v>0</v>
      </c>
      <c r="BV7607">
        <f t="shared" si="299"/>
        <v>0</v>
      </c>
      <c r="BW7607">
        <f t="shared" si="299"/>
        <v>0</v>
      </c>
      <c r="BX7607">
        <f t="shared" si="299"/>
        <v>0</v>
      </c>
      <c r="BY7607">
        <f t="shared" si="299"/>
        <v>0</v>
      </c>
      <c r="BZ7607">
        <f t="shared" si="299"/>
        <v>0</v>
      </c>
      <c r="CA7607">
        <f t="shared" si="299"/>
        <v>0</v>
      </c>
      <c r="CB7607">
        <f t="shared" si="299"/>
        <v>0</v>
      </c>
      <c r="CC7607">
        <f t="shared" si="299"/>
        <v>0</v>
      </c>
      <c r="CD7607">
        <f t="shared" si="299"/>
        <v>0</v>
      </c>
      <c r="CE7607">
        <f t="shared" si="299"/>
        <v>0</v>
      </c>
      <c r="CF7607">
        <f t="shared" si="299"/>
        <v>0</v>
      </c>
      <c r="CG7607">
        <f t="shared" si="299"/>
        <v>0</v>
      </c>
      <c r="CH7607">
        <f t="shared" si="299"/>
        <v>0</v>
      </c>
      <c r="CI7607">
        <f t="shared" si="299"/>
        <v>0</v>
      </c>
      <c r="CJ7607">
        <f t="shared" si="299"/>
        <v>0</v>
      </c>
      <c r="CK7607">
        <f t="shared" si="299"/>
        <v>0</v>
      </c>
      <c r="CL7607">
        <f t="shared" si="299"/>
        <v>0</v>
      </c>
      <c r="CM7607">
        <f t="shared" si="299"/>
        <v>0</v>
      </c>
      <c r="CN7607">
        <f t="shared" si="299"/>
        <v>0</v>
      </c>
      <c r="CO7607">
        <f t="shared" si="299"/>
        <v>0</v>
      </c>
      <c r="CP7607">
        <f t="shared" si="299"/>
        <v>0</v>
      </c>
      <c r="CQ7607">
        <f t="shared" si="299"/>
        <v>0</v>
      </c>
      <c r="CR7607">
        <f t="shared" si="299"/>
        <v>0</v>
      </c>
      <c r="CS7607">
        <f t="shared" si="299"/>
        <v>0</v>
      </c>
      <c r="CT7607">
        <f t="shared" si="299"/>
        <v>0</v>
      </c>
      <c r="CU7607">
        <f t="shared" si="299"/>
        <v>0</v>
      </c>
      <c r="CV7607">
        <f t="shared" si="299"/>
        <v>0</v>
      </c>
      <c r="CW7607">
        <f t="shared" si="299"/>
        <v>0</v>
      </c>
      <c r="CX7607">
        <f t="shared" si="299"/>
        <v>0</v>
      </c>
    </row>
    <row r="7608" spans="1:102">
      <c r="A7608" s="2"/>
      <c r="AY7608">
        <v>63</v>
      </c>
      <c r="AZ7608" s="2"/>
      <c r="BC7608">
        <f t="shared" ref="BC7608:CX7608" si="300">COUNTIF(B$3:B$7503,"63")</f>
        <v>0</v>
      </c>
      <c r="BD7608">
        <f t="shared" si="300"/>
        <v>0</v>
      </c>
      <c r="BE7608">
        <f t="shared" si="300"/>
        <v>0</v>
      </c>
      <c r="BF7608">
        <f t="shared" si="300"/>
        <v>0</v>
      </c>
      <c r="BG7608">
        <f t="shared" si="300"/>
        <v>0</v>
      </c>
      <c r="BH7608">
        <f t="shared" si="300"/>
        <v>0</v>
      </c>
      <c r="BI7608">
        <f t="shared" si="300"/>
        <v>0</v>
      </c>
      <c r="BJ7608">
        <f t="shared" si="300"/>
        <v>0</v>
      </c>
      <c r="BK7608">
        <f t="shared" si="300"/>
        <v>6</v>
      </c>
      <c r="BL7608">
        <f t="shared" si="300"/>
        <v>0</v>
      </c>
      <c r="BM7608">
        <f t="shared" si="300"/>
        <v>0</v>
      </c>
      <c r="BN7608">
        <f t="shared" si="300"/>
        <v>0</v>
      </c>
      <c r="BO7608">
        <f t="shared" si="300"/>
        <v>0</v>
      </c>
      <c r="BP7608">
        <f t="shared" si="300"/>
        <v>0</v>
      </c>
      <c r="BQ7608">
        <f t="shared" si="300"/>
        <v>0</v>
      </c>
      <c r="BR7608">
        <f t="shared" si="300"/>
        <v>0</v>
      </c>
      <c r="BS7608">
        <f t="shared" si="300"/>
        <v>0</v>
      </c>
      <c r="BT7608">
        <f t="shared" si="300"/>
        <v>0</v>
      </c>
      <c r="BU7608">
        <f t="shared" si="300"/>
        <v>0</v>
      </c>
      <c r="BV7608">
        <f t="shared" si="300"/>
        <v>0</v>
      </c>
      <c r="BW7608">
        <f t="shared" si="300"/>
        <v>0</v>
      </c>
      <c r="BX7608">
        <f t="shared" si="300"/>
        <v>0</v>
      </c>
      <c r="BY7608">
        <f t="shared" si="300"/>
        <v>0</v>
      </c>
      <c r="BZ7608">
        <f t="shared" si="300"/>
        <v>0</v>
      </c>
      <c r="CA7608">
        <f t="shared" si="300"/>
        <v>0</v>
      </c>
      <c r="CB7608">
        <f t="shared" si="300"/>
        <v>0</v>
      </c>
      <c r="CC7608">
        <f t="shared" si="300"/>
        <v>0</v>
      </c>
      <c r="CD7608">
        <f t="shared" si="300"/>
        <v>0</v>
      </c>
      <c r="CE7608">
        <f t="shared" si="300"/>
        <v>0</v>
      </c>
      <c r="CF7608">
        <f t="shared" si="300"/>
        <v>0</v>
      </c>
      <c r="CG7608">
        <f t="shared" si="300"/>
        <v>0</v>
      </c>
      <c r="CH7608">
        <f t="shared" si="300"/>
        <v>0</v>
      </c>
      <c r="CI7608">
        <f t="shared" si="300"/>
        <v>0</v>
      </c>
      <c r="CJ7608">
        <f t="shared" si="300"/>
        <v>0</v>
      </c>
      <c r="CK7608">
        <f t="shared" si="300"/>
        <v>0</v>
      </c>
      <c r="CL7608">
        <f t="shared" si="300"/>
        <v>0</v>
      </c>
      <c r="CM7608">
        <f t="shared" si="300"/>
        <v>0</v>
      </c>
      <c r="CN7608">
        <f t="shared" si="300"/>
        <v>0</v>
      </c>
      <c r="CO7608">
        <f t="shared" si="300"/>
        <v>0</v>
      </c>
      <c r="CP7608">
        <f t="shared" si="300"/>
        <v>0</v>
      </c>
      <c r="CQ7608">
        <f t="shared" si="300"/>
        <v>0</v>
      </c>
      <c r="CR7608">
        <f t="shared" si="300"/>
        <v>0</v>
      </c>
      <c r="CS7608">
        <f t="shared" si="300"/>
        <v>0</v>
      </c>
      <c r="CT7608">
        <f t="shared" si="300"/>
        <v>0</v>
      </c>
      <c r="CU7608">
        <f t="shared" si="300"/>
        <v>0</v>
      </c>
      <c r="CV7608">
        <f t="shared" si="300"/>
        <v>0</v>
      </c>
      <c r="CW7608">
        <f t="shared" si="300"/>
        <v>0</v>
      </c>
      <c r="CX7608">
        <f t="shared" si="300"/>
        <v>0</v>
      </c>
    </row>
    <row r="7609" spans="1:102">
      <c r="A7609" s="2"/>
      <c r="AY7609">
        <v>64</v>
      </c>
      <c r="AZ7609" s="2"/>
      <c r="BC7609">
        <f t="shared" ref="BC7609:CX7609" si="301">COUNTIF(B$3:B$7503,"64")</f>
        <v>0</v>
      </c>
      <c r="BD7609">
        <f t="shared" si="301"/>
        <v>0</v>
      </c>
      <c r="BE7609">
        <f t="shared" si="301"/>
        <v>0</v>
      </c>
      <c r="BF7609">
        <f t="shared" si="301"/>
        <v>0</v>
      </c>
      <c r="BG7609">
        <f t="shared" si="301"/>
        <v>0</v>
      </c>
      <c r="BH7609">
        <f t="shared" si="301"/>
        <v>0</v>
      </c>
      <c r="BI7609">
        <f t="shared" si="301"/>
        <v>0</v>
      </c>
      <c r="BJ7609">
        <f t="shared" si="301"/>
        <v>0</v>
      </c>
      <c r="BK7609">
        <f t="shared" si="301"/>
        <v>31</v>
      </c>
      <c r="BL7609">
        <f t="shared" si="301"/>
        <v>0</v>
      </c>
      <c r="BM7609">
        <f t="shared" si="301"/>
        <v>0</v>
      </c>
      <c r="BN7609">
        <f t="shared" si="301"/>
        <v>0</v>
      </c>
      <c r="BO7609">
        <f t="shared" si="301"/>
        <v>0</v>
      </c>
      <c r="BP7609">
        <f t="shared" si="301"/>
        <v>0</v>
      </c>
      <c r="BQ7609">
        <f t="shared" si="301"/>
        <v>0</v>
      </c>
      <c r="BR7609">
        <f t="shared" si="301"/>
        <v>0</v>
      </c>
      <c r="BS7609">
        <f t="shared" si="301"/>
        <v>0</v>
      </c>
      <c r="BT7609">
        <f t="shared" si="301"/>
        <v>0</v>
      </c>
      <c r="BU7609">
        <f t="shared" si="301"/>
        <v>0</v>
      </c>
      <c r="BV7609">
        <f t="shared" si="301"/>
        <v>0</v>
      </c>
      <c r="BW7609">
        <f t="shared" si="301"/>
        <v>0</v>
      </c>
      <c r="BX7609">
        <f t="shared" si="301"/>
        <v>0</v>
      </c>
      <c r="BY7609">
        <f t="shared" si="301"/>
        <v>0</v>
      </c>
      <c r="BZ7609">
        <f t="shared" si="301"/>
        <v>0</v>
      </c>
      <c r="CA7609">
        <f t="shared" si="301"/>
        <v>0</v>
      </c>
      <c r="CB7609">
        <f t="shared" si="301"/>
        <v>0</v>
      </c>
      <c r="CC7609">
        <f t="shared" si="301"/>
        <v>0</v>
      </c>
      <c r="CD7609">
        <f t="shared" si="301"/>
        <v>0</v>
      </c>
      <c r="CE7609">
        <f t="shared" si="301"/>
        <v>0</v>
      </c>
      <c r="CF7609">
        <f t="shared" si="301"/>
        <v>0</v>
      </c>
      <c r="CG7609">
        <f t="shared" si="301"/>
        <v>0</v>
      </c>
      <c r="CH7609">
        <f t="shared" si="301"/>
        <v>0</v>
      </c>
      <c r="CI7609">
        <f t="shared" si="301"/>
        <v>0</v>
      </c>
      <c r="CJ7609">
        <f t="shared" si="301"/>
        <v>0</v>
      </c>
      <c r="CK7609">
        <f t="shared" si="301"/>
        <v>0</v>
      </c>
      <c r="CL7609">
        <f t="shared" si="301"/>
        <v>0</v>
      </c>
      <c r="CM7609">
        <f t="shared" si="301"/>
        <v>0</v>
      </c>
      <c r="CN7609">
        <f t="shared" si="301"/>
        <v>0</v>
      </c>
      <c r="CO7609">
        <f t="shared" si="301"/>
        <v>0</v>
      </c>
      <c r="CP7609">
        <f t="shared" si="301"/>
        <v>0</v>
      </c>
      <c r="CQ7609">
        <f t="shared" si="301"/>
        <v>0</v>
      </c>
      <c r="CR7609">
        <f t="shared" si="301"/>
        <v>0</v>
      </c>
      <c r="CS7609">
        <f t="shared" si="301"/>
        <v>0</v>
      </c>
      <c r="CT7609">
        <f t="shared" si="301"/>
        <v>0</v>
      </c>
      <c r="CU7609">
        <f t="shared" si="301"/>
        <v>0</v>
      </c>
      <c r="CV7609">
        <f t="shared" si="301"/>
        <v>0</v>
      </c>
      <c r="CW7609">
        <f t="shared" si="301"/>
        <v>0</v>
      </c>
      <c r="CX7609">
        <f t="shared" si="301"/>
        <v>0</v>
      </c>
    </row>
    <row r="7610" spans="1:102">
      <c r="A7610" s="2"/>
      <c r="AY7610">
        <v>65</v>
      </c>
      <c r="AZ7610" s="2"/>
      <c r="BC7610">
        <f t="shared" ref="BC7610:CX7610" si="302">COUNTIF(B$3:B$7503,"65")</f>
        <v>0</v>
      </c>
      <c r="BD7610">
        <f t="shared" si="302"/>
        <v>0</v>
      </c>
      <c r="BE7610">
        <f t="shared" si="302"/>
        <v>0</v>
      </c>
      <c r="BF7610">
        <f t="shared" si="302"/>
        <v>0</v>
      </c>
      <c r="BG7610">
        <f t="shared" si="302"/>
        <v>0</v>
      </c>
      <c r="BH7610">
        <f t="shared" si="302"/>
        <v>0</v>
      </c>
      <c r="BI7610">
        <f t="shared" si="302"/>
        <v>0</v>
      </c>
      <c r="BJ7610">
        <f t="shared" si="302"/>
        <v>0</v>
      </c>
      <c r="BK7610" s="1">
        <f t="shared" si="302"/>
        <v>9</v>
      </c>
      <c r="BL7610">
        <f t="shared" si="302"/>
        <v>0</v>
      </c>
      <c r="BM7610">
        <f t="shared" si="302"/>
        <v>0</v>
      </c>
      <c r="BN7610">
        <f t="shared" si="302"/>
        <v>0</v>
      </c>
      <c r="BO7610">
        <f t="shared" si="302"/>
        <v>0</v>
      </c>
      <c r="BP7610">
        <f t="shared" si="302"/>
        <v>0</v>
      </c>
      <c r="BQ7610">
        <f t="shared" si="302"/>
        <v>0</v>
      </c>
      <c r="BR7610">
        <f t="shared" si="302"/>
        <v>0</v>
      </c>
      <c r="BS7610">
        <f t="shared" si="302"/>
        <v>0</v>
      </c>
      <c r="BT7610">
        <f t="shared" si="302"/>
        <v>0</v>
      </c>
      <c r="BU7610">
        <f t="shared" si="302"/>
        <v>0</v>
      </c>
      <c r="BV7610">
        <f t="shared" si="302"/>
        <v>0</v>
      </c>
      <c r="BW7610">
        <f t="shared" si="302"/>
        <v>0</v>
      </c>
      <c r="BX7610">
        <f t="shared" si="302"/>
        <v>0</v>
      </c>
      <c r="BY7610">
        <f t="shared" si="302"/>
        <v>0</v>
      </c>
      <c r="BZ7610">
        <f t="shared" si="302"/>
        <v>0</v>
      </c>
      <c r="CA7610">
        <f t="shared" si="302"/>
        <v>0</v>
      </c>
      <c r="CB7610">
        <f t="shared" si="302"/>
        <v>0</v>
      </c>
      <c r="CC7610">
        <f t="shared" si="302"/>
        <v>0</v>
      </c>
      <c r="CD7610">
        <f t="shared" si="302"/>
        <v>0</v>
      </c>
      <c r="CE7610">
        <f t="shared" si="302"/>
        <v>0</v>
      </c>
      <c r="CF7610">
        <f t="shared" si="302"/>
        <v>0</v>
      </c>
      <c r="CG7610">
        <f t="shared" si="302"/>
        <v>0</v>
      </c>
      <c r="CH7610">
        <f t="shared" si="302"/>
        <v>0</v>
      </c>
      <c r="CI7610">
        <f t="shared" si="302"/>
        <v>0</v>
      </c>
      <c r="CJ7610">
        <f t="shared" si="302"/>
        <v>0</v>
      </c>
      <c r="CK7610">
        <f t="shared" si="302"/>
        <v>0</v>
      </c>
      <c r="CL7610">
        <f t="shared" si="302"/>
        <v>0</v>
      </c>
      <c r="CM7610">
        <f t="shared" si="302"/>
        <v>0</v>
      </c>
      <c r="CN7610">
        <f t="shared" si="302"/>
        <v>0</v>
      </c>
      <c r="CO7610">
        <f t="shared" si="302"/>
        <v>0</v>
      </c>
      <c r="CP7610">
        <f t="shared" si="302"/>
        <v>0</v>
      </c>
      <c r="CQ7610">
        <f t="shared" si="302"/>
        <v>0</v>
      </c>
      <c r="CR7610">
        <f t="shared" si="302"/>
        <v>0</v>
      </c>
      <c r="CS7610">
        <f t="shared" si="302"/>
        <v>0</v>
      </c>
      <c r="CT7610">
        <f t="shared" si="302"/>
        <v>0</v>
      </c>
      <c r="CU7610">
        <f t="shared" si="302"/>
        <v>0</v>
      </c>
      <c r="CV7610">
        <f t="shared" si="302"/>
        <v>0</v>
      </c>
      <c r="CW7610">
        <f t="shared" si="302"/>
        <v>0</v>
      </c>
      <c r="CX7610">
        <f t="shared" si="302"/>
        <v>0</v>
      </c>
    </row>
    <row r="7611" spans="1:102">
      <c r="A7611" s="2"/>
      <c r="AY7611">
        <v>66</v>
      </c>
      <c r="AZ7611" s="2"/>
      <c r="BC7611">
        <f t="shared" ref="BC7611:CX7611" si="303">COUNTIF(B$3:B$7503,"66")</f>
        <v>0</v>
      </c>
      <c r="BD7611">
        <f t="shared" si="303"/>
        <v>0</v>
      </c>
      <c r="BE7611">
        <f t="shared" si="303"/>
        <v>0</v>
      </c>
      <c r="BF7611">
        <f t="shared" si="303"/>
        <v>0</v>
      </c>
      <c r="BG7611">
        <f t="shared" si="303"/>
        <v>0</v>
      </c>
      <c r="BH7611">
        <f t="shared" si="303"/>
        <v>0</v>
      </c>
      <c r="BI7611">
        <f t="shared" si="303"/>
        <v>0</v>
      </c>
      <c r="BJ7611">
        <f t="shared" si="303"/>
        <v>0</v>
      </c>
      <c r="BK7611" s="1">
        <f t="shared" si="303"/>
        <v>4</v>
      </c>
      <c r="BL7611">
        <f t="shared" si="303"/>
        <v>0</v>
      </c>
      <c r="BM7611">
        <f t="shared" si="303"/>
        <v>0</v>
      </c>
      <c r="BN7611">
        <f t="shared" si="303"/>
        <v>0</v>
      </c>
      <c r="BO7611">
        <f t="shared" si="303"/>
        <v>0</v>
      </c>
      <c r="BP7611">
        <f t="shared" si="303"/>
        <v>0</v>
      </c>
      <c r="BQ7611">
        <f t="shared" si="303"/>
        <v>0</v>
      </c>
      <c r="BR7611">
        <f t="shared" si="303"/>
        <v>0</v>
      </c>
      <c r="BS7611">
        <f t="shared" si="303"/>
        <v>0</v>
      </c>
      <c r="BT7611">
        <f t="shared" si="303"/>
        <v>0</v>
      </c>
      <c r="BU7611">
        <f t="shared" si="303"/>
        <v>0</v>
      </c>
      <c r="BV7611">
        <f t="shared" si="303"/>
        <v>0</v>
      </c>
      <c r="BW7611">
        <f t="shared" si="303"/>
        <v>0</v>
      </c>
      <c r="BX7611">
        <f t="shared" si="303"/>
        <v>0</v>
      </c>
      <c r="BY7611">
        <f t="shared" si="303"/>
        <v>0</v>
      </c>
      <c r="BZ7611">
        <f t="shared" si="303"/>
        <v>0</v>
      </c>
      <c r="CA7611">
        <f t="shared" si="303"/>
        <v>0</v>
      </c>
      <c r="CB7611">
        <f t="shared" si="303"/>
        <v>0</v>
      </c>
      <c r="CC7611">
        <f t="shared" si="303"/>
        <v>0</v>
      </c>
      <c r="CD7611">
        <f t="shared" si="303"/>
        <v>0</v>
      </c>
      <c r="CE7611">
        <f t="shared" si="303"/>
        <v>0</v>
      </c>
      <c r="CF7611">
        <f t="shared" si="303"/>
        <v>0</v>
      </c>
      <c r="CG7611">
        <f t="shared" si="303"/>
        <v>0</v>
      </c>
      <c r="CH7611">
        <f t="shared" si="303"/>
        <v>0</v>
      </c>
      <c r="CI7611">
        <f t="shared" si="303"/>
        <v>0</v>
      </c>
      <c r="CJ7611">
        <f t="shared" si="303"/>
        <v>0</v>
      </c>
      <c r="CK7611">
        <f t="shared" si="303"/>
        <v>0</v>
      </c>
      <c r="CL7611">
        <f t="shared" si="303"/>
        <v>0</v>
      </c>
      <c r="CM7611">
        <f t="shared" si="303"/>
        <v>0</v>
      </c>
      <c r="CN7611">
        <f t="shared" si="303"/>
        <v>0</v>
      </c>
      <c r="CO7611">
        <f t="shared" si="303"/>
        <v>0</v>
      </c>
      <c r="CP7611">
        <f t="shared" si="303"/>
        <v>0</v>
      </c>
      <c r="CQ7611">
        <f t="shared" si="303"/>
        <v>0</v>
      </c>
      <c r="CR7611">
        <f t="shared" si="303"/>
        <v>0</v>
      </c>
      <c r="CS7611">
        <f t="shared" si="303"/>
        <v>0</v>
      </c>
      <c r="CT7611">
        <f t="shared" si="303"/>
        <v>0</v>
      </c>
      <c r="CU7611">
        <f t="shared" si="303"/>
        <v>0</v>
      </c>
      <c r="CV7611">
        <f t="shared" si="303"/>
        <v>0</v>
      </c>
      <c r="CW7611">
        <f t="shared" si="303"/>
        <v>0</v>
      </c>
      <c r="CX7611">
        <f t="shared" si="303"/>
        <v>0</v>
      </c>
    </row>
    <row r="7612" spans="1:102">
      <c r="A7612" s="2"/>
      <c r="AY7612">
        <v>67</v>
      </c>
      <c r="AZ7612" s="2"/>
      <c r="BC7612">
        <f t="shared" ref="BC7612:CX7612" si="304">COUNTIF(B$3:B$7503,"67")</f>
        <v>0</v>
      </c>
      <c r="BD7612">
        <f t="shared" si="304"/>
        <v>0</v>
      </c>
      <c r="BE7612">
        <f t="shared" si="304"/>
        <v>0</v>
      </c>
      <c r="BF7612">
        <f t="shared" si="304"/>
        <v>0</v>
      </c>
      <c r="BG7612">
        <f t="shared" si="304"/>
        <v>0</v>
      </c>
      <c r="BH7612">
        <f t="shared" si="304"/>
        <v>0</v>
      </c>
      <c r="BI7612">
        <f t="shared" si="304"/>
        <v>0</v>
      </c>
      <c r="BJ7612">
        <f t="shared" si="304"/>
        <v>0</v>
      </c>
      <c r="BK7612" s="1">
        <f t="shared" si="304"/>
        <v>27</v>
      </c>
      <c r="BL7612">
        <f t="shared" si="304"/>
        <v>0</v>
      </c>
      <c r="BM7612">
        <f t="shared" si="304"/>
        <v>0</v>
      </c>
      <c r="BN7612">
        <f t="shared" si="304"/>
        <v>0</v>
      </c>
      <c r="BO7612">
        <f t="shared" si="304"/>
        <v>0</v>
      </c>
      <c r="BP7612">
        <f t="shared" si="304"/>
        <v>0</v>
      </c>
      <c r="BQ7612">
        <f t="shared" si="304"/>
        <v>0</v>
      </c>
      <c r="BR7612">
        <f t="shared" si="304"/>
        <v>0</v>
      </c>
      <c r="BS7612">
        <f t="shared" si="304"/>
        <v>0</v>
      </c>
      <c r="BT7612">
        <f t="shared" si="304"/>
        <v>0</v>
      </c>
      <c r="BU7612">
        <f t="shared" si="304"/>
        <v>0</v>
      </c>
      <c r="BV7612">
        <f t="shared" si="304"/>
        <v>0</v>
      </c>
      <c r="BW7612">
        <f t="shared" si="304"/>
        <v>0</v>
      </c>
      <c r="BX7612">
        <f t="shared" si="304"/>
        <v>0</v>
      </c>
      <c r="BY7612">
        <f t="shared" si="304"/>
        <v>0</v>
      </c>
      <c r="BZ7612">
        <f t="shared" si="304"/>
        <v>0</v>
      </c>
      <c r="CA7612">
        <f t="shared" si="304"/>
        <v>0</v>
      </c>
      <c r="CB7612">
        <f t="shared" si="304"/>
        <v>0</v>
      </c>
      <c r="CC7612">
        <f t="shared" si="304"/>
        <v>0</v>
      </c>
      <c r="CD7612">
        <f t="shared" si="304"/>
        <v>0</v>
      </c>
      <c r="CE7612">
        <f t="shared" si="304"/>
        <v>0</v>
      </c>
      <c r="CF7612">
        <f t="shared" si="304"/>
        <v>0</v>
      </c>
      <c r="CG7612">
        <f t="shared" si="304"/>
        <v>0</v>
      </c>
      <c r="CH7612">
        <f t="shared" si="304"/>
        <v>0</v>
      </c>
      <c r="CI7612">
        <f t="shared" si="304"/>
        <v>0</v>
      </c>
      <c r="CJ7612">
        <f t="shared" si="304"/>
        <v>0</v>
      </c>
      <c r="CK7612">
        <f t="shared" si="304"/>
        <v>0</v>
      </c>
      <c r="CL7612">
        <f t="shared" si="304"/>
        <v>0</v>
      </c>
      <c r="CM7612">
        <f t="shared" si="304"/>
        <v>0</v>
      </c>
      <c r="CN7612">
        <f t="shared" si="304"/>
        <v>0</v>
      </c>
      <c r="CO7612">
        <f t="shared" si="304"/>
        <v>0</v>
      </c>
      <c r="CP7612">
        <f t="shared" si="304"/>
        <v>0</v>
      </c>
      <c r="CQ7612">
        <f t="shared" si="304"/>
        <v>0</v>
      </c>
      <c r="CR7612">
        <f t="shared" si="304"/>
        <v>0</v>
      </c>
      <c r="CS7612">
        <f t="shared" si="304"/>
        <v>0</v>
      </c>
      <c r="CT7612">
        <f t="shared" si="304"/>
        <v>0</v>
      </c>
      <c r="CU7612">
        <f t="shared" si="304"/>
        <v>0</v>
      </c>
      <c r="CV7612">
        <f t="shared" si="304"/>
        <v>0</v>
      </c>
      <c r="CW7612">
        <f t="shared" si="304"/>
        <v>0</v>
      </c>
      <c r="CX7612">
        <f t="shared" si="304"/>
        <v>0</v>
      </c>
    </row>
    <row r="7613" spans="1:102">
      <c r="A7613" s="2"/>
      <c r="AY7613">
        <v>68</v>
      </c>
      <c r="AZ7613" s="2"/>
      <c r="BC7613">
        <f t="shared" ref="BC7613:CX7613" si="305">COUNTIF(B$3:B$7503,"68")</f>
        <v>0</v>
      </c>
      <c r="BD7613">
        <f t="shared" si="305"/>
        <v>0</v>
      </c>
      <c r="BE7613">
        <f t="shared" si="305"/>
        <v>0</v>
      </c>
      <c r="BF7613">
        <f t="shared" si="305"/>
        <v>0</v>
      </c>
      <c r="BG7613">
        <f t="shared" si="305"/>
        <v>0</v>
      </c>
      <c r="BH7613">
        <f t="shared" si="305"/>
        <v>0</v>
      </c>
      <c r="BI7613">
        <f t="shared" si="305"/>
        <v>0</v>
      </c>
      <c r="BJ7613">
        <f t="shared" si="305"/>
        <v>0</v>
      </c>
      <c r="BK7613" s="1">
        <f t="shared" si="305"/>
        <v>32</v>
      </c>
      <c r="BL7613">
        <f t="shared" si="305"/>
        <v>0</v>
      </c>
      <c r="BM7613">
        <f t="shared" si="305"/>
        <v>0</v>
      </c>
      <c r="BN7613">
        <f t="shared" si="305"/>
        <v>0</v>
      </c>
      <c r="BO7613">
        <f t="shared" si="305"/>
        <v>0</v>
      </c>
      <c r="BP7613">
        <f t="shared" si="305"/>
        <v>0</v>
      </c>
      <c r="BQ7613">
        <f t="shared" si="305"/>
        <v>0</v>
      </c>
      <c r="BR7613">
        <f t="shared" si="305"/>
        <v>0</v>
      </c>
      <c r="BS7613">
        <f t="shared" si="305"/>
        <v>0</v>
      </c>
      <c r="BT7613">
        <f t="shared" si="305"/>
        <v>0</v>
      </c>
      <c r="BU7613">
        <f t="shared" si="305"/>
        <v>0</v>
      </c>
      <c r="BV7613">
        <f t="shared" si="305"/>
        <v>0</v>
      </c>
      <c r="BW7613">
        <f t="shared" si="305"/>
        <v>0</v>
      </c>
      <c r="BX7613">
        <f t="shared" si="305"/>
        <v>0</v>
      </c>
      <c r="BY7613">
        <f t="shared" si="305"/>
        <v>0</v>
      </c>
      <c r="BZ7613">
        <f t="shared" si="305"/>
        <v>0</v>
      </c>
      <c r="CA7613">
        <f t="shared" si="305"/>
        <v>0</v>
      </c>
      <c r="CB7613">
        <f t="shared" si="305"/>
        <v>0</v>
      </c>
      <c r="CC7613">
        <f t="shared" si="305"/>
        <v>0</v>
      </c>
      <c r="CD7613">
        <f t="shared" si="305"/>
        <v>0</v>
      </c>
      <c r="CE7613">
        <f t="shared" si="305"/>
        <v>0</v>
      </c>
      <c r="CF7613">
        <f t="shared" si="305"/>
        <v>0</v>
      </c>
      <c r="CG7613">
        <f t="shared" si="305"/>
        <v>0</v>
      </c>
      <c r="CH7613">
        <f t="shared" si="305"/>
        <v>0</v>
      </c>
      <c r="CI7613">
        <f t="shared" si="305"/>
        <v>0</v>
      </c>
      <c r="CJ7613">
        <f t="shared" si="305"/>
        <v>0</v>
      </c>
      <c r="CK7613">
        <f t="shared" si="305"/>
        <v>0</v>
      </c>
      <c r="CL7613">
        <f t="shared" si="305"/>
        <v>0</v>
      </c>
      <c r="CM7613">
        <f t="shared" si="305"/>
        <v>0</v>
      </c>
      <c r="CN7613">
        <f t="shared" si="305"/>
        <v>0</v>
      </c>
      <c r="CO7613">
        <f t="shared" si="305"/>
        <v>0</v>
      </c>
      <c r="CP7613">
        <f t="shared" si="305"/>
        <v>0</v>
      </c>
      <c r="CQ7613">
        <f t="shared" si="305"/>
        <v>0</v>
      </c>
      <c r="CR7613">
        <f t="shared" si="305"/>
        <v>0</v>
      </c>
      <c r="CS7613">
        <f t="shared" si="305"/>
        <v>0</v>
      </c>
      <c r="CT7613">
        <f t="shared" si="305"/>
        <v>0</v>
      </c>
      <c r="CU7613">
        <f t="shared" si="305"/>
        <v>0</v>
      </c>
      <c r="CV7613">
        <f t="shared" si="305"/>
        <v>0</v>
      </c>
      <c r="CW7613">
        <f t="shared" si="305"/>
        <v>0</v>
      </c>
      <c r="CX7613">
        <f t="shared" si="305"/>
        <v>0</v>
      </c>
    </row>
    <row r="7614" spans="1:102">
      <c r="A7614" s="2"/>
      <c r="AY7614">
        <v>69</v>
      </c>
      <c r="AZ7614" s="2"/>
      <c r="BC7614">
        <f t="shared" ref="BC7614:CX7614" si="306">COUNTIF(B$3:B$7503,"69")</f>
        <v>0</v>
      </c>
      <c r="BD7614">
        <f t="shared" si="306"/>
        <v>0</v>
      </c>
      <c r="BE7614">
        <f t="shared" si="306"/>
        <v>0</v>
      </c>
      <c r="BF7614">
        <f t="shared" si="306"/>
        <v>0</v>
      </c>
      <c r="BG7614">
        <f t="shared" si="306"/>
        <v>0</v>
      </c>
      <c r="BH7614">
        <f t="shared" si="306"/>
        <v>0</v>
      </c>
      <c r="BI7614">
        <f t="shared" si="306"/>
        <v>0</v>
      </c>
      <c r="BJ7614">
        <f t="shared" si="306"/>
        <v>0</v>
      </c>
      <c r="BK7614" s="1">
        <f t="shared" si="306"/>
        <v>18</v>
      </c>
      <c r="BL7614">
        <f t="shared" si="306"/>
        <v>0</v>
      </c>
      <c r="BM7614">
        <f t="shared" si="306"/>
        <v>0</v>
      </c>
      <c r="BN7614">
        <f t="shared" si="306"/>
        <v>0</v>
      </c>
      <c r="BO7614">
        <f t="shared" si="306"/>
        <v>0</v>
      </c>
      <c r="BP7614">
        <f t="shared" si="306"/>
        <v>0</v>
      </c>
      <c r="BQ7614">
        <f t="shared" si="306"/>
        <v>0</v>
      </c>
      <c r="BR7614">
        <f t="shared" si="306"/>
        <v>0</v>
      </c>
      <c r="BS7614">
        <f t="shared" si="306"/>
        <v>0</v>
      </c>
      <c r="BT7614">
        <f t="shared" si="306"/>
        <v>0</v>
      </c>
      <c r="BU7614">
        <f t="shared" si="306"/>
        <v>0</v>
      </c>
      <c r="BV7614">
        <f t="shared" si="306"/>
        <v>0</v>
      </c>
      <c r="BW7614">
        <f t="shared" si="306"/>
        <v>0</v>
      </c>
      <c r="BX7614">
        <f t="shared" si="306"/>
        <v>0</v>
      </c>
      <c r="BY7614">
        <f t="shared" si="306"/>
        <v>0</v>
      </c>
      <c r="BZ7614">
        <f t="shared" si="306"/>
        <v>0</v>
      </c>
      <c r="CA7614">
        <f t="shared" si="306"/>
        <v>0</v>
      </c>
      <c r="CB7614">
        <f t="shared" si="306"/>
        <v>0</v>
      </c>
      <c r="CC7614">
        <f t="shared" si="306"/>
        <v>0</v>
      </c>
      <c r="CD7614">
        <f t="shared" si="306"/>
        <v>0</v>
      </c>
      <c r="CE7614">
        <f t="shared" si="306"/>
        <v>0</v>
      </c>
      <c r="CF7614">
        <f t="shared" si="306"/>
        <v>0</v>
      </c>
      <c r="CG7614">
        <f t="shared" si="306"/>
        <v>0</v>
      </c>
      <c r="CH7614">
        <f t="shared" si="306"/>
        <v>0</v>
      </c>
      <c r="CI7614">
        <f t="shared" si="306"/>
        <v>0</v>
      </c>
      <c r="CJ7614">
        <f t="shared" si="306"/>
        <v>0</v>
      </c>
      <c r="CK7614">
        <f t="shared" si="306"/>
        <v>0</v>
      </c>
      <c r="CL7614">
        <f t="shared" si="306"/>
        <v>0</v>
      </c>
      <c r="CM7614">
        <f t="shared" si="306"/>
        <v>0</v>
      </c>
      <c r="CN7614">
        <f t="shared" si="306"/>
        <v>0</v>
      </c>
      <c r="CO7614">
        <f t="shared" si="306"/>
        <v>0</v>
      </c>
      <c r="CP7614">
        <f t="shared" si="306"/>
        <v>0</v>
      </c>
      <c r="CQ7614">
        <f t="shared" si="306"/>
        <v>0</v>
      </c>
      <c r="CR7614">
        <f t="shared" si="306"/>
        <v>0</v>
      </c>
      <c r="CS7614">
        <f t="shared" si="306"/>
        <v>0</v>
      </c>
      <c r="CT7614">
        <f t="shared" si="306"/>
        <v>0</v>
      </c>
      <c r="CU7614">
        <f t="shared" si="306"/>
        <v>0</v>
      </c>
      <c r="CV7614">
        <f t="shared" si="306"/>
        <v>0</v>
      </c>
      <c r="CW7614">
        <f t="shared" si="306"/>
        <v>0</v>
      </c>
      <c r="CX7614">
        <f t="shared" si="306"/>
        <v>0</v>
      </c>
    </row>
    <row r="7615" spans="1:102">
      <c r="A7615" s="2"/>
      <c r="AY7615">
        <v>70</v>
      </c>
      <c r="AZ7615" s="2"/>
      <c r="BC7615">
        <f t="shared" ref="BC7615:CX7615" si="307">COUNTIF(B$3:B$7503,"70")</f>
        <v>0</v>
      </c>
      <c r="BD7615">
        <f t="shared" si="307"/>
        <v>0</v>
      </c>
      <c r="BE7615">
        <f t="shared" si="307"/>
        <v>0</v>
      </c>
      <c r="BF7615">
        <f t="shared" si="307"/>
        <v>0</v>
      </c>
      <c r="BG7615">
        <f t="shared" si="307"/>
        <v>0</v>
      </c>
      <c r="BH7615">
        <f t="shared" si="307"/>
        <v>0</v>
      </c>
      <c r="BI7615">
        <f t="shared" si="307"/>
        <v>0</v>
      </c>
      <c r="BJ7615">
        <f t="shared" si="307"/>
        <v>0</v>
      </c>
      <c r="BK7615" s="1">
        <f t="shared" si="307"/>
        <v>14</v>
      </c>
      <c r="BL7615">
        <f t="shared" si="307"/>
        <v>0</v>
      </c>
      <c r="BM7615">
        <f t="shared" si="307"/>
        <v>0</v>
      </c>
      <c r="BN7615">
        <f t="shared" si="307"/>
        <v>0</v>
      </c>
      <c r="BO7615">
        <f t="shared" si="307"/>
        <v>0</v>
      </c>
      <c r="BP7615">
        <f t="shared" si="307"/>
        <v>0</v>
      </c>
      <c r="BQ7615">
        <f t="shared" si="307"/>
        <v>0</v>
      </c>
      <c r="BR7615">
        <f t="shared" si="307"/>
        <v>0</v>
      </c>
      <c r="BS7615">
        <f t="shared" si="307"/>
        <v>0</v>
      </c>
      <c r="BT7615">
        <f t="shared" si="307"/>
        <v>0</v>
      </c>
      <c r="BU7615">
        <f t="shared" si="307"/>
        <v>0</v>
      </c>
      <c r="BV7615">
        <f t="shared" si="307"/>
        <v>0</v>
      </c>
      <c r="BW7615">
        <f t="shared" si="307"/>
        <v>0</v>
      </c>
      <c r="BX7615">
        <f t="shared" si="307"/>
        <v>0</v>
      </c>
      <c r="BY7615">
        <f t="shared" si="307"/>
        <v>0</v>
      </c>
      <c r="BZ7615">
        <f t="shared" si="307"/>
        <v>0</v>
      </c>
      <c r="CA7615">
        <f t="shared" si="307"/>
        <v>0</v>
      </c>
      <c r="CB7615">
        <f t="shared" si="307"/>
        <v>0</v>
      </c>
      <c r="CC7615">
        <f t="shared" si="307"/>
        <v>0</v>
      </c>
      <c r="CD7615">
        <f t="shared" si="307"/>
        <v>0</v>
      </c>
      <c r="CE7615">
        <f t="shared" si="307"/>
        <v>0</v>
      </c>
      <c r="CF7615">
        <f t="shared" si="307"/>
        <v>0</v>
      </c>
      <c r="CG7615">
        <f t="shared" si="307"/>
        <v>0</v>
      </c>
      <c r="CH7615">
        <f t="shared" si="307"/>
        <v>0</v>
      </c>
      <c r="CI7615">
        <f t="shared" si="307"/>
        <v>0</v>
      </c>
      <c r="CJ7615">
        <f t="shared" si="307"/>
        <v>0</v>
      </c>
      <c r="CK7615">
        <f t="shared" si="307"/>
        <v>0</v>
      </c>
      <c r="CL7615">
        <f t="shared" si="307"/>
        <v>0</v>
      </c>
      <c r="CM7615">
        <f t="shared" si="307"/>
        <v>0</v>
      </c>
      <c r="CN7615">
        <f t="shared" si="307"/>
        <v>0</v>
      </c>
      <c r="CO7615">
        <f t="shared" si="307"/>
        <v>0</v>
      </c>
      <c r="CP7615">
        <f t="shared" si="307"/>
        <v>0</v>
      </c>
      <c r="CQ7615">
        <f t="shared" si="307"/>
        <v>0</v>
      </c>
      <c r="CR7615">
        <f t="shared" si="307"/>
        <v>0</v>
      </c>
      <c r="CS7615">
        <f t="shared" si="307"/>
        <v>0</v>
      </c>
      <c r="CT7615">
        <f t="shared" si="307"/>
        <v>0</v>
      </c>
      <c r="CU7615">
        <f t="shared" si="307"/>
        <v>0</v>
      </c>
      <c r="CV7615">
        <f t="shared" si="307"/>
        <v>0</v>
      </c>
      <c r="CW7615">
        <f t="shared" si="307"/>
        <v>0</v>
      </c>
      <c r="CX7615">
        <f t="shared" si="307"/>
        <v>0</v>
      </c>
    </row>
    <row r="7616" spans="1:102">
      <c r="A7616" s="2"/>
      <c r="AY7616">
        <v>71</v>
      </c>
      <c r="AZ7616" s="2"/>
      <c r="BC7616">
        <f t="shared" ref="BC7616:CX7616" si="308">COUNTIF(B$3:B$7503,"71")</f>
        <v>0</v>
      </c>
      <c r="BD7616">
        <f t="shared" si="308"/>
        <v>0</v>
      </c>
      <c r="BE7616">
        <f t="shared" si="308"/>
        <v>0</v>
      </c>
      <c r="BF7616">
        <f t="shared" si="308"/>
        <v>0</v>
      </c>
      <c r="BG7616">
        <f t="shared" si="308"/>
        <v>0</v>
      </c>
      <c r="BH7616">
        <f t="shared" si="308"/>
        <v>0</v>
      </c>
      <c r="BI7616">
        <f t="shared" si="308"/>
        <v>0</v>
      </c>
      <c r="BJ7616">
        <f t="shared" si="308"/>
        <v>0</v>
      </c>
      <c r="BK7616" s="1">
        <f t="shared" si="308"/>
        <v>11</v>
      </c>
      <c r="BL7616">
        <f t="shared" si="308"/>
        <v>0</v>
      </c>
      <c r="BM7616">
        <f t="shared" si="308"/>
        <v>0</v>
      </c>
      <c r="BN7616">
        <f t="shared" si="308"/>
        <v>0</v>
      </c>
      <c r="BO7616">
        <f t="shared" si="308"/>
        <v>0</v>
      </c>
      <c r="BP7616">
        <f t="shared" si="308"/>
        <v>0</v>
      </c>
      <c r="BQ7616">
        <f t="shared" si="308"/>
        <v>0</v>
      </c>
      <c r="BR7616">
        <f t="shared" si="308"/>
        <v>0</v>
      </c>
      <c r="BS7616">
        <f t="shared" si="308"/>
        <v>0</v>
      </c>
      <c r="BT7616">
        <f t="shared" si="308"/>
        <v>0</v>
      </c>
      <c r="BU7616">
        <f t="shared" si="308"/>
        <v>0</v>
      </c>
      <c r="BV7616">
        <f t="shared" si="308"/>
        <v>0</v>
      </c>
      <c r="BW7616">
        <f t="shared" si="308"/>
        <v>0</v>
      </c>
      <c r="BX7616">
        <f t="shared" si="308"/>
        <v>0</v>
      </c>
      <c r="BY7616">
        <f t="shared" si="308"/>
        <v>0</v>
      </c>
      <c r="BZ7616">
        <f t="shared" si="308"/>
        <v>0</v>
      </c>
      <c r="CA7616">
        <f t="shared" si="308"/>
        <v>0</v>
      </c>
      <c r="CB7616">
        <f t="shared" si="308"/>
        <v>0</v>
      </c>
      <c r="CC7616">
        <f t="shared" si="308"/>
        <v>0</v>
      </c>
      <c r="CD7616">
        <f t="shared" si="308"/>
        <v>0</v>
      </c>
      <c r="CE7616">
        <f t="shared" si="308"/>
        <v>0</v>
      </c>
      <c r="CF7616">
        <f t="shared" si="308"/>
        <v>0</v>
      </c>
      <c r="CG7616">
        <f t="shared" si="308"/>
        <v>0</v>
      </c>
      <c r="CH7616">
        <f t="shared" si="308"/>
        <v>0</v>
      </c>
      <c r="CI7616">
        <f t="shared" si="308"/>
        <v>0</v>
      </c>
      <c r="CJ7616">
        <f t="shared" si="308"/>
        <v>0</v>
      </c>
      <c r="CK7616">
        <f t="shared" si="308"/>
        <v>0</v>
      </c>
      <c r="CL7616">
        <f t="shared" si="308"/>
        <v>0</v>
      </c>
      <c r="CM7616">
        <f t="shared" si="308"/>
        <v>0</v>
      </c>
      <c r="CN7616">
        <f t="shared" si="308"/>
        <v>0</v>
      </c>
      <c r="CO7616">
        <f t="shared" si="308"/>
        <v>0</v>
      </c>
      <c r="CP7616">
        <f t="shared" si="308"/>
        <v>0</v>
      </c>
      <c r="CQ7616">
        <f t="shared" si="308"/>
        <v>0</v>
      </c>
      <c r="CR7616">
        <f t="shared" si="308"/>
        <v>0</v>
      </c>
      <c r="CS7616">
        <f t="shared" si="308"/>
        <v>0</v>
      </c>
      <c r="CT7616">
        <f t="shared" si="308"/>
        <v>0</v>
      </c>
      <c r="CU7616">
        <f t="shared" si="308"/>
        <v>0</v>
      </c>
      <c r="CV7616">
        <f t="shared" si="308"/>
        <v>0</v>
      </c>
      <c r="CW7616">
        <f t="shared" si="308"/>
        <v>0</v>
      </c>
      <c r="CX7616">
        <f t="shared" si="308"/>
        <v>0</v>
      </c>
    </row>
    <row r="7617" spans="1:102">
      <c r="A7617" s="2"/>
      <c r="AY7617">
        <v>72</v>
      </c>
      <c r="AZ7617" s="2"/>
      <c r="BC7617">
        <f t="shared" ref="BC7617:CX7617" si="309">COUNTIF(B$3:B$7503,"72")</f>
        <v>0</v>
      </c>
      <c r="BD7617">
        <f t="shared" si="309"/>
        <v>0</v>
      </c>
      <c r="BE7617">
        <f t="shared" si="309"/>
        <v>0</v>
      </c>
      <c r="BF7617">
        <f t="shared" si="309"/>
        <v>0</v>
      </c>
      <c r="BG7617">
        <f t="shared" si="309"/>
        <v>0</v>
      </c>
      <c r="BH7617">
        <f t="shared" si="309"/>
        <v>0</v>
      </c>
      <c r="BI7617">
        <f t="shared" si="309"/>
        <v>0</v>
      </c>
      <c r="BJ7617">
        <f t="shared" si="309"/>
        <v>0</v>
      </c>
      <c r="BK7617" s="1">
        <f t="shared" si="309"/>
        <v>5</v>
      </c>
      <c r="BL7617">
        <f t="shared" si="309"/>
        <v>0</v>
      </c>
      <c r="BM7617">
        <f t="shared" si="309"/>
        <v>0</v>
      </c>
      <c r="BN7617">
        <f t="shared" si="309"/>
        <v>0</v>
      </c>
      <c r="BO7617">
        <f t="shared" si="309"/>
        <v>0</v>
      </c>
      <c r="BP7617">
        <f t="shared" si="309"/>
        <v>0</v>
      </c>
      <c r="BQ7617">
        <f t="shared" si="309"/>
        <v>0</v>
      </c>
      <c r="BR7617">
        <f t="shared" si="309"/>
        <v>0</v>
      </c>
      <c r="BS7617">
        <f t="shared" si="309"/>
        <v>0</v>
      </c>
      <c r="BT7617">
        <f t="shared" si="309"/>
        <v>0</v>
      </c>
      <c r="BU7617">
        <f t="shared" si="309"/>
        <v>0</v>
      </c>
      <c r="BV7617">
        <f t="shared" si="309"/>
        <v>0</v>
      </c>
      <c r="BW7617">
        <f t="shared" si="309"/>
        <v>0</v>
      </c>
      <c r="BX7617">
        <f t="shared" si="309"/>
        <v>0</v>
      </c>
      <c r="BY7617">
        <f t="shared" si="309"/>
        <v>0</v>
      </c>
      <c r="BZ7617">
        <f t="shared" si="309"/>
        <v>0</v>
      </c>
      <c r="CA7617">
        <f t="shared" si="309"/>
        <v>0</v>
      </c>
      <c r="CB7617">
        <f t="shared" si="309"/>
        <v>0</v>
      </c>
      <c r="CC7617">
        <f t="shared" si="309"/>
        <v>0</v>
      </c>
      <c r="CD7617">
        <f t="shared" si="309"/>
        <v>0</v>
      </c>
      <c r="CE7617">
        <f t="shared" si="309"/>
        <v>0</v>
      </c>
      <c r="CF7617">
        <f t="shared" si="309"/>
        <v>0</v>
      </c>
      <c r="CG7617">
        <f t="shared" si="309"/>
        <v>0</v>
      </c>
      <c r="CH7617">
        <f t="shared" si="309"/>
        <v>0</v>
      </c>
      <c r="CI7617">
        <f t="shared" si="309"/>
        <v>0</v>
      </c>
      <c r="CJ7617">
        <f t="shared" si="309"/>
        <v>0</v>
      </c>
      <c r="CK7617">
        <f t="shared" si="309"/>
        <v>0</v>
      </c>
      <c r="CL7617">
        <f t="shared" si="309"/>
        <v>0</v>
      </c>
      <c r="CM7617">
        <f t="shared" si="309"/>
        <v>0</v>
      </c>
      <c r="CN7617">
        <f t="shared" si="309"/>
        <v>0</v>
      </c>
      <c r="CO7617">
        <f t="shared" si="309"/>
        <v>0</v>
      </c>
      <c r="CP7617">
        <f t="shared" si="309"/>
        <v>0</v>
      </c>
      <c r="CQ7617">
        <f t="shared" si="309"/>
        <v>0</v>
      </c>
      <c r="CR7617">
        <f t="shared" si="309"/>
        <v>0</v>
      </c>
      <c r="CS7617">
        <f t="shared" si="309"/>
        <v>0</v>
      </c>
      <c r="CT7617">
        <f t="shared" si="309"/>
        <v>0</v>
      </c>
      <c r="CU7617">
        <f t="shared" si="309"/>
        <v>0</v>
      </c>
      <c r="CV7617">
        <f t="shared" si="309"/>
        <v>0</v>
      </c>
      <c r="CW7617">
        <f t="shared" si="309"/>
        <v>0</v>
      </c>
      <c r="CX7617">
        <f t="shared" si="309"/>
        <v>0</v>
      </c>
    </row>
    <row r="7618" spans="1:102">
      <c r="A7618" s="2"/>
      <c r="AY7618">
        <v>73</v>
      </c>
      <c r="AZ7618" s="2"/>
      <c r="BC7618">
        <f t="shared" ref="BC7618:CX7618" si="310">COUNTIF(B$3:B$7503,"73")</f>
        <v>0</v>
      </c>
      <c r="BD7618">
        <f t="shared" si="310"/>
        <v>0</v>
      </c>
      <c r="BE7618">
        <f t="shared" si="310"/>
        <v>0</v>
      </c>
      <c r="BF7618">
        <f t="shared" si="310"/>
        <v>0</v>
      </c>
      <c r="BG7618">
        <f t="shared" si="310"/>
        <v>0</v>
      </c>
      <c r="BH7618">
        <f t="shared" si="310"/>
        <v>0</v>
      </c>
      <c r="BI7618">
        <f t="shared" si="310"/>
        <v>0</v>
      </c>
      <c r="BJ7618">
        <f t="shared" si="310"/>
        <v>0</v>
      </c>
      <c r="BK7618" s="1">
        <f t="shared" si="310"/>
        <v>39</v>
      </c>
      <c r="BL7618">
        <f t="shared" si="310"/>
        <v>0</v>
      </c>
      <c r="BM7618">
        <f t="shared" si="310"/>
        <v>0</v>
      </c>
      <c r="BN7618">
        <f t="shared" si="310"/>
        <v>0</v>
      </c>
      <c r="BO7618">
        <f t="shared" si="310"/>
        <v>0</v>
      </c>
      <c r="BP7618">
        <f t="shared" si="310"/>
        <v>0</v>
      </c>
      <c r="BQ7618">
        <f t="shared" si="310"/>
        <v>0</v>
      </c>
      <c r="BR7618">
        <f t="shared" si="310"/>
        <v>0</v>
      </c>
      <c r="BS7618">
        <f t="shared" si="310"/>
        <v>0</v>
      </c>
      <c r="BT7618">
        <f t="shared" si="310"/>
        <v>0</v>
      </c>
      <c r="BU7618">
        <f t="shared" si="310"/>
        <v>0</v>
      </c>
      <c r="BV7618">
        <f t="shared" si="310"/>
        <v>0</v>
      </c>
      <c r="BW7618">
        <f t="shared" si="310"/>
        <v>0</v>
      </c>
      <c r="BX7618">
        <f t="shared" si="310"/>
        <v>0</v>
      </c>
      <c r="BY7618">
        <f t="shared" si="310"/>
        <v>0</v>
      </c>
      <c r="BZ7618">
        <f t="shared" si="310"/>
        <v>0</v>
      </c>
      <c r="CA7618">
        <f t="shared" si="310"/>
        <v>0</v>
      </c>
      <c r="CB7618">
        <f t="shared" si="310"/>
        <v>0</v>
      </c>
      <c r="CC7618">
        <f t="shared" si="310"/>
        <v>0</v>
      </c>
      <c r="CD7618">
        <f t="shared" si="310"/>
        <v>0</v>
      </c>
      <c r="CE7618">
        <f t="shared" si="310"/>
        <v>0</v>
      </c>
      <c r="CF7618">
        <f t="shared" si="310"/>
        <v>0</v>
      </c>
      <c r="CG7618">
        <f t="shared" si="310"/>
        <v>0</v>
      </c>
      <c r="CH7618">
        <f t="shared" si="310"/>
        <v>0</v>
      </c>
      <c r="CI7618">
        <f t="shared" si="310"/>
        <v>0</v>
      </c>
      <c r="CJ7618">
        <f t="shared" si="310"/>
        <v>0</v>
      </c>
      <c r="CK7618">
        <f t="shared" si="310"/>
        <v>0</v>
      </c>
      <c r="CL7618">
        <f t="shared" si="310"/>
        <v>0</v>
      </c>
      <c r="CM7618">
        <f t="shared" si="310"/>
        <v>0</v>
      </c>
      <c r="CN7618">
        <f t="shared" si="310"/>
        <v>0</v>
      </c>
      <c r="CO7618">
        <f t="shared" si="310"/>
        <v>0</v>
      </c>
      <c r="CP7618">
        <f t="shared" si="310"/>
        <v>0</v>
      </c>
      <c r="CQ7618">
        <f t="shared" si="310"/>
        <v>0</v>
      </c>
      <c r="CR7618">
        <f t="shared" si="310"/>
        <v>0</v>
      </c>
      <c r="CS7618">
        <f t="shared" si="310"/>
        <v>0</v>
      </c>
      <c r="CT7618">
        <f t="shared" si="310"/>
        <v>0</v>
      </c>
      <c r="CU7618">
        <f t="shared" si="310"/>
        <v>0</v>
      </c>
      <c r="CV7618">
        <f t="shared" si="310"/>
        <v>0</v>
      </c>
      <c r="CW7618">
        <f t="shared" si="310"/>
        <v>0</v>
      </c>
      <c r="CX7618">
        <f t="shared" si="310"/>
        <v>0</v>
      </c>
    </row>
    <row r="7619" spans="1:102">
      <c r="A7619" s="2"/>
      <c r="AY7619">
        <v>74</v>
      </c>
      <c r="AZ7619" s="2"/>
      <c r="BC7619">
        <f t="shared" ref="BC7619:CX7619" si="311">COUNTIF(B$3:B$7503,"74")</f>
        <v>0</v>
      </c>
      <c r="BD7619">
        <f t="shared" si="311"/>
        <v>0</v>
      </c>
      <c r="BE7619">
        <f t="shared" si="311"/>
        <v>0</v>
      </c>
      <c r="BF7619">
        <f t="shared" si="311"/>
        <v>0</v>
      </c>
      <c r="BG7619">
        <f t="shared" si="311"/>
        <v>0</v>
      </c>
      <c r="BH7619">
        <f t="shared" si="311"/>
        <v>0</v>
      </c>
      <c r="BI7619">
        <f t="shared" si="311"/>
        <v>0</v>
      </c>
      <c r="BJ7619">
        <f t="shared" si="311"/>
        <v>0</v>
      </c>
      <c r="BK7619" s="1">
        <f t="shared" si="311"/>
        <v>24</v>
      </c>
      <c r="BL7619">
        <f t="shared" si="311"/>
        <v>0</v>
      </c>
      <c r="BM7619">
        <f t="shared" si="311"/>
        <v>0</v>
      </c>
      <c r="BN7619">
        <f t="shared" si="311"/>
        <v>0</v>
      </c>
      <c r="BO7619">
        <f t="shared" si="311"/>
        <v>0</v>
      </c>
      <c r="BP7619">
        <f t="shared" si="311"/>
        <v>0</v>
      </c>
      <c r="BQ7619">
        <f t="shared" si="311"/>
        <v>0</v>
      </c>
      <c r="BR7619">
        <f t="shared" si="311"/>
        <v>0</v>
      </c>
      <c r="BS7619">
        <f t="shared" si="311"/>
        <v>0</v>
      </c>
      <c r="BT7619">
        <f t="shared" si="311"/>
        <v>0</v>
      </c>
      <c r="BU7619">
        <f t="shared" si="311"/>
        <v>0</v>
      </c>
      <c r="BV7619">
        <f t="shared" si="311"/>
        <v>0</v>
      </c>
      <c r="BW7619">
        <f t="shared" si="311"/>
        <v>0</v>
      </c>
      <c r="BX7619">
        <f t="shared" si="311"/>
        <v>0</v>
      </c>
      <c r="BY7619">
        <f t="shared" si="311"/>
        <v>0</v>
      </c>
      <c r="BZ7619">
        <f t="shared" si="311"/>
        <v>0</v>
      </c>
      <c r="CA7619">
        <f t="shared" si="311"/>
        <v>0</v>
      </c>
      <c r="CB7619">
        <f t="shared" si="311"/>
        <v>0</v>
      </c>
      <c r="CC7619">
        <f t="shared" si="311"/>
        <v>0</v>
      </c>
      <c r="CD7619">
        <f t="shared" si="311"/>
        <v>0</v>
      </c>
      <c r="CE7619">
        <f t="shared" si="311"/>
        <v>0</v>
      </c>
      <c r="CF7619">
        <f t="shared" si="311"/>
        <v>0</v>
      </c>
      <c r="CG7619">
        <f t="shared" si="311"/>
        <v>0</v>
      </c>
      <c r="CH7619">
        <f t="shared" si="311"/>
        <v>0</v>
      </c>
      <c r="CI7619">
        <f t="shared" si="311"/>
        <v>0</v>
      </c>
      <c r="CJ7619">
        <f t="shared" si="311"/>
        <v>0</v>
      </c>
      <c r="CK7619">
        <f t="shared" si="311"/>
        <v>0</v>
      </c>
      <c r="CL7619">
        <f t="shared" si="311"/>
        <v>0</v>
      </c>
      <c r="CM7619">
        <f t="shared" si="311"/>
        <v>0</v>
      </c>
      <c r="CN7619">
        <f t="shared" si="311"/>
        <v>0</v>
      </c>
      <c r="CO7619">
        <f t="shared" si="311"/>
        <v>0</v>
      </c>
      <c r="CP7619">
        <f t="shared" si="311"/>
        <v>0</v>
      </c>
      <c r="CQ7619">
        <f t="shared" si="311"/>
        <v>0</v>
      </c>
      <c r="CR7619">
        <f t="shared" si="311"/>
        <v>0</v>
      </c>
      <c r="CS7619">
        <f t="shared" si="311"/>
        <v>0</v>
      </c>
      <c r="CT7619">
        <f t="shared" si="311"/>
        <v>0</v>
      </c>
      <c r="CU7619">
        <f t="shared" si="311"/>
        <v>0</v>
      </c>
      <c r="CV7619">
        <f t="shared" si="311"/>
        <v>0</v>
      </c>
      <c r="CW7619">
        <f t="shared" si="311"/>
        <v>0</v>
      </c>
      <c r="CX7619">
        <f t="shared" si="311"/>
        <v>0</v>
      </c>
    </row>
    <row r="7620" spans="1:102">
      <c r="A7620" s="2"/>
      <c r="AY7620">
        <v>75</v>
      </c>
      <c r="AZ7620" s="2"/>
      <c r="BC7620">
        <f t="shared" ref="BC7620:CX7620" si="312">COUNTIF(B$3:B$7503,"75")</f>
        <v>0</v>
      </c>
      <c r="BD7620">
        <f t="shared" si="312"/>
        <v>0</v>
      </c>
      <c r="BE7620">
        <f t="shared" si="312"/>
        <v>0</v>
      </c>
      <c r="BF7620">
        <f t="shared" si="312"/>
        <v>0</v>
      </c>
      <c r="BG7620">
        <f t="shared" si="312"/>
        <v>0</v>
      </c>
      <c r="BH7620">
        <f t="shared" si="312"/>
        <v>0</v>
      </c>
      <c r="BI7620">
        <f t="shared" si="312"/>
        <v>0</v>
      </c>
      <c r="BJ7620">
        <f t="shared" si="312"/>
        <v>0</v>
      </c>
      <c r="BK7620" s="1">
        <f t="shared" si="312"/>
        <v>9</v>
      </c>
      <c r="BL7620">
        <f t="shared" si="312"/>
        <v>0</v>
      </c>
      <c r="BM7620">
        <f t="shared" si="312"/>
        <v>0</v>
      </c>
      <c r="BN7620">
        <f t="shared" si="312"/>
        <v>0</v>
      </c>
      <c r="BO7620">
        <f t="shared" si="312"/>
        <v>0</v>
      </c>
      <c r="BP7620">
        <f t="shared" si="312"/>
        <v>0</v>
      </c>
      <c r="BQ7620">
        <f t="shared" si="312"/>
        <v>0</v>
      </c>
      <c r="BR7620">
        <f t="shared" si="312"/>
        <v>0</v>
      </c>
      <c r="BS7620">
        <f t="shared" si="312"/>
        <v>0</v>
      </c>
      <c r="BT7620">
        <f t="shared" si="312"/>
        <v>0</v>
      </c>
      <c r="BU7620">
        <f t="shared" si="312"/>
        <v>0</v>
      </c>
      <c r="BV7620">
        <f t="shared" si="312"/>
        <v>0</v>
      </c>
      <c r="BW7620">
        <f t="shared" si="312"/>
        <v>0</v>
      </c>
      <c r="BX7620">
        <f t="shared" si="312"/>
        <v>0</v>
      </c>
      <c r="BY7620">
        <f t="shared" si="312"/>
        <v>0</v>
      </c>
      <c r="BZ7620">
        <f t="shared" si="312"/>
        <v>0</v>
      </c>
      <c r="CA7620">
        <f t="shared" si="312"/>
        <v>0</v>
      </c>
      <c r="CB7620">
        <f t="shared" si="312"/>
        <v>0</v>
      </c>
      <c r="CC7620">
        <f t="shared" si="312"/>
        <v>0</v>
      </c>
      <c r="CD7620">
        <f t="shared" si="312"/>
        <v>0</v>
      </c>
      <c r="CE7620">
        <f t="shared" si="312"/>
        <v>0</v>
      </c>
      <c r="CF7620">
        <f t="shared" si="312"/>
        <v>0</v>
      </c>
      <c r="CG7620">
        <f t="shared" si="312"/>
        <v>0</v>
      </c>
      <c r="CH7620">
        <f t="shared" si="312"/>
        <v>0</v>
      </c>
      <c r="CI7620">
        <f t="shared" si="312"/>
        <v>0</v>
      </c>
      <c r="CJ7620">
        <f t="shared" si="312"/>
        <v>0</v>
      </c>
      <c r="CK7620">
        <f t="shared" si="312"/>
        <v>0</v>
      </c>
      <c r="CL7620">
        <f t="shared" si="312"/>
        <v>0</v>
      </c>
      <c r="CM7620">
        <f t="shared" si="312"/>
        <v>0</v>
      </c>
      <c r="CN7620">
        <f t="shared" si="312"/>
        <v>0</v>
      </c>
      <c r="CO7620">
        <f t="shared" si="312"/>
        <v>0</v>
      </c>
      <c r="CP7620">
        <f t="shared" si="312"/>
        <v>0</v>
      </c>
      <c r="CQ7620">
        <f t="shared" si="312"/>
        <v>0</v>
      </c>
      <c r="CR7620">
        <f t="shared" si="312"/>
        <v>0</v>
      </c>
      <c r="CS7620">
        <f t="shared" si="312"/>
        <v>0</v>
      </c>
      <c r="CT7620">
        <f t="shared" si="312"/>
        <v>0</v>
      </c>
      <c r="CU7620">
        <f t="shared" si="312"/>
        <v>0</v>
      </c>
      <c r="CV7620">
        <f t="shared" si="312"/>
        <v>0</v>
      </c>
      <c r="CW7620">
        <f t="shared" si="312"/>
        <v>0</v>
      </c>
      <c r="CX7620">
        <f t="shared" si="312"/>
        <v>0</v>
      </c>
    </row>
    <row r="7621" spans="1:102">
      <c r="A7621" s="2"/>
      <c r="AY7621">
        <v>76</v>
      </c>
      <c r="AZ7621" s="2"/>
      <c r="BC7621">
        <f t="shared" ref="BC7621:CX7621" si="313">COUNTIF(B$3:B$7503,"76")</f>
        <v>0</v>
      </c>
      <c r="BD7621">
        <f t="shared" si="313"/>
        <v>0</v>
      </c>
      <c r="BE7621">
        <f t="shared" si="313"/>
        <v>0</v>
      </c>
      <c r="BF7621">
        <f t="shared" si="313"/>
        <v>0</v>
      </c>
      <c r="BG7621">
        <f t="shared" si="313"/>
        <v>0</v>
      </c>
      <c r="BH7621">
        <f t="shared" si="313"/>
        <v>0</v>
      </c>
      <c r="BI7621">
        <f t="shared" si="313"/>
        <v>0</v>
      </c>
      <c r="BJ7621">
        <f t="shared" si="313"/>
        <v>0</v>
      </c>
      <c r="BK7621" s="1">
        <f t="shared" si="313"/>
        <v>12</v>
      </c>
      <c r="BL7621">
        <f t="shared" si="313"/>
        <v>0</v>
      </c>
      <c r="BM7621">
        <f t="shared" si="313"/>
        <v>0</v>
      </c>
      <c r="BN7621">
        <f t="shared" si="313"/>
        <v>0</v>
      </c>
      <c r="BO7621">
        <f t="shared" si="313"/>
        <v>0</v>
      </c>
      <c r="BP7621">
        <f t="shared" si="313"/>
        <v>0</v>
      </c>
      <c r="BQ7621">
        <f t="shared" si="313"/>
        <v>0</v>
      </c>
      <c r="BR7621">
        <f t="shared" si="313"/>
        <v>0</v>
      </c>
      <c r="BS7621">
        <f t="shared" si="313"/>
        <v>0</v>
      </c>
      <c r="BT7621">
        <f t="shared" si="313"/>
        <v>0</v>
      </c>
      <c r="BU7621">
        <f t="shared" si="313"/>
        <v>0</v>
      </c>
      <c r="BV7621">
        <f t="shared" si="313"/>
        <v>0</v>
      </c>
      <c r="BW7621">
        <f t="shared" si="313"/>
        <v>0</v>
      </c>
      <c r="BX7621">
        <f t="shared" si="313"/>
        <v>0</v>
      </c>
      <c r="BY7621">
        <f t="shared" si="313"/>
        <v>0</v>
      </c>
      <c r="BZ7621">
        <f t="shared" si="313"/>
        <v>0</v>
      </c>
      <c r="CA7621">
        <f t="shared" si="313"/>
        <v>0</v>
      </c>
      <c r="CB7621">
        <f t="shared" si="313"/>
        <v>0</v>
      </c>
      <c r="CC7621">
        <f t="shared" si="313"/>
        <v>0</v>
      </c>
      <c r="CD7621">
        <f t="shared" si="313"/>
        <v>0</v>
      </c>
      <c r="CE7621">
        <f t="shared" si="313"/>
        <v>0</v>
      </c>
      <c r="CF7621">
        <f t="shared" si="313"/>
        <v>0</v>
      </c>
      <c r="CG7621">
        <f t="shared" si="313"/>
        <v>0</v>
      </c>
      <c r="CH7621">
        <f t="shared" si="313"/>
        <v>0</v>
      </c>
      <c r="CI7621">
        <f t="shared" si="313"/>
        <v>0</v>
      </c>
      <c r="CJ7621">
        <f t="shared" si="313"/>
        <v>0</v>
      </c>
      <c r="CK7621">
        <f t="shared" si="313"/>
        <v>0</v>
      </c>
      <c r="CL7621">
        <f t="shared" si="313"/>
        <v>0</v>
      </c>
      <c r="CM7621">
        <f t="shared" si="313"/>
        <v>0</v>
      </c>
      <c r="CN7621">
        <f t="shared" si="313"/>
        <v>0</v>
      </c>
      <c r="CO7621">
        <f t="shared" si="313"/>
        <v>0</v>
      </c>
      <c r="CP7621">
        <f t="shared" si="313"/>
        <v>0</v>
      </c>
      <c r="CQ7621">
        <f t="shared" si="313"/>
        <v>0</v>
      </c>
      <c r="CR7621">
        <f t="shared" si="313"/>
        <v>0</v>
      </c>
      <c r="CS7621">
        <f t="shared" si="313"/>
        <v>0</v>
      </c>
      <c r="CT7621">
        <f t="shared" si="313"/>
        <v>0</v>
      </c>
      <c r="CU7621">
        <f t="shared" si="313"/>
        <v>0</v>
      </c>
      <c r="CV7621">
        <f t="shared" si="313"/>
        <v>0</v>
      </c>
      <c r="CW7621">
        <f t="shared" si="313"/>
        <v>0</v>
      </c>
      <c r="CX7621">
        <f t="shared" si="313"/>
        <v>0</v>
      </c>
    </row>
    <row r="7622" spans="1:102">
      <c r="A7622" s="2"/>
      <c r="AY7622">
        <v>77</v>
      </c>
      <c r="AZ7622" s="2"/>
      <c r="BC7622">
        <f t="shared" ref="BC7622:CX7622" si="314">COUNTIF(B$3:B$7503,"70")</f>
        <v>0</v>
      </c>
      <c r="BD7622">
        <f t="shared" si="314"/>
        <v>0</v>
      </c>
      <c r="BE7622">
        <f t="shared" si="314"/>
        <v>0</v>
      </c>
      <c r="BF7622">
        <f t="shared" si="314"/>
        <v>0</v>
      </c>
      <c r="BG7622">
        <f t="shared" si="314"/>
        <v>0</v>
      </c>
      <c r="BH7622">
        <f t="shared" si="314"/>
        <v>0</v>
      </c>
      <c r="BI7622">
        <f t="shared" si="314"/>
        <v>0</v>
      </c>
      <c r="BJ7622">
        <f t="shared" si="314"/>
        <v>0</v>
      </c>
      <c r="BK7622" s="1">
        <f t="shared" si="314"/>
        <v>14</v>
      </c>
      <c r="BL7622">
        <f t="shared" si="314"/>
        <v>0</v>
      </c>
      <c r="BM7622">
        <f t="shared" si="314"/>
        <v>0</v>
      </c>
      <c r="BN7622">
        <f t="shared" si="314"/>
        <v>0</v>
      </c>
      <c r="BO7622">
        <f t="shared" si="314"/>
        <v>0</v>
      </c>
      <c r="BP7622">
        <f t="shared" si="314"/>
        <v>0</v>
      </c>
      <c r="BQ7622">
        <f t="shared" si="314"/>
        <v>0</v>
      </c>
      <c r="BR7622">
        <f t="shared" si="314"/>
        <v>0</v>
      </c>
      <c r="BS7622">
        <f t="shared" si="314"/>
        <v>0</v>
      </c>
      <c r="BT7622">
        <f t="shared" si="314"/>
        <v>0</v>
      </c>
      <c r="BU7622">
        <f t="shared" si="314"/>
        <v>0</v>
      </c>
      <c r="BV7622">
        <f t="shared" si="314"/>
        <v>0</v>
      </c>
      <c r="BW7622">
        <f t="shared" si="314"/>
        <v>0</v>
      </c>
      <c r="BX7622">
        <f t="shared" si="314"/>
        <v>0</v>
      </c>
      <c r="BY7622">
        <f t="shared" si="314"/>
        <v>0</v>
      </c>
      <c r="BZ7622">
        <f t="shared" si="314"/>
        <v>0</v>
      </c>
      <c r="CA7622">
        <f t="shared" si="314"/>
        <v>0</v>
      </c>
      <c r="CB7622">
        <f t="shared" si="314"/>
        <v>0</v>
      </c>
      <c r="CC7622">
        <f t="shared" si="314"/>
        <v>0</v>
      </c>
      <c r="CD7622">
        <f t="shared" si="314"/>
        <v>0</v>
      </c>
      <c r="CE7622">
        <f t="shared" si="314"/>
        <v>0</v>
      </c>
      <c r="CF7622">
        <f t="shared" si="314"/>
        <v>0</v>
      </c>
      <c r="CG7622">
        <f t="shared" si="314"/>
        <v>0</v>
      </c>
      <c r="CH7622">
        <f t="shared" si="314"/>
        <v>0</v>
      </c>
      <c r="CI7622">
        <f t="shared" si="314"/>
        <v>0</v>
      </c>
      <c r="CJ7622">
        <f t="shared" si="314"/>
        <v>0</v>
      </c>
      <c r="CK7622">
        <f t="shared" si="314"/>
        <v>0</v>
      </c>
      <c r="CL7622">
        <f t="shared" si="314"/>
        <v>0</v>
      </c>
      <c r="CM7622">
        <f t="shared" si="314"/>
        <v>0</v>
      </c>
      <c r="CN7622">
        <f t="shared" si="314"/>
        <v>0</v>
      </c>
      <c r="CO7622">
        <f t="shared" si="314"/>
        <v>0</v>
      </c>
      <c r="CP7622">
        <f t="shared" si="314"/>
        <v>0</v>
      </c>
      <c r="CQ7622">
        <f t="shared" si="314"/>
        <v>0</v>
      </c>
      <c r="CR7622">
        <f t="shared" si="314"/>
        <v>0</v>
      </c>
      <c r="CS7622">
        <f t="shared" si="314"/>
        <v>0</v>
      </c>
      <c r="CT7622">
        <f t="shared" si="314"/>
        <v>0</v>
      </c>
      <c r="CU7622">
        <f t="shared" si="314"/>
        <v>0</v>
      </c>
      <c r="CV7622">
        <f t="shared" si="314"/>
        <v>0</v>
      </c>
      <c r="CW7622">
        <f t="shared" si="314"/>
        <v>0</v>
      </c>
      <c r="CX7622">
        <f t="shared" si="314"/>
        <v>0</v>
      </c>
    </row>
    <row r="7623" spans="1:102">
      <c r="A7623" s="2"/>
      <c r="AY7623">
        <v>78</v>
      </c>
      <c r="AZ7623" s="2"/>
      <c r="BC7623">
        <f t="shared" ref="BC7623:CX7623" si="315">COUNTIF(B$3:B$7503,"78")</f>
        <v>0</v>
      </c>
      <c r="BD7623">
        <f t="shared" si="315"/>
        <v>0</v>
      </c>
      <c r="BE7623">
        <f t="shared" si="315"/>
        <v>0</v>
      </c>
      <c r="BF7623">
        <f t="shared" si="315"/>
        <v>0</v>
      </c>
      <c r="BG7623">
        <f t="shared" si="315"/>
        <v>0</v>
      </c>
      <c r="BH7623">
        <f t="shared" si="315"/>
        <v>0</v>
      </c>
      <c r="BI7623">
        <f t="shared" si="315"/>
        <v>0</v>
      </c>
      <c r="BJ7623">
        <f t="shared" si="315"/>
        <v>0</v>
      </c>
      <c r="BK7623" s="1">
        <f t="shared" si="315"/>
        <v>40</v>
      </c>
      <c r="BL7623">
        <f t="shared" si="315"/>
        <v>0</v>
      </c>
      <c r="BM7623">
        <f t="shared" si="315"/>
        <v>0</v>
      </c>
      <c r="BN7623">
        <f t="shared" si="315"/>
        <v>0</v>
      </c>
      <c r="BO7623">
        <f t="shared" si="315"/>
        <v>0</v>
      </c>
      <c r="BP7623">
        <f t="shared" si="315"/>
        <v>0</v>
      </c>
      <c r="BQ7623">
        <f t="shared" si="315"/>
        <v>0</v>
      </c>
      <c r="BR7623">
        <f t="shared" si="315"/>
        <v>0</v>
      </c>
      <c r="BS7623">
        <f t="shared" si="315"/>
        <v>0</v>
      </c>
      <c r="BT7623">
        <f t="shared" si="315"/>
        <v>0</v>
      </c>
      <c r="BU7623">
        <f t="shared" si="315"/>
        <v>0</v>
      </c>
      <c r="BV7623">
        <f t="shared" si="315"/>
        <v>0</v>
      </c>
      <c r="BW7623">
        <f t="shared" si="315"/>
        <v>0</v>
      </c>
      <c r="BX7623">
        <f t="shared" si="315"/>
        <v>0</v>
      </c>
      <c r="BY7623">
        <f t="shared" si="315"/>
        <v>0</v>
      </c>
      <c r="BZ7623">
        <f t="shared" si="315"/>
        <v>0</v>
      </c>
      <c r="CA7623">
        <f t="shared" si="315"/>
        <v>0</v>
      </c>
      <c r="CB7623">
        <f t="shared" si="315"/>
        <v>0</v>
      </c>
      <c r="CC7623">
        <f t="shared" si="315"/>
        <v>0</v>
      </c>
      <c r="CD7623">
        <f t="shared" si="315"/>
        <v>0</v>
      </c>
      <c r="CE7623">
        <f t="shared" si="315"/>
        <v>0</v>
      </c>
      <c r="CF7623">
        <f t="shared" si="315"/>
        <v>0</v>
      </c>
      <c r="CG7623">
        <f t="shared" si="315"/>
        <v>0</v>
      </c>
      <c r="CH7623">
        <f t="shared" si="315"/>
        <v>0</v>
      </c>
      <c r="CI7623">
        <f t="shared" si="315"/>
        <v>0</v>
      </c>
      <c r="CJ7623">
        <f t="shared" si="315"/>
        <v>0</v>
      </c>
      <c r="CK7623">
        <f t="shared" si="315"/>
        <v>0</v>
      </c>
      <c r="CL7623">
        <f t="shared" si="315"/>
        <v>0</v>
      </c>
      <c r="CM7623">
        <f t="shared" si="315"/>
        <v>0</v>
      </c>
      <c r="CN7623">
        <f t="shared" si="315"/>
        <v>0</v>
      </c>
      <c r="CO7623">
        <f t="shared" si="315"/>
        <v>0</v>
      </c>
      <c r="CP7623">
        <f t="shared" si="315"/>
        <v>0</v>
      </c>
      <c r="CQ7623">
        <f t="shared" si="315"/>
        <v>0</v>
      </c>
      <c r="CR7623">
        <f t="shared" si="315"/>
        <v>0</v>
      </c>
      <c r="CS7623">
        <f t="shared" si="315"/>
        <v>0</v>
      </c>
      <c r="CT7623">
        <f t="shared" si="315"/>
        <v>0</v>
      </c>
      <c r="CU7623">
        <f t="shared" si="315"/>
        <v>0</v>
      </c>
      <c r="CV7623">
        <f t="shared" si="315"/>
        <v>0</v>
      </c>
      <c r="CW7623">
        <f t="shared" si="315"/>
        <v>0</v>
      </c>
      <c r="CX7623">
        <f t="shared" si="315"/>
        <v>0</v>
      </c>
    </row>
    <row r="7624" spans="1:102">
      <c r="A7624" s="2"/>
      <c r="AY7624">
        <v>79</v>
      </c>
      <c r="AZ7624" s="2"/>
      <c r="BC7624">
        <f t="shared" ref="BC7624:CX7624" si="316">COUNTIF(B$3:B$7503,"79")</f>
        <v>0</v>
      </c>
      <c r="BD7624">
        <f t="shared" si="316"/>
        <v>0</v>
      </c>
      <c r="BE7624">
        <f t="shared" si="316"/>
        <v>0</v>
      </c>
      <c r="BF7624">
        <f t="shared" si="316"/>
        <v>0</v>
      </c>
      <c r="BG7624">
        <f t="shared" si="316"/>
        <v>0</v>
      </c>
      <c r="BH7624">
        <f t="shared" si="316"/>
        <v>0</v>
      </c>
      <c r="BI7624">
        <f t="shared" si="316"/>
        <v>0</v>
      </c>
      <c r="BJ7624">
        <f t="shared" si="316"/>
        <v>0</v>
      </c>
      <c r="BK7624" s="1">
        <f t="shared" si="316"/>
        <v>21</v>
      </c>
      <c r="BL7624">
        <f t="shared" si="316"/>
        <v>0</v>
      </c>
      <c r="BM7624">
        <f t="shared" si="316"/>
        <v>0</v>
      </c>
      <c r="BN7624">
        <f t="shared" si="316"/>
        <v>0</v>
      </c>
      <c r="BO7624">
        <f t="shared" si="316"/>
        <v>0</v>
      </c>
      <c r="BP7624">
        <f t="shared" si="316"/>
        <v>0</v>
      </c>
      <c r="BQ7624">
        <f t="shared" si="316"/>
        <v>0</v>
      </c>
      <c r="BR7624">
        <f t="shared" si="316"/>
        <v>0</v>
      </c>
      <c r="BS7624">
        <f t="shared" si="316"/>
        <v>0</v>
      </c>
      <c r="BT7624">
        <f t="shared" si="316"/>
        <v>0</v>
      </c>
      <c r="BU7624">
        <f t="shared" si="316"/>
        <v>0</v>
      </c>
      <c r="BV7624">
        <f t="shared" si="316"/>
        <v>0</v>
      </c>
      <c r="BW7624">
        <f t="shared" si="316"/>
        <v>0</v>
      </c>
      <c r="BX7624">
        <f t="shared" si="316"/>
        <v>0</v>
      </c>
      <c r="BY7624">
        <f t="shared" si="316"/>
        <v>0</v>
      </c>
      <c r="BZ7624">
        <f t="shared" si="316"/>
        <v>0</v>
      </c>
      <c r="CA7624">
        <f t="shared" si="316"/>
        <v>0</v>
      </c>
      <c r="CB7624">
        <f t="shared" si="316"/>
        <v>0</v>
      </c>
      <c r="CC7624">
        <f t="shared" si="316"/>
        <v>0</v>
      </c>
      <c r="CD7624">
        <f t="shared" si="316"/>
        <v>0</v>
      </c>
      <c r="CE7624">
        <f t="shared" si="316"/>
        <v>0</v>
      </c>
      <c r="CF7624">
        <f t="shared" si="316"/>
        <v>0</v>
      </c>
      <c r="CG7624">
        <f t="shared" si="316"/>
        <v>0</v>
      </c>
      <c r="CH7624">
        <f t="shared" si="316"/>
        <v>0</v>
      </c>
      <c r="CI7624">
        <f t="shared" si="316"/>
        <v>0</v>
      </c>
      <c r="CJ7624">
        <f t="shared" si="316"/>
        <v>0</v>
      </c>
      <c r="CK7624">
        <f t="shared" si="316"/>
        <v>0</v>
      </c>
      <c r="CL7624">
        <f t="shared" si="316"/>
        <v>0</v>
      </c>
      <c r="CM7624">
        <f t="shared" si="316"/>
        <v>0</v>
      </c>
      <c r="CN7624">
        <f t="shared" si="316"/>
        <v>0</v>
      </c>
      <c r="CO7624">
        <f t="shared" si="316"/>
        <v>0</v>
      </c>
      <c r="CP7624">
        <f t="shared" si="316"/>
        <v>0</v>
      </c>
      <c r="CQ7624">
        <f t="shared" si="316"/>
        <v>0</v>
      </c>
      <c r="CR7624">
        <f t="shared" si="316"/>
        <v>0</v>
      </c>
      <c r="CS7624">
        <f t="shared" si="316"/>
        <v>0</v>
      </c>
      <c r="CT7624">
        <f t="shared" si="316"/>
        <v>0</v>
      </c>
      <c r="CU7624">
        <f t="shared" si="316"/>
        <v>0</v>
      </c>
      <c r="CV7624">
        <f t="shared" si="316"/>
        <v>0</v>
      </c>
      <c r="CW7624">
        <f t="shared" si="316"/>
        <v>0</v>
      </c>
      <c r="CX7624">
        <f t="shared" si="316"/>
        <v>0</v>
      </c>
    </row>
    <row r="7625" spans="1:102">
      <c r="A7625" s="2"/>
      <c r="AY7625">
        <v>80</v>
      </c>
      <c r="AZ7625" s="2"/>
      <c r="BC7625">
        <f t="shared" ref="BC7625:CX7625" si="317">COUNTIF(B$3:B$7503,"80")</f>
        <v>0</v>
      </c>
      <c r="BD7625">
        <f t="shared" si="317"/>
        <v>0</v>
      </c>
      <c r="BE7625">
        <f t="shared" si="317"/>
        <v>0</v>
      </c>
      <c r="BF7625">
        <f t="shared" si="317"/>
        <v>0</v>
      </c>
      <c r="BG7625">
        <f t="shared" si="317"/>
        <v>0</v>
      </c>
      <c r="BH7625">
        <f t="shared" si="317"/>
        <v>0</v>
      </c>
      <c r="BI7625">
        <f t="shared" si="317"/>
        <v>0</v>
      </c>
      <c r="BJ7625">
        <f t="shared" si="317"/>
        <v>0</v>
      </c>
      <c r="BK7625" s="1">
        <f t="shared" si="317"/>
        <v>29</v>
      </c>
      <c r="BL7625">
        <f t="shared" si="317"/>
        <v>0</v>
      </c>
      <c r="BM7625">
        <f t="shared" si="317"/>
        <v>0</v>
      </c>
      <c r="BN7625">
        <f t="shared" si="317"/>
        <v>0</v>
      </c>
      <c r="BO7625">
        <f t="shared" si="317"/>
        <v>0</v>
      </c>
      <c r="BP7625">
        <f t="shared" si="317"/>
        <v>0</v>
      </c>
      <c r="BQ7625">
        <f t="shared" si="317"/>
        <v>0</v>
      </c>
      <c r="BR7625">
        <f t="shared" si="317"/>
        <v>0</v>
      </c>
      <c r="BS7625">
        <f t="shared" si="317"/>
        <v>0</v>
      </c>
      <c r="BT7625">
        <f t="shared" si="317"/>
        <v>0</v>
      </c>
      <c r="BU7625">
        <f t="shared" si="317"/>
        <v>0</v>
      </c>
      <c r="BV7625">
        <f t="shared" si="317"/>
        <v>0</v>
      </c>
      <c r="BW7625">
        <f t="shared" si="317"/>
        <v>0</v>
      </c>
      <c r="BX7625">
        <f t="shared" si="317"/>
        <v>0</v>
      </c>
      <c r="BY7625">
        <f t="shared" si="317"/>
        <v>0</v>
      </c>
      <c r="BZ7625">
        <f t="shared" si="317"/>
        <v>0</v>
      </c>
      <c r="CA7625">
        <f t="shared" si="317"/>
        <v>0</v>
      </c>
      <c r="CB7625">
        <f t="shared" si="317"/>
        <v>0</v>
      </c>
      <c r="CC7625">
        <f t="shared" si="317"/>
        <v>0</v>
      </c>
      <c r="CD7625">
        <f t="shared" si="317"/>
        <v>0</v>
      </c>
      <c r="CE7625">
        <f t="shared" si="317"/>
        <v>0</v>
      </c>
      <c r="CF7625">
        <f t="shared" si="317"/>
        <v>0</v>
      </c>
      <c r="CG7625">
        <f t="shared" si="317"/>
        <v>0</v>
      </c>
      <c r="CH7625">
        <f t="shared" si="317"/>
        <v>0</v>
      </c>
      <c r="CI7625">
        <f t="shared" si="317"/>
        <v>0</v>
      </c>
      <c r="CJ7625">
        <f t="shared" si="317"/>
        <v>0</v>
      </c>
      <c r="CK7625">
        <f t="shared" si="317"/>
        <v>0</v>
      </c>
      <c r="CL7625">
        <f t="shared" si="317"/>
        <v>0</v>
      </c>
      <c r="CM7625">
        <f t="shared" si="317"/>
        <v>0</v>
      </c>
      <c r="CN7625">
        <f t="shared" si="317"/>
        <v>0</v>
      </c>
      <c r="CO7625">
        <f t="shared" si="317"/>
        <v>0</v>
      </c>
      <c r="CP7625">
        <f t="shared" si="317"/>
        <v>0</v>
      </c>
      <c r="CQ7625">
        <f t="shared" si="317"/>
        <v>0</v>
      </c>
      <c r="CR7625">
        <f t="shared" si="317"/>
        <v>0</v>
      </c>
      <c r="CS7625">
        <f t="shared" si="317"/>
        <v>0</v>
      </c>
      <c r="CT7625">
        <f t="shared" si="317"/>
        <v>0</v>
      </c>
      <c r="CU7625">
        <f t="shared" si="317"/>
        <v>0</v>
      </c>
      <c r="CV7625">
        <f t="shared" si="317"/>
        <v>0</v>
      </c>
      <c r="CW7625">
        <f t="shared" si="317"/>
        <v>0</v>
      </c>
      <c r="CX7625">
        <f t="shared" si="317"/>
        <v>0</v>
      </c>
    </row>
    <row r="7626" spans="1:102">
      <c r="A7626" s="2"/>
      <c r="AY7626">
        <v>81</v>
      </c>
      <c r="AZ7626" s="2"/>
      <c r="BC7626">
        <f t="shared" ref="BC7626:CX7626" si="318">COUNTIF(B$3:B$7503,"81")</f>
        <v>0</v>
      </c>
      <c r="BD7626">
        <f t="shared" si="318"/>
        <v>0</v>
      </c>
      <c r="BE7626">
        <f t="shared" si="318"/>
        <v>0</v>
      </c>
      <c r="BF7626">
        <f t="shared" si="318"/>
        <v>0</v>
      </c>
      <c r="BG7626">
        <f t="shared" si="318"/>
        <v>0</v>
      </c>
      <c r="BH7626">
        <f t="shared" si="318"/>
        <v>0</v>
      </c>
      <c r="BI7626">
        <f t="shared" si="318"/>
        <v>0</v>
      </c>
      <c r="BJ7626">
        <f t="shared" si="318"/>
        <v>0</v>
      </c>
      <c r="BK7626" s="1">
        <f t="shared" si="318"/>
        <v>11</v>
      </c>
      <c r="BL7626">
        <f t="shared" si="318"/>
        <v>0</v>
      </c>
      <c r="BM7626">
        <f t="shared" si="318"/>
        <v>0</v>
      </c>
      <c r="BN7626">
        <f t="shared" si="318"/>
        <v>0</v>
      </c>
      <c r="BO7626">
        <f t="shared" si="318"/>
        <v>0</v>
      </c>
      <c r="BP7626">
        <f t="shared" si="318"/>
        <v>0</v>
      </c>
      <c r="BQ7626">
        <f t="shared" si="318"/>
        <v>0</v>
      </c>
      <c r="BR7626">
        <f t="shared" si="318"/>
        <v>0</v>
      </c>
      <c r="BS7626">
        <f t="shared" si="318"/>
        <v>0</v>
      </c>
      <c r="BT7626">
        <f t="shared" si="318"/>
        <v>0</v>
      </c>
      <c r="BU7626">
        <f t="shared" si="318"/>
        <v>0</v>
      </c>
      <c r="BV7626">
        <f t="shared" si="318"/>
        <v>0</v>
      </c>
      <c r="BW7626">
        <f t="shared" si="318"/>
        <v>0</v>
      </c>
      <c r="BX7626">
        <f t="shared" si="318"/>
        <v>0</v>
      </c>
      <c r="BY7626">
        <f t="shared" si="318"/>
        <v>0</v>
      </c>
      <c r="BZ7626">
        <f t="shared" si="318"/>
        <v>0</v>
      </c>
      <c r="CA7626">
        <f t="shared" si="318"/>
        <v>0</v>
      </c>
      <c r="CB7626">
        <f t="shared" si="318"/>
        <v>0</v>
      </c>
      <c r="CC7626">
        <f t="shared" si="318"/>
        <v>0</v>
      </c>
      <c r="CD7626">
        <f t="shared" si="318"/>
        <v>0</v>
      </c>
      <c r="CE7626">
        <f t="shared" si="318"/>
        <v>0</v>
      </c>
      <c r="CF7626">
        <f t="shared" si="318"/>
        <v>0</v>
      </c>
      <c r="CG7626">
        <f t="shared" si="318"/>
        <v>0</v>
      </c>
      <c r="CH7626">
        <f t="shared" si="318"/>
        <v>0</v>
      </c>
      <c r="CI7626">
        <f t="shared" si="318"/>
        <v>0</v>
      </c>
      <c r="CJ7626">
        <f t="shared" si="318"/>
        <v>0</v>
      </c>
      <c r="CK7626">
        <f t="shared" si="318"/>
        <v>0</v>
      </c>
      <c r="CL7626">
        <f t="shared" si="318"/>
        <v>0</v>
      </c>
      <c r="CM7626">
        <f t="shared" si="318"/>
        <v>0</v>
      </c>
      <c r="CN7626">
        <f t="shared" si="318"/>
        <v>0</v>
      </c>
      <c r="CO7626">
        <f t="shared" si="318"/>
        <v>0</v>
      </c>
      <c r="CP7626">
        <f t="shared" si="318"/>
        <v>0</v>
      </c>
      <c r="CQ7626">
        <f t="shared" si="318"/>
        <v>0</v>
      </c>
      <c r="CR7626">
        <f t="shared" si="318"/>
        <v>0</v>
      </c>
      <c r="CS7626">
        <f t="shared" si="318"/>
        <v>0</v>
      </c>
      <c r="CT7626">
        <f t="shared" si="318"/>
        <v>0</v>
      </c>
      <c r="CU7626">
        <f t="shared" si="318"/>
        <v>0</v>
      </c>
      <c r="CV7626">
        <f t="shared" si="318"/>
        <v>0</v>
      </c>
      <c r="CW7626">
        <f t="shared" si="318"/>
        <v>0</v>
      </c>
      <c r="CX7626">
        <f t="shared" si="318"/>
        <v>0</v>
      </c>
    </row>
    <row r="7627" spans="1:102">
      <c r="A7627" s="2"/>
      <c r="AY7627">
        <v>82</v>
      </c>
      <c r="AZ7627" s="2"/>
      <c r="BC7627">
        <f t="shared" ref="BC7627:CX7627" si="319">COUNTIF(B$3:B$7503,"82")</f>
        <v>0</v>
      </c>
      <c r="BD7627">
        <f t="shared" si="319"/>
        <v>0</v>
      </c>
      <c r="BE7627">
        <f t="shared" si="319"/>
        <v>0</v>
      </c>
      <c r="BF7627">
        <f t="shared" si="319"/>
        <v>0</v>
      </c>
      <c r="BG7627">
        <f t="shared" si="319"/>
        <v>0</v>
      </c>
      <c r="BH7627">
        <f t="shared" si="319"/>
        <v>0</v>
      </c>
      <c r="BI7627">
        <f t="shared" si="319"/>
        <v>0</v>
      </c>
      <c r="BJ7627">
        <f t="shared" si="319"/>
        <v>0</v>
      </c>
      <c r="BK7627" s="1">
        <f t="shared" si="319"/>
        <v>9</v>
      </c>
      <c r="BL7627">
        <f t="shared" si="319"/>
        <v>0</v>
      </c>
      <c r="BM7627">
        <f t="shared" si="319"/>
        <v>0</v>
      </c>
      <c r="BN7627">
        <f t="shared" si="319"/>
        <v>0</v>
      </c>
      <c r="BO7627">
        <f t="shared" si="319"/>
        <v>0</v>
      </c>
      <c r="BP7627">
        <f t="shared" si="319"/>
        <v>0</v>
      </c>
      <c r="BQ7627">
        <f t="shared" si="319"/>
        <v>0</v>
      </c>
      <c r="BR7627">
        <f t="shared" si="319"/>
        <v>0</v>
      </c>
      <c r="BS7627">
        <f t="shared" si="319"/>
        <v>0</v>
      </c>
      <c r="BT7627">
        <f t="shared" si="319"/>
        <v>0</v>
      </c>
      <c r="BU7627">
        <f t="shared" si="319"/>
        <v>0</v>
      </c>
      <c r="BV7627">
        <f t="shared" si="319"/>
        <v>0</v>
      </c>
      <c r="BW7627">
        <f t="shared" si="319"/>
        <v>0</v>
      </c>
      <c r="BX7627">
        <f t="shared" si="319"/>
        <v>0</v>
      </c>
      <c r="BY7627">
        <f t="shared" si="319"/>
        <v>0</v>
      </c>
      <c r="BZ7627">
        <f t="shared" si="319"/>
        <v>0</v>
      </c>
      <c r="CA7627">
        <f t="shared" si="319"/>
        <v>0</v>
      </c>
      <c r="CB7627">
        <f t="shared" si="319"/>
        <v>0</v>
      </c>
      <c r="CC7627">
        <f t="shared" si="319"/>
        <v>0</v>
      </c>
      <c r="CD7627">
        <f t="shared" si="319"/>
        <v>0</v>
      </c>
      <c r="CE7627">
        <f t="shared" si="319"/>
        <v>0</v>
      </c>
      <c r="CF7627">
        <f t="shared" si="319"/>
        <v>0</v>
      </c>
      <c r="CG7627">
        <f t="shared" si="319"/>
        <v>0</v>
      </c>
      <c r="CH7627">
        <f t="shared" si="319"/>
        <v>0</v>
      </c>
      <c r="CI7627">
        <f t="shared" si="319"/>
        <v>0</v>
      </c>
      <c r="CJ7627">
        <f t="shared" si="319"/>
        <v>0</v>
      </c>
      <c r="CK7627">
        <f t="shared" si="319"/>
        <v>0</v>
      </c>
      <c r="CL7627">
        <f t="shared" si="319"/>
        <v>0</v>
      </c>
      <c r="CM7627">
        <f t="shared" si="319"/>
        <v>0</v>
      </c>
      <c r="CN7627">
        <f t="shared" si="319"/>
        <v>0</v>
      </c>
      <c r="CO7627">
        <f t="shared" si="319"/>
        <v>0</v>
      </c>
      <c r="CP7627">
        <f t="shared" si="319"/>
        <v>0</v>
      </c>
      <c r="CQ7627">
        <f t="shared" si="319"/>
        <v>0</v>
      </c>
      <c r="CR7627">
        <f t="shared" si="319"/>
        <v>0</v>
      </c>
      <c r="CS7627">
        <f t="shared" si="319"/>
        <v>0</v>
      </c>
      <c r="CT7627">
        <f t="shared" si="319"/>
        <v>0</v>
      </c>
      <c r="CU7627">
        <f t="shared" si="319"/>
        <v>0</v>
      </c>
      <c r="CV7627">
        <f t="shared" si="319"/>
        <v>0</v>
      </c>
      <c r="CW7627">
        <f t="shared" si="319"/>
        <v>0</v>
      </c>
      <c r="CX7627">
        <f t="shared" si="319"/>
        <v>0</v>
      </c>
    </row>
    <row r="7628" spans="1:102">
      <c r="A7628" s="2"/>
      <c r="AY7628">
        <v>83</v>
      </c>
      <c r="AZ7628" s="2"/>
      <c r="BC7628">
        <f t="shared" ref="BC7628:CX7628" si="320">COUNTIF(B$3:B$7503,"83")</f>
        <v>0</v>
      </c>
      <c r="BD7628">
        <f t="shared" si="320"/>
        <v>0</v>
      </c>
      <c r="BE7628">
        <f t="shared" si="320"/>
        <v>0</v>
      </c>
      <c r="BF7628">
        <f t="shared" si="320"/>
        <v>0</v>
      </c>
      <c r="BG7628">
        <f t="shared" si="320"/>
        <v>0</v>
      </c>
      <c r="BH7628">
        <f t="shared" si="320"/>
        <v>0</v>
      </c>
      <c r="BI7628">
        <f t="shared" si="320"/>
        <v>0</v>
      </c>
      <c r="BJ7628">
        <f t="shared" si="320"/>
        <v>0</v>
      </c>
      <c r="BK7628" s="1">
        <f t="shared" si="320"/>
        <v>4</v>
      </c>
      <c r="BL7628">
        <f t="shared" si="320"/>
        <v>0</v>
      </c>
      <c r="BM7628">
        <f t="shared" si="320"/>
        <v>0</v>
      </c>
      <c r="BN7628">
        <f t="shared" si="320"/>
        <v>0</v>
      </c>
      <c r="BO7628">
        <f t="shared" si="320"/>
        <v>0</v>
      </c>
      <c r="BP7628">
        <f t="shared" si="320"/>
        <v>0</v>
      </c>
      <c r="BQ7628">
        <f t="shared" si="320"/>
        <v>0</v>
      </c>
      <c r="BR7628">
        <f t="shared" si="320"/>
        <v>0</v>
      </c>
      <c r="BS7628">
        <f t="shared" si="320"/>
        <v>0</v>
      </c>
      <c r="BT7628">
        <f t="shared" si="320"/>
        <v>0</v>
      </c>
      <c r="BU7628">
        <f t="shared" si="320"/>
        <v>0</v>
      </c>
      <c r="BV7628">
        <f t="shared" si="320"/>
        <v>0</v>
      </c>
      <c r="BW7628">
        <f t="shared" si="320"/>
        <v>0</v>
      </c>
      <c r="BX7628">
        <f t="shared" si="320"/>
        <v>0</v>
      </c>
      <c r="BY7628">
        <f t="shared" si="320"/>
        <v>0</v>
      </c>
      <c r="BZ7628">
        <f t="shared" si="320"/>
        <v>0</v>
      </c>
      <c r="CA7628">
        <f t="shared" si="320"/>
        <v>0</v>
      </c>
      <c r="CB7628">
        <f t="shared" si="320"/>
        <v>0</v>
      </c>
      <c r="CC7628">
        <f t="shared" si="320"/>
        <v>0</v>
      </c>
      <c r="CD7628">
        <f t="shared" si="320"/>
        <v>0</v>
      </c>
      <c r="CE7628">
        <f t="shared" si="320"/>
        <v>0</v>
      </c>
      <c r="CF7628">
        <f t="shared" si="320"/>
        <v>0</v>
      </c>
      <c r="CG7628">
        <f t="shared" si="320"/>
        <v>0</v>
      </c>
      <c r="CH7628">
        <f t="shared" si="320"/>
        <v>0</v>
      </c>
      <c r="CI7628">
        <f t="shared" si="320"/>
        <v>0</v>
      </c>
      <c r="CJ7628">
        <f t="shared" si="320"/>
        <v>0</v>
      </c>
      <c r="CK7628">
        <f t="shared" si="320"/>
        <v>0</v>
      </c>
      <c r="CL7628">
        <f t="shared" si="320"/>
        <v>0</v>
      </c>
      <c r="CM7628">
        <f t="shared" si="320"/>
        <v>0</v>
      </c>
      <c r="CN7628">
        <f t="shared" si="320"/>
        <v>0</v>
      </c>
      <c r="CO7628">
        <f t="shared" si="320"/>
        <v>0</v>
      </c>
      <c r="CP7628">
        <f t="shared" si="320"/>
        <v>0</v>
      </c>
      <c r="CQ7628">
        <f t="shared" si="320"/>
        <v>0</v>
      </c>
      <c r="CR7628">
        <f t="shared" si="320"/>
        <v>0</v>
      </c>
      <c r="CS7628">
        <f t="shared" si="320"/>
        <v>0</v>
      </c>
      <c r="CT7628">
        <f t="shared" si="320"/>
        <v>0</v>
      </c>
      <c r="CU7628">
        <f t="shared" si="320"/>
        <v>0</v>
      </c>
      <c r="CV7628">
        <f t="shared" si="320"/>
        <v>0</v>
      </c>
      <c r="CW7628">
        <f t="shared" si="320"/>
        <v>0</v>
      </c>
      <c r="CX7628">
        <f t="shared" si="320"/>
        <v>0</v>
      </c>
    </row>
    <row r="7629" spans="1:102">
      <c r="A7629" s="2"/>
      <c r="AY7629">
        <v>84</v>
      </c>
      <c r="AZ7629" s="2"/>
      <c r="BC7629">
        <f t="shared" ref="BC7629:CX7629" si="321">COUNTIF(B$3:B$7503,"84")</f>
        <v>0</v>
      </c>
      <c r="BD7629">
        <f t="shared" si="321"/>
        <v>0</v>
      </c>
      <c r="BE7629">
        <f t="shared" si="321"/>
        <v>0</v>
      </c>
      <c r="BF7629">
        <f t="shared" si="321"/>
        <v>0</v>
      </c>
      <c r="BG7629">
        <f t="shared" si="321"/>
        <v>0</v>
      </c>
      <c r="BH7629">
        <f t="shared" si="321"/>
        <v>0</v>
      </c>
      <c r="BI7629">
        <f t="shared" si="321"/>
        <v>0</v>
      </c>
      <c r="BJ7629">
        <f t="shared" si="321"/>
        <v>0</v>
      </c>
      <c r="BK7629" s="1">
        <f t="shared" si="321"/>
        <v>8</v>
      </c>
      <c r="BL7629">
        <f t="shared" si="321"/>
        <v>0</v>
      </c>
      <c r="BM7629">
        <f t="shared" si="321"/>
        <v>0</v>
      </c>
      <c r="BN7629">
        <f t="shared" si="321"/>
        <v>0</v>
      </c>
      <c r="BO7629">
        <f t="shared" si="321"/>
        <v>0</v>
      </c>
      <c r="BP7629">
        <f t="shared" si="321"/>
        <v>0</v>
      </c>
      <c r="BQ7629">
        <f t="shared" si="321"/>
        <v>0</v>
      </c>
      <c r="BR7629">
        <f t="shared" si="321"/>
        <v>0</v>
      </c>
      <c r="BS7629">
        <f t="shared" si="321"/>
        <v>0</v>
      </c>
      <c r="BT7629">
        <f t="shared" si="321"/>
        <v>0</v>
      </c>
      <c r="BU7629">
        <f t="shared" si="321"/>
        <v>0</v>
      </c>
      <c r="BV7629">
        <f t="shared" si="321"/>
        <v>0</v>
      </c>
      <c r="BW7629">
        <f t="shared" si="321"/>
        <v>0</v>
      </c>
      <c r="BX7629">
        <f t="shared" si="321"/>
        <v>0</v>
      </c>
      <c r="BY7629">
        <f t="shared" si="321"/>
        <v>0</v>
      </c>
      <c r="BZ7629">
        <f t="shared" si="321"/>
        <v>0</v>
      </c>
      <c r="CA7629">
        <f t="shared" si="321"/>
        <v>0</v>
      </c>
      <c r="CB7629">
        <f t="shared" si="321"/>
        <v>0</v>
      </c>
      <c r="CC7629">
        <f t="shared" si="321"/>
        <v>0</v>
      </c>
      <c r="CD7629">
        <f t="shared" si="321"/>
        <v>0</v>
      </c>
      <c r="CE7629">
        <f t="shared" si="321"/>
        <v>0</v>
      </c>
      <c r="CF7629">
        <f t="shared" si="321"/>
        <v>0</v>
      </c>
      <c r="CG7629">
        <f t="shared" si="321"/>
        <v>0</v>
      </c>
      <c r="CH7629">
        <f t="shared" si="321"/>
        <v>0</v>
      </c>
      <c r="CI7629">
        <f t="shared" si="321"/>
        <v>0</v>
      </c>
      <c r="CJ7629">
        <f t="shared" si="321"/>
        <v>0</v>
      </c>
      <c r="CK7629">
        <f t="shared" si="321"/>
        <v>0</v>
      </c>
      <c r="CL7629">
        <f t="shared" si="321"/>
        <v>0</v>
      </c>
      <c r="CM7629">
        <f t="shared" si="321"/>
        <v>0</v>
      </c>
      <c r="CN7629">
        <f t="shared" si="321"/>
        <v>0</v>
      </c>
      <c r="CO7629">
        <f t="shared" si="321"/>
        <v>0</v>
      </c>
      <c r="CP7629">
        <f t="shared" si="321"/>
        <v>0</v>
      </c>
      <c r="CQ7629">
        <f t="shared" si="321"/>
        <v>0</v>
      </c>
      <c r="CR7629">
        <f t="shared" si="321"/>
        <v>0</v>
      </c>
      <c r="CS7629">
        <f t="shared" si="321"/>
        <v>0</v>
      </c>
      <c r="CT7629">
        <f t="shared" si="321"/>
        <v>0</v>
      </c>
      <c r="CU7629">
        <f t="shared" si="321"/>
        <v>0</v>
      </c>
      <c r="CV7629">
        <f t="shared" si="321"/>
        <v>0</v>
      </c>
      <c r="CW7629">
        <f t="shared" si="321"/>
        <v>0</v>
      </c>
      <c r="CX7629">
        <f t="shared" si="321"/>
        <v>0</v>
      </c>
    </row>
    <row r="7630" spans="1:102">
      <c r="AY7630">
        <v>85</v>
      </c>
      <c r="AZ7630" s="2"/>
      <c r="BC7630">
        <f t="shared" ref="BC7630:CX7630" si="322">COUNTIF(B$3:B$7503,"85")</f>
        <v>0</v>
      </c>
      <c r="BD7630">
        <f t="shared" si="322"/>
        <v>0</v>
      </c>
      <c r="BE7630">
        <f t="shared" si="322"/>
        <v>0</v>
      </c>
      <c r="BF7630">
        <f t="shared" si="322"/>
        <v>0</v>
      </c>
      <c r="BG7630">
        <f t="shared" si="322"/>
        <v>0</v>
      </c>
      <c r="BH7630">
        <f t="shared" si="322"/>
        <v>0</v>
      </c>
      <c r="BI7630">
        <f t="shared" si="322"/>
        <v>0</v>
      </c>
      <c r="BJ7630">
        <f t="shared" si="322"/>
        <v>0</v>
      </c>
      <c r="BK7630" s="1">
        <f t="shared" si="322"/>
        <v>31</v>
      </c>
      <c r="BL7630">
        <f t="shared" si="322"/>
        <v>0</v>
      </c>
      <c r="BM7630">
        <f t="shared" si="322"/>
        <v>0</v>
      </c>
      <c r="BN7630">
        <f t="shared" si="322"/>
        <v>0</v>
      </c>
      <c r="BO7630">
        <f t="shared" si="322"/>
        <v>0</v>
      </c>
      <c r="BP7630">
        <f t="shared" si="322"/>
        <v>0</v>
      </c>
      <c r="BQ7630">
        <f t="shared" si="322"/>
        <v>0</v>
      </c>
      <c r="BR7630">
        <f t="shared" si="322"/>
        <v>0</v>
      </c>
      <c r="BS7630">
        <f t="shared" si="322"/>
        <v>0</v>
      </c>
      <c r="BT7630">
        <f t="shared" si="322"/>
        <v>0</v>
      </c>
      <c r="BU7630">
        <f t="shared" si="322"/>
        <v>0</v>
      </c>
      <c r="BV7630">
        <f t="shared" si="322"/>
        <v>0</v>
      </c>
      <c r="BW7630">
        <f t="shared" si="322"/>
        <v>0</v>
      </c>
      <c r="BX7630">
        <f t="shared" si="322"/>
        <v>0</v>
      </c>
      <c r="BY7630">
        <f t="shared" si="322"/>
        <v>0</v>
      </c>
      <c r="BZ7630">
        <f t="shared" si="322"/>
        <v>0</v>
      </c>
      <c r="CA7630">
        <f t="shared" si="322"/>
        <v>0</v>
      </c>
      <c r="CB7630">
        <f t="shared" si="322"/>
        <v>0</v>
      </c>
      <c r="CC7630">
        <f t="shared" si="322"/>
        <v>0</v>
      </c>
      <c r="CD7630">
        <f t="shared" si="322"/>
        <v>0</v>
      </c>
      <c r="CE7630">
        <f t="shared" si="322"/>
        <v>0</v>
      </c>
      <c r="CF7630">
        <f t="shared" si="322"/>
        <v>0</v>
      </c>
      <c r="CG7630">
        <f t="shared" si="322"/>
        <v>0</v>
      </c>
      <c r="CH7630">
        <f t="shared" si="322"/>
        <v>0</v>
      </c>
      <c r="CI7630">
        <f t="shared" si="322"/>
        <v>0</v>
      </c>
      <c r="CJ7630">
        <f t="shared" si="322"/>
        <v>0</v>
      </c>
      <c r="CK7630">
        <f t="shared" si="322"/>
        <v>0</v>
      </c>
      <c r="CL7630">
        <f t="shared" si="322"/>
        <v>0</v>
      </c>
      <c r="CM7630">
        <f t="shared" si="322"/>
        <v>0</v>
      </c>
      <c r="CN7630">
        <f t="shared" si="322"/>
        <v>0</v>
      </c>
      <c r="CO7630">
        <f t="shared" si="322"/>
        <v>0</v>
      </c>
      <c r="CP7630">
        <f t="shared" si="322"/>
        <v>0</v>
      </c>
      <c r="CQ7630">
        <f t="shared" si="322"/>
        <v>0</v>
      </c>
      <c r="CR7630">
        <f t="shared" si="322"/>
        <v>0</v>
      </c>
      <c r="CS7630">
        <f t="shared" si="322"/>
        <v>0</v>
      </c>
      <c r="CT7630">
        <f t="shared" si="322"/>
        <v>0</v>
      </c>
      <c r="CU7630">
        <f t="shared" si="322"/>
        <v>0</v>
      </c>
      <c r="CV7630">
        <f t="shared" si="322"/>
        <v>0</v>
      </c>
      <c r="CW7630">
        <f t="shared" si="322"/>
        <v>0</v>
      </c>
      <c r="CX7630">
        <f t="shared" si="322"/>
        <v>0</v>
      </c>
    </row>
    <row r="7631" spans="1:102">
      <c r="AY7631">
        <v>86</v>
      </c>
      <c r="AZ7631" s="2"/>
      <c r="BC7631">
        <f t="shared" ref="BC7631:CX7631" si="323">COUNTIF(B$3:B$7503,"86")</f>
        <v>0</v>
      </c>
      <c r="BD7631">
        <f t="shared" si="323"/>
        <v>0</v>
      </c>
      <c r="BE7631">
        <f t="shared" si="323"/>
        <v>0</v>
      </c>
      <c r="BF7631">
        <f t="shared" si="323"/>
        <v>0</v>
      </c>
      <c r="BG7631">
        <f t="shared" si="323"/>
        <v>0</v>
      </c>
      <c r="BH7631">
        <f t="shared" si="323"/>
        <v>0</v>
      </c>
      <c r="BI7631">
        <f t="shared" si="323"/>
        <v>0</v>
      </c>
      <c r="BJ7631">
        <f t="shared" si="323"/>
        <v>0</v>
      </c>
      <c r="BK7631" s="1">
        <f t="shared" si="323"/>
        <v>7</v>
      </c>
      <c r="BL7631">
        <f t="shared" si="323"/>
        <v>0</v>
      </c>
      <c r="BM7631">
        <f t="shared" si="323"/>
        <v>0</v>
      </c>
      <c r="BN7631">
        <f t="shared" si="323"/>
        <v>0</v>
      </c>
      <c r="BO7631">
        <f t="shared" si="323"/>
        <v>0</v>
      </c>
      <c r="BP7631">
        <f t="shared" si="323"/>
        <v>0</v>
      </c>
      <c r="BQ7631">
        <f t="shared" si="323"/>
        <v>0</v>
      </c>
      <c r="BR7631">
        <f t="shared" si="323"/>
        <v>0</v>
      </c>
      <c r="BS7631">
        <f t="shared" si="323"/>
        <v>0</v>
      </c>
      <c r="BT7631">
        <f t="shared" si="323"/>
        <v>0</v>
      </c>
      <c r="BU7631">
        <f t="shared" si="323"/>
        <v>0</v>
      </c>
      <c r="BV7631">
        <f t="shared" si="323"/>
        <v>0</v>
      </c>
      <c r="BW7631">
        <f t="shared" si="323"/>
        <v>0</v>
      </c>
      <c r="BX7631">
        <f t="shared" si="323"/>
        <v>0</v>
      </c>
      <c r="BY7631">
        <f t="shared" si="323"/>
        <v>0</v>
      </c>
      <c r="BZ7631">
        <f t="shared" si="323"/>
        <v>0</v>
      </c>
      <c r="CA7631">
        <f t="shared" si="323"/>
        <v>0</v>
      </c>
      <c r="CB7631">
        <f t="shared" si="323"/>
        <v>0</v>
      </c>
      <c r="CC7631">
        <f t="shared" si="323"/>
        <v>0</v>
      </c>
      <c r="CD7631">
        <f t="shared" si="323"/>
        <v>0</v>
      </c>
      <c r="CE7631">
        <f t="shared" si="323"/>
        <v>0</v>
      </c>
      <c r="CF7631">
        <f t="shared" si="323"/>
        <v>0</v>
      </c>
      <c r="CG7631">
        <f t="shared" si="323"/>
        <v>0</v>
      </c>
      <c r="CH7631">
        <f t="shared" si="323"/>
        <v>0</v>
      </c>
      <c r="CI7631">
        <f t="shared" si="323"/>
        <v>0</v>
      </c>
      <c r="CJ7631">
        <f t="shared" si="323"/>
        <v>0</v>
      </c>
      <c r="CK7631">
        <f t="shared" si="323"/>
        <v>0</v>
      </c>
      <c r="CL7631">
        <f t="shared" si="323"/>
        <v>0</v>
      </c>
      <c r="CM7631">
        <f t="shared" si="323"/>
        <v>0</v>
      </c>
      <c r="CN7631">
        <f t="shared" si="323"/>
        <v>0</v>
      </c>
      <c r="CO7631">
        <f t="shared" si="323"/>
        <v>0</v>
      </c>
      <c r="CP7631">
        <f t="shared" si="323"/>
        <v>0</v>
      </c>
      <c r="CQ7631">
        <f t="shared" si="323"/>
        <v>0</v>
      </c>
      <c r="CR7631">
        <f t="shared" si="323"/>
        <v>0</v>
      </c>
      <c r="CS7631">
        <f t="shared" si="323"/>
        <v>0</v>
      </c>
      <c r="CT7631">
        <f t="shared" si="323"/>
        <v>0</v>
      </c>
      <c r="CU7631">
        <f t="shared" si="323"/>
        <v>0</v>
      </c>
      <c r="CV7631">
        <f t="shared" si="323"/>
        <v>0</v>
      </c>
      <c r="CW7631">
        <f t="shared" si="323"/>
        <v>0</v>
      </c>
      <c r="CX7631">
        <f t="shared" si="323"/>
        <v>0</v>
      </c>
    </row>
    <row r="7632" spans="1:102">
      <c r="AY7632">
        <v>87</v>
      </c>
      <c r="AZ7632" s="2"/>
      <c r="BC7632">
        <f t="shared" ref="BC7632:CX7632" si="324">COUNTIF(B$3:B$7503,"87")</f>
        <v>0</v>
      </c>
      <c r="BD7632">
        <f t="shared" si="324"/>
        <v>0</v>
      </c>
      <c r="BE7632">
        <f t="shared" si="324"/>
        <v>0</v>
      </c>
      <c r="BF7632">
        <f t="shared" si="324"/>
        <v>0</v>
      </c>
      <c r="BG7632">
        <f t="shared" si="324"/>
        <v>0</v>
      </c>
      <c r="BH7632">
        <f t="shared" si="324"/>
        <v>0</v>
      </c>
      <c r="BI7632">
        <f t="shared" si="324"/>
        <v>0</v>
      </c>
      <c r="BJ7632">
        <f t="shared" si="324"/>
        <v>0</v>
      </c>
      <c r="BK7632" s="1">
        <f t="shared" si="324"/>
        <v>7</v>
      </c>
      <c r="BL7632">
        <f t="shared" si="324"/>
        <v>0</v>
      </c>
      <c r="BM7632">
        <f t="shared" si="324"/>
        <v>0</v>
      </c>
      <c r="BN7632">
        <f t="shared" si="324"/>
        <v>0</v>
      </c>
      <c r="BO7632">
        <f t="shared" si="324"/>
        <v>0</v>
      </c>
      <c r="BP7632">
        <f t="shared" si="324"/>
        <v>0</v>
      </c>
      <c r="BQ7632">
        <f t="shared" si="324"/>
        <v>0</v>
      </c>
      <c r="BR7632">
        <f t="shared" si="324"/>
        <v>0</v>
      </c>
      <c r="BS7632">
        <f t="shared" si="324"/>
        <v>0</v>
      </c>
      <c r="BT7632">
        <f t="shared" si="324"/>
        <v>0</v>
      </c>
      <c r="BU7632">
        <f t="shared" si="324"/>
        <v>0</v>
      </c>
      <c r="BV7632">
        <f t="shared" si="324"/>
        <v>0</v>
      </c>
      <c r="BW7632">
        <f t="shared" si="324"/>
        <v>0</v>
      </c>
      <c r="BX7632">
        <f t="shared" si="324"/>
        <v>0</v>
      </c>
      <c r="BY7632">
        <f t="shared" si="324"/>
        <v>0</v>
      </c>
      <c r="BZ7632">
        <f t="shared" si="324"/>
        <v>0</v>
      </c>
      <c r="CA7632">
        <f t="shared" si="324"/>
        <v>0</v>
      </c>
      <c r="CB7632">
        <f t="shared" si="324"/>
        <v>0</v>
      </c>
      <c r="CC7632">
        <f t="shared" si="324"/>
        <v>0</v>
      </c>
      <c r="CD7632">
        <f t="shared" si="324"/>
        <v>0</v>
      </c>
      <c r="CE7632">
        <f t="shared" si="324"/>
        <v>0</v>
      </c>
      <c r="CF7632">
        <f t="shared" si="324"/>
        <v>0</v>
      </c>
      <c r="CG7632">
        <f t="shared" si="324"/>
        <v>0</v>
      </c>
      <c r="CH7632">
        <f t="shared" si="324"/>
        <v>0</v>
      </c>
      <c r="CI7632">
        <f t="shared" si="324"/>
        <v>0</v>
      </c>
      <c r="CJ7632">
        <f t="shared" si="324"/>
        <v>0</v>
      </c>
      <c r="CK7632">
        <f t="shared" si="324"/>
        <v>0</v>
      </c>
      <c r="CL7632">
        <f t="shared" si="324"/>
        <v>0</v>
      </c>
      <c r="CM7632">
        <f t="shared" si="324"/>
        <v>0</v>
      </c>
      <c r="CN7632">
        <f t="shared" si="324"/>
        <v>0</v>
      </c>
      <c r="CO7632">
        <f t="shared" si="324"/>
        <v>0</v>
      </c>
      <c r="CP7632">
        <f t="shared" si="324"/>
        <v>0</v>
      </c>
      <c r="CQ7632">
        <f t="shared" si="324"/>
        <v>0</v>
      </c>
      <c r="CR7632">
        <f t="shared" si="324"/>
        <v>0</v>
      </c>
      <c r="CS7632">
        <f t="shared" si="324"/>
        <v>0</v>
      </c>
      <c r="CT7632">
        <f t="shared" si="324"/>
        <v>0</v>
      </c>
      <c r="CU7632">
        <f t="shared" si="324"/>
        <v>0</v>
      </c>
      <c r="CV7632">
        <f t="shared" si="324"/>
        <v>0</v>
      </c>
      <c r="CW7632">
        <f t="shared" si="324"/>
        <v>0</v>
      </c>
      <c r="CX7632">
        <f t="shared" si="324"/>
        <v>0</v>
      </c>
    </row>
    <row r="7633" spans="51:103">
      <c r="AY7633">
        <v>88</v>
      </c>
      <c r="AZ7633" s="2"/>
      <c r="BC7633">
        <f t="shared" ref="BC7633:CX7633" si="325">COUNTIF(B$3:B$7503,"88")</f>
        <v>0</v>
      </c>
      <c r="BD7633">
        <f t="shared" si="325"/>
        <v>0</v>
      </c>
      <c r="BE7633">
        <f t="shared" si="325"/>
        <v>0</v>
      </c>
      <c r="BF7633">
        <f t="shared" si="325"/>
        <v>0</v>
      </c>
      <c r="BG7633">
        <f t="shared" si="325"/>
        <v>0</v>
      </c>
      <c r="BH7633">
        <f t="shared" si="325"/>
        <v>0</v>
      </c>
      <c r="BI7633">
        <f t="shared" si="325"/>
        <v>0</v>
      </c>
      <c r="BJ7633">
        <f t="shared" si="325"/>
        <v>0</v>
      </c>
      <c r="BK7633" s="1">
        <f t="shared" si="325"/>
        <v>0</v>
      </c>
      <c r="BL7633">
        <f t="shared" si="325"/>
        <v>0</v>
      </c>
      <c r="BM7633">
        <f t="shared" si="325"/>
        <v>0</v>
      </c>
      <c r="BN7633">
        <f t="shared" si="325"/>
        <v>0</v>
      </c>
      <c r="BO7633">
        <f t="shared" si="325"/>
        <v>0</v>
      </c>
      <c r="BP7633">
        <f t="shared" si="325"/>
        <v>0</v>
      </c>
      <c r="BQ7633">
        <f t="shared" si="325"/>
        <v>0</v>
      </c>
      <c r="BR7633">
        <f t="shared" si="325"/>
        <v>0</v>
      </c>
      <c r="BS7633">
        <f t="shared" si="325"/>
        <v>0</v>
      </c>
      <c r="BT7633">
        <f t="shared" si="325"/>
        <v>0</v>
      </c>
      <c r="BU7633">
        <f t="shared" si="325"/>
        <v>0</v>
      </c>
      <c r="BV7633">
        <f t="shared" si="325"/>
        <v>0</v>
      </c>
      <c r="BW7633">
        <f t="shared" si="325"/>
        <v>0</v>
      </c>
      <c r="BX7633">
        <f t="shared" si="325"/>
        <v>0</v>
      </c>
      <c r="BY7633">
        <f t="shared" si="325"/>
        <v>0</v>
      </c>
      <c r="BZ7633">
        <f t="shared" si="325"/>
        <v>0</v>
      </c>
      <c r="CA7633">
        <f t="shared" si="325"/>
        <v>0</v>
      </c>
      <c r="CB7633">
        <f t="shared" si="325"/>
        <v>0</v>
      </c>
      <c r="CC7633">
        <f t="shared" si="325"/>
        <v>0</v>
      </c>
      <c r="CD7633">
        <f t="shared" si="325"/>
        <v>0</v>
      </c>
      <c r="CE7633">
        <f t="shared" si="325"/>
        <v>0</v>
      </c>
      <c r="CF7633">
        <f t="shared" si="325"/>
        <v>0</v>
      </c>
      <c r="CG7633">
        <f t="shared" si="325"/>
        <v>0</v>
      </c>
      <c r="CH7633">
        <f t="shared" si="325"/>
        <v>0</v>
      </c>
      <c r="CI7633">
        <f t="shared" si="325"/>
        <v>0</v>
      </c>
      <c r="CJ7633">
        <f t="shared" si="325"/>
        <v>0</v>
      </c>
      <c r="CK7633">
        <f t="shared" si="325"/>
        <v>0</v>
      </c>
      <c r="CL7633">
        <f t="shared" si="325"/>
        <v>0</v>
      </c>
      <c r="CM7633">
        <f t="shared" si="325"/>
        <v>0</v>
      </c>
      <c r="CN7633">
        <f t="shared" si="325"/>
        <v>0</v>
      </c>
      <c r="CO7633">
        <f t="shared" si="325"/>
        <v>0</v>
      </c>
      <c r="CP7633">
        <f t="shared" si="325"/>
        <v>0</v>
      </c>
      <c r="CQ7633">
        <f t="shared" si="325"/>
        <v>0</v>
      </c>
      <c r="CR7633">
        <f t="shared" si="325"/>
        <v>0</v>
      </c>
      <c r="CS7633">
        <f t="shared" si="325"/>
        <v>0</v>
      </c>
      <c r="CT7633">
        <f t="shared" si="325"/>
        <v>0</v>
      </c>
      <c r="CU7633">
        <f t="shared" si="325"/>
        <v>0</v>
      </c>
      <c r="CV7633">
        <f t="shared" si="325"/>
        <v>0</v>
      </c>
      <c r="CW7633">
        <f t="shared" si="325"/>
        <v>0</v>
      </c>
      <c r="CX7633">
        <f t="shared" si="325"/>
        <v>0</v>
      </c>
    </row>
    <row r="7634" spans="51:103">
      <c r="AY7634">
        <v>89</v>
      </c>
      <c r="AZ7634" s="2"/>
      <c r="BC7634">
        <f t="shared" ref="BC7634:CX7634" si="326">COUNTIF(B$3:B$7503,"89")</f>
        <v>0</v>
      </c>
      <c r="BD7634">
        <f t="shared" si="326"/>
        <v>0</v>
      </c>
      <c r="BE7634">
        <f t="shared" si="326"/>
        <v>0</v>
      </c>
      <c r="BF7634">
        <f t="shared" si="326"/>
        <v>0</v>
      </c>
      <c r="BG7634">
        <f t="shared" si="326"/>
        <v>0</v>
      </c>
      <c r="BH7634">
        <f t="shared" si="326"/>
        <v>0</v>
      </c>
      <c r="BI7634">
        <f t="shared" si="326"/>
        <v>0</v>
      </c>
      <c r="BJ7634">
        <f t="shared" si="326"/>
        <v>0</v>
      </c>
      <c r="BK7634" s="1">
        <f t="shared" si="326"/>
        <v>0</v>
      </c>
      <c r="BL7634">
        <f t="shared" si="326"/>
        <v>0</v>
      </c>
      <c r="BM7634">
        <f t="shared" si="326"/>
        <v>0</v>
      </c>
      <c r="BN7634">
        <f t="shared" si="326"/>
        <v>0</v>
      </c>
      <c r="BO7634">
        <f t="shared" si="326"/>
        <v>0</v>
      </c>
      <c r="BP7634">
        <f t="shared" si="326"/>
        <v>0</v>
      </c>
      <c r="BQ7634">
        <f t="shared" si="326"/>
        <v>0</v>
      </c>
      <c r="BR7634">
        <f t="shared" si="326"/>
        <v>0</v>
      </c>
      <c r="BS7634">
        <f t="shared" si="326"/>
        <v>0</v>
      </c>
      <c r="BT7634">
        <f t="shared" si="326"/>
        <v>0</v>
      </c>
      <c r="BU7634">
        <f t="shared" si="326"/>
        <v>0</v>
      </c>
      <c r="BV7634">
        <f t="shared" si="326"/>
        <v>0</v>
      </c>
      <c r="BW7634">
        <f t="shared" si="326"/>
        <v>0</v>
      </c>
      <c r="BX7634">
        <f t="shared" si="326"/>
        <v>0</v>
      </c>
      <c r="BY7634">
        <f t="shared" si="326"/>
        <v>0</v>
      </c>
      <c r="BZ7634">
        <f t="shared" si="326"/>
        <v>0</v>
      </c>
      <c r="CA7634">
        <f t="shared" si="326"/>
        <v>0</v>
      </c>
      <c r="CB7634">
        <f t="shared" si="326"/>
        <v>0</v>
      </c>
      <c r="CC7634">
        <f t="shared" si="326"/>
        <v>0</v>
      </c>
      <c r="CD7634">
        <f t="shared" si="326"/>
        <v>0</v>
      </c>
      <c r="CE7634">
        <f t="shared" si="326"/>
        <v>0</v>
      </c>
      <c r="CF7634">
        <f t="shared" si="326"/>
        <v>0</v>
      </c>
      <c r="CG7634">
        <f t="shared" si="326"/>
        <v>0</v>
      </c>
      <c r="CH7634">
        <f t="shared" si="326"/>
        <v>0</v>
      </c>
      <c r="CI7634">
        <f t="shared" si="326"/>
        <v>0</v>
      </c>
      <c r="CJ7634">
        <f t="shared" si="326"/>
        <v>0</v>
      </c>
      <c r="CK7634">
        <f t="shared" si="326"/>
        <v>0</v>
      </c>
      <c r="CL7634">
        <f t="shared" si="326"/>
        <v>0</v>
      </c>
      <c r="CM7634">
        <f t="shared" si="326"/>
        <v>0</v>
      </c>
      <c r="CN7634">
        <f t="shared" si="326"/>
        <v>0</v>
      </c>
      <c r="CO7634">
        <f t="shared" si="326"/>
        <v>0</v>
      </c>
      <c r="CP7634">
        <f t="shared" si="326"/>
        <v>0</v>
      </c>
      <c r="CQ7634">
        <f t="shared" si="326"/>
        <v>0</v>
      </c>
      <c r="CR7634">
        <f t="shared" si="326"/>
        <v>0</v>
      </c>
      <c r="CS7634">
        <f t="shared" si="326"/>
        <v>0</v>
      </c>
      <c r="CT7634">
        <f t="shared" si="326"/>
        <v>0</v>
      </c>
      <c r="CU7634">
        <f t="shared" si="326"/>
        <v>0</v>
      </c>
      <c r="CV7634">
        <f t="shared" si="326"/>
        <v>0</v>
      </c>
      <c r="CW7634">
        <f t="shared" si="326"/>
        <v>0</v>
      </c>
      <c r="CX7634">
        <f t="shared" si="326"/>
        <v>0</v>
      </c>
    </row>
    <row r="7635" spans="51:103">
      <c r="AY7635">
        <v>90</v>
      </c>
      <c r="AZ7635" s="2"/>
      <c r="BC7635">
        <f t="shared" ref="BC7635:CX7635" si="327">COUNTIF(B$3:B$7503,"90")</f>
        <v>0</v>
      </c>
      <c r="BD7635">
        <f t="shared" si="327"/>
        <v>0</v>
      </c>
      <c r="BE7635">
        <f t="shared" si="327"/>
        <v>0</v>
      </c>
      <c r="BF7635">
        <f t="shared" si="327"/>
        <v>0</v>
      </c>
      <c r="BG7635">
        <f t="shared" si="327"/>
        <v>0</v>
      </c>
      <c r="BH7635">
        <f t="shared" si="327"/>
        <v>0</v>
      </c>
      <c r="BI7635">
        <f t="shared" si="327"/>
        <v>0</v>
      </c>
      <c r="BJ7635">
        <f t="shared" si="327"/>
        <v>0</v>
      </c>
      <c r="BK7635" s="1">
        <f t="shared" si="327"/>
        <v>0</v>
      </c>
      <c r="BL7635">
        <f t="shared" si="327"/>
        <v>0</v>
      </c>
      <c r="BM7635">
        <f t="shared" si="327"/>
        <v>0</v>
      </c>
      <c r="BN7635">
        <f t="shared" si="327"/>
        <v>0</v>
      </c>
      <c r="BO7635">
        <f t="shared" si="327"/>
        <v>0</v>
      </c>
      <c r="BP7635">
        <f t="shared" si="327"/>
        <v>0</v>
      </c>
      <c r="BQ7635">
        <f t="shared" si="327"/>
        <v>0</v>
      </c>
      <c r="BR7635">
        <f t="shared" si="327"/>
        <v>0</v>
      </c>
      <c r="BS7635">
        <f t="shared" si="327"/>
        <v>0</v>
      </c>
      <c r="BT7635">
        <f t="shared" si="327"/>
        <v>0</v>
      </c>
      <c r="BU7635">
        <f t="shared" si="327"/>
        <v>0</v>
      </c>
      <c r="BV7635">
        <f t="shared" si="327"/>
        <v>0</v>
      </c>
      <c r="BW7635">
        <f t="shared" si="327"/>
        <v>0</v>
      </c>
      <c r="BX7635">
        <f t="shared" si="327"/>
        <v>0</v>
      </c>
      <c r="BY7635">
        <f t="shared" si="327"/>
        <v>0</v>
      </c>
      <c r="BZ7635">
        <f t="shared" si="327"/>
        <v>0</v>
      </c>
      <c r="CA7635">
        <f t="shared" si="327"/>
        <v>0</v>
      </c>
      <c r="CB7635">
        <f t="shared" si="327"/>
        <v>0</v>
      </c>
      <c r="CC7635">
        <f t="shared" si="327"/>
        <v>0</v>
      </c>
      <c r="CD7635">
        <f t="shared" si="327"/>
        <v>0</v>
      </c>
      <c r="CE7635">
        <f t="shared" si="327"/>
        <v>0</v>
      </c>
      <c r="CF7635">
        <f t="shared" si="327"/>
        <v>0</v>
      </c>
      <c r="CG7635">
        <f t="shared" si="327"/>
        <v>0</v>
      </c>
      <c r="CH7635">
        <f t="shared" si="327"/>
        <v>0</v>
      </c>
      <c r="CI7635">
        <f t="shared" si="327"/>
        <v>0</v>
      </c>
      <c r="CJ7635">
        <f t="shared" si="327"/>
        <v>0</v>
      </c>
      <c r="CK7635">
        <f t="shared" si="327"/>
        <v>0</v>
      </c>
      <c r="CL7635">
        <f t="shared" si="327"/>
        <v>0</v>
      </c>
      <c r="CM7635">
        <f t="shared" si="327"/>
        <v>0</v>
      </c>
      <c r="CN7635">
        <f t="shared" si="327"/>
        <v>0</v>
      </c>
      <c r="CO7635">
        <f t="shared" si="327"/>
        <v>0</v>
      </c>
      <c r="CP7635">
        <f t="shared" si="327"/>
        <v>0</v>
      </c>
      <c r="CQ7635">
        <f t="shared" si="327"/>
        <v>0</v>
      </c>
      <c r="CR7635">
        <f t="shared" si="327"/>
        <v>0</v>
      </c>
      <c r="CS7635">
        <f t="shared" si="327"/>
        <v>0</v>
      </c>
      <c r="CT7635">
        <f t="shared" si="327"/>
        <v>0</v>
      </c>
      <c r="CU7635">
        <f t="shared" si="327"/>
        <v>0</v>
      </c>
      <c r="CV7635">
        <f t="shared" si="327"/>
        <v>0</v>
      </c>
      <c r="CW7635">
        <f t="shared" si="327"/>
        <v>0</v>
      </c>
      <c r="CX7635">
        <f t="shared" si="327"/>
        <v>0</v>
      </c>
    </row>
    <row r="7636" spans="51:103">
      <c r="AY7636">
        <v>91</v>
      </c>
      <c r="AZ7636" s="2"/>
      <c r="BC7636">
        <f t="shared" ref="BC7636:CX7636" si="328">COUNTIF(B$3:B$7503,"91")</f>
        <v>0</v>
      </c>
      <c r="BD7636">
        <f t="shared" si="328"/>
        <v>0</v>
      </c>
      <c r="BE7636">
        <f t="shared" si="328"/>
        <v>0</v>
      </c>
      <c r="BF7636">
        <f t="shared" si="328"/>
        <v>0</v>
      </c>
      <c r="BG7636">
        <f t="shared" si="328"/>
        <v>0</v>
      </c>
      <c r="BH7636">
        <f t="shared" si="328"/>
        <v>0</v>
      </c>
      <c r="BI7636">
        <f t="shared" si="328"/>
        <v>0</v>
      </c>
      <c r="BJ7636">
        <f t="shared" si="328"/>
        <v>0</v>
      </c>
      <c r="BK7636" s="1">
        <f t="shared" si="328"/>
        <v>0</v>
      </c>
      <c r="BL7636">
        <f t="shared" si="328"/>
        <v>0</v>
      </c>
      <c r="BM7636">
        <f t="shared" si="328"/>
        <v>0</v>
      </c>
      <c r="BN7636">
        <f t="shared" si="328"/>
        <v>0</v>
      </c>
      <c r="BO7636">
        <f t="shared" si="328"/>
        <v>0</v>
      </c>
      <c r="BP7636">
        <f t="shared" si="328"/>
        <v>0</v>
      </c>
      <c r="BQ7636">
        <f t="shared" si="328"/>
        <v>0</v>
      </c>
      <c r="BR7636">
        <f t="shared" si="328"/>
        <v>0</v>
      </c>
      <c r="BS7636">
        <f t="shared" si="328"/>
        <v>0</v>
      </c>
      <c r="BT7636">
        <f t="shared" si="328"/>
        <v>0</v>
      </c>
      <c r="BU7636">
        <f t="shared" si="328"/>
        <v>0</v>
      </c>
      <c r="BV7636">
        <f t="shared" si="328"/>
        <v>0</v>
      </c>
      <c r="BW7636">
        <f t="shared" si="328"/>
        <v>0</v>
      </c>
      <c r="BX7636">
        <f t="shared" si="328"/>
        <v>0</v>
      </c>
      <c r="BY7636">
        <f t="shared" si="328"/>
        <v>0</v>
      </c>
      <c r="BZ7636">
        <f t="shared" si="328"/>
        <v>0</v>
      </c>
      <c r="CA7636">
        <f t="shared" si="328"/>
        <v>0</v>
      </c>
      <c r="CB7636">
        <f t="shared" si="328"/>
        <v>0</v>
      </c>
      <c r="CC7636">
        <f t="shared" si="328"/>
        <v>0</v>
      </c>
      <c r="CD7636">
        <f t="shared" si="328"/>
        <v>0</v>
      </c>
      <c r="CE7636">
        <f t="shared" si="328"/>
        <v>0</v>
      </c>
      <c r="CF7636">
        <f t="shared" si="328"/>
        <v>0</v>
      </c>
      <c r="CG7636">
        <f t="shared" si="328"/>
        <v>0</v>
      </c>
      <c r="CH7636">
        <f t="shared" si="328"/>
        <v>0</v>
      </c>
      <c r="CI7636">
        <f t="shared" si="328"/>
        <v>0</v>
      </c>
      <c r="CJ7636">
        <f t="shared" si="328"/>
        <v>0</v>
      </c>
      <c r="CK7636">
        <f t="shared" si="328"/>
        <v>0</v>
      </c>
      <c r="CL7636">
        <f t="shared" si="328"/>
        <v>0</v>
      </c>
      <c r="CM7636">
        <f t="shared" si="328"/>
        <v>0</v>
      </c>
      <c r="CN7636">
        <f t="shared" si="328"/>
        <v>0</v>
      </c>
      <c r="CO7636">
        <f t="shared" si="328"/>
        <v>0</v>
      </c>
      <c r="CP7636">
        <f t="shared" si="328"/>
        <v>0</v>
      </c>
      <c r="CQ7636">
        <f t="shared" si="328"/>
        <v>0</v>
      </c>
      <c r="CR7636">
        <f t="shared" si="328"/>
        <v>0</v>
      </c>
      <c r="CS7636">
        <f t="shared" si="328"/>
        <v>0</v>
      </c>
      <c r="CT7636">
        <f t="shared" si="328"/>
        <v>0</v>
      </c>
      <c r="CU7636">
        <f t="shared" si="328"/>
        <v>0</v>
      </c>
      <c r="CV7636">
        <f t="shared" si="328"/>
        <v>0</v>
      </c>
      <c r="CW7636">
        <f t="shared" si="328"/>
        <v>0</v>
      </c>
      <c r="CX7636">
        <f t="shared" si="328"/>
        <v>0</v>
      </c>
    </row>
    <row r="7637" spans="51:103">
      <c r="AY7637">
        <v>92</v>
      </c>
      <c r="AZ7637" s="2"/>
      <c r="BC7637">
        <f t="shared" ref="BC7637:CX7637" si="329">COUNTIF(B$3:B$7503,"92")</f>
        <v>0</v>
      </c>
      <c r="BD7637">
        <f t="shared" si="329"/>
        <v>0</v>
      </c>
      <c r="BE7637">
        <f t="shared" si="329"/>
        <v>0</v>
      </c>
      <c r="BF7637">
        <f t="shared" si="329"/>
        <v>0</v>
      </c>
      <c r="BG7637">
        <f t="shared" si="329"/>
        <v>0</v>
      </c>
      <c r="BH7637">
        <f t="shared" si="329"/>
        <v>0</v>
      </c>
      <c r="BI7637">
        <f t="shared" si="329"/>
        <v>0</v>
      </c>
      <c r="BJ7637">
        <f t="shared" si="329"/>
        <v>0</v>
      </c>
      <c r="BK7637" s="1">
        <f t="shared" si="329"/>
        <v>0</v>
      </c>
      <c r="BL7637">
        <f t="shared" si="329"/>
        <v>0</v>
      </c>
      <c r="BM7637">
        <f t="shared" si="329"/>
        <v>0</v>
      </c>
      <c r="BN7637">
        <f t="shared" si="329"/>
        <v>0</v>
      </c>
      <c r="BO7637">
        <f t="shared" si="329"/>
        <v>0</v>
      </c>
      <c r="BP7637">
        <f t="shared" si="329"/>
        <v>0</v>
      </c>
      <c r="BQ7637">
        <f t="shared" si="329"/>
        <v>0</v>
      </c>
      <c r="BR7637">
        <f t="shared" si="329"/>
        <v>0</v>
      </c>
      <c r="BS7637">
        <f t="shared" si="329"/>
        <v>0</v>
      </c>
      <c r="BT7637">
        <f t="shared" si="329"/>
        <v>0</v>
      </c>
      <c r="BU7637">
        <f t="shared" si="329"/>
        <v>0</v>
      </c>
      <c r="BV7637">
        <f t="shared" si="329"/>
        <v>0</v>
      </c>
      <c r="BW7637">
        <f t="shared" si="329"/>
        <v>0</v>
      </c>
      <c r="BX7637">
        <f t="shared" si="329"/>
        <v>0</v>
      </c>
      <c r="BY7637">
        <f t="shared" si="329"/>
        <v>0</v>
      </c>
      <c r="BZ7637">
        <f t="shared" si="329"/>
        <v>0</v>
      </c>
      <c r="CA7637">
        <f t="shared" si="329"/>
        <v>0</v>
      </c>
      <c r="CB7637">
        <f t="shared" si="329"/>
        <v>0</v>
      </c>
      <c r="CC7637">
        <f t="shared" si="329"/>
        <v>0</v>
      </c>
      <c r="CD7637">
        <f t="shared" si="329"/>
        <v>0</v>
      </c>
      <c r="CE7637">
        <f t="shared" si="329"/>
        <v>0</v>
      </c>
      <c r="CF7637">
        <f t="shared" si="329"/>
        <v>0</v>
      </c>
      <c r="CG7637">
        <f t="shared" si="329"/>
        <v>0</v>
      </c>
      <c r="CH7637">
        <f t="shared" si="329"/>
        <v>0</v>
      </c>
      <c r="CI7637">
        <f t="shared" si="329"/>
        <v>0</v>
      </c>
      <c r="CJ7637">
        <f t="shared" si="329"/>
        <v>0</v>
      </c>
      <c r="CK7637">
        <f t="shared" si="329"/>
        <v>0</v>
      </c>
      <c r="CL7637">
        <f t="shared" si="329"/>
        <v>0</v>
      </c>
      <c r="CM7637">
        <f t="shared" si="329"/>
        <v>0</v>
      </c>
      <c r="CN7637">
        <f t="shared" si="329"/>
        <v>0</v>
      </c>
      <c r="CO7637">
        <f t="shared" si="329"/>
        <v>0</v>
      </c>
      <c r="CP7637">
        <f t="shared" si="329"/>
        <v>0</v>
      </c>
      <c r="CQ7637">
        <f t="shared" si="329"/>
        <v>0</v>
      </c>
      <c r="CR7637">
        <f t="shared" si="329"/>
        <v>0</v>
      </c>
      <c r="CS7637">
        <f t="shared" si="329"/>
        <v>0</v>
      </c>
      <c r="CT7637">
        <f t="shared" si="329"/>
        <v>0</v>
      </c>
      <c r="CU7637">
        <f t="shared" si="329"/>
        <v>0</v>
      </c>
      <c r="CV7637">
        <f t="shared" si="329"/>
        <v>0</v>
      </c>
      <c r="CW7637">
        <f t="shared" si="329"/>
        <v>0</v>
      </c>
      <c r="CX7637">
        <f t="shared" si="329"/>
        <v>0</v>
      </c>
    </row>
    <row r="7638" spans="51:103">
      <c r="AY7638">
        <v>93</v>
      </c>
      <c r="AZ7638" s="2"/>
      <c r="BC7638">
        <f t="shared" ref="BC7638:CX7638" si="330">COUNTIF(B$3:B$7503,"93")</f>
        <v>0</v>
      </c>
      <c r="BD7638">
        <f t="shared" si="330"/>
        <v>0</v>
      </c>
      <c r="BE7638">
        <f t="shared" si="330"/>
        <v>0</v>
      </c>
      <c r="BF7638">
        <f t="shared" si="330"/>
        <v>0</v>
      </c>
      <c r="BG7638">
        <f t="shared" si="330"/>
        <v>0</v>
      </c>
      <c r="BH7638">
        <f t="shared" si="330"/>
        <v>0</v>
      </c>
      <c r="BI7638">
        <f t="shared" si="330"/>
        <v>0</v>
      </c>
      <c r="BJ7638">
        <f t="shared" si="330"/>
        <v>0</v>
      </c>
      <c r="BK7638" s="1">
        <f t="shared" si="330"/>
        <v>0</v>
      </c>
      <c r="BL7638">
        <f t="shared" si="330"/>
        <v>0</v>
      </c>
      <c r="BM7638">
        <f t="shared" si="330"/>
        <v>0</v>
      </c>
      <c r="BN7638">
        <f t="shared" si="330"/>
        <v>0</v>
      </c>
      <c r="BO7638">
        <f t="shared" si="330"/>
        <v>0</v>
      </c>
      <c r="BP7638">
        <f t="shared" si="330"/>
        <v>0</v>
      </c>
      <c r="BQ7638">
        <f t="shared" si="330"/>
        <v>0</v>
      </c>
      <c r="BR7638">
        <f t="shared" si="330"/>
        <v>0</v>
      </c>
      <c r="BS7638">
        <f t="shared" si="330"/>
        <v>0</v>
      </c>
      <c r="BT7638">
        <f t="shared" si="330"/>
        <v>0</v>
      </c>
      <c r="BU7638">
        <f t="shared" si="330"/>
        <v>0</v>
      </c>
      <c r="BV7638">
        <f t="shared" si="330"/>
        <v>0</v>
      </c>
      <c r="BW7638">
        <f t="shared" si="330"/>
        <v>0</v>
      </c>
      <c r="BX7638">
        <f t="shared" si="330"/>
        <v>0</v>
      </c>
      <c r="BY7638">
        <f t="shared" si="330"/>
        <v>0</v>
      </c>
      <c r="BZ7638">
        <f t="shared" si="330"/>
        <v>0</v>
      </c>
      <c r="CA7638">
        <f t="shared" si="330"/>
        <v>0</v>
      </c>
      <c r="CB7638">
        <f t="shared" si="330"/>
        <v>0</v>
      </c>
      <c r="CC7638">
        <f t="shared" si="330"/>
        <v>0</v>
      </c>
      <c r="CD7638">
        <f t="shared" si="330"/>
        <v>0</v>
      </c>
      <c r="CE7638">
        <f t="shared" si="330"/>
        <v>0</v>
      </c>
      <c r="CF7638">
        <f t="shared" si="330"/>
        <v>0</v>
      </c>
      <c r="CG7638">
        <f t="shared" si="330"/>
        <v>0</v>
      </c>
      <c r="CH7638">
        <f t="shared" si="330"/>
        <v>0</v>
      </c>
      <c r="CI7638">
        <f t="shared" si="330"/>
        <v>0</v>
      </c>
      <c r="CJ7638">
        <f t="shared" si="330"/>
        <v>0</v>
      </c>
      <c r="CK7638">
        <f t="shared" si="330"/>
        <v>0</v>
      </c>
      <c r="CL7638">
        <f t="shared" si="330"/>
        <v>0</v>
      </c>
      <c r="CM7638">
        <f t="shared" si="330"/>
        <v>0</v>
      </c>
      <c r="CN7638">
        <f t="shared" si="330"/>
        <v>0</v>
      </c>
      <c r="CO7638">
        <f t="shared" si="330"/>
        <v>0</v>
      </c>
      <c r="CP7638">
        <f t="shared" si="330"/>
        <v>0</v>
      </c>
      <c r="CQ7638">
        <f t="shared" si="330"/>
        <v>0</v>
      </c>
      <c r="CR7638">
        <f t="shared" si="330"/>
        <v>0</v>
      </c>
      <c r="CS7638">
        <f t="shared" si="330"/>
        <v>0</v>
      </c>
      <c r="CT7638">
        <f t="shared" si="330"/>
        <v>0</v>
      </c>
      <c r="CU7638">
        <f t="shared" si="330"/>
        <v>0</v>
      </c>
      <c r="CV7638">
        <f t="shared" si="330"/>
        <v>0</v>
      </c>
      <c r="CW7638">
        <f t="shared" si="330"/>
        <v>0</v>
      </c>
      <c r="CX7638">
        <f t="shared" si="330"/>
        <v>0</v>
      </c>
    </row>
    <row r="7639" spans="51:103">
      <c r="AY7639">
        <v>94</v>
      </c>
      <c r="AZ7639" s="2"/>
      <c r="BC7639">
        <f t="shared" ref="BC7639:CX7639" si="331">COUNTIF(B$3:B$7503,"94")</f>
        <v>0</v>
      </c>
      <c r="BD7639">
        <f t="shared" si="331"/>
        <v>0</v>
      </c>
      <c r="BE7639">
        <f t="shared" si="331"/>
        <v>0</v>
      </c>
      <c r="BF7639">
        <f t="shared" si="331"/>
        <v>0</v>
      </c>
      <c r="BG7639">
        <f t="shared" si="331"/>
        <v>0</v>
      </c>
      <c r="BH7639">
        <f t="shared" si="331"/>
        <v>0</v>
      </c>
      <c r="BI7639">
        <f t="shared" si="331"/>
        <v>0</v>
      </c>
      <c r="BJ7639">
        <f t="shared" si="331"/>
        <v>0</v>
      </c>
      <c r="BK7639" s="1">
        <f t="shared" si="331"/>
        <v>0</v>
      </c>
      <c r="BL7639">
        <f t="shared" si="331"/>
        <v>0</v>
      </c>
      <c r="BM7639">
        <f t="shared" si="331"/>
        <v>0</v>
      </c>
      <c r="BN7639">
        <f t="shared" si="331"/>
        <v>0</v>
      </c>
      <c r="BO7639">
        <f t="shared" si="331"/>
        <v>0</v>
      </c>
      <c r="BP7639">
        <f t="shared" si="331"/>
        <v>0</v>
      </c>
      <c r="BQ7639">
        <f t="shared" si="331"/>
        <v>0</v>
      </c>
      <c r="BR7639">
        <f t="shared" si="331"/>
        <v>0</v>
      </c>
      <c r="BS7639">
        <f t="shared" si="331"/>
        <v>0</v>
      </c>
      <c r="BT7639">
        <f t="shared" si="331"/>
        <v>0</v>
      </c>
      <c r="BU7639">
        <f t="shared" si="331"/>
        <v>0</v>
      </c>
      <c r="BV7639">
        <f t="shared" si="331"/>
        <v>0</v>
      </c>
      <c r="BW7639">
        <f t="shared" si="331"/>
        <v>0</v>
      </c>
      <c r="BX7639">
        <f t="shared" si="331"/>
        <v>0</v>
      </c>
      <c r="BY7639">
        <f t="shared" si="331"/>
        <v>0</v>
      </c>
      <c r="BZ7639">
        <f t="shared" si="331"/>
        <v>0</v>
      </c>
      <c r="CA7639">
        <f t="shared" si="331"/>
        <v>0</v>
      </c>
      <c r="CB7639">
        <f t="shared" si="331"/>
        <v>0</v>
      </c>
      <c r="CC7639">
        <f t="shared" si="331"/>
        <v>0</v>
      </c>
      <c r="CD7639">
        <f t="shared" si="331"/>
        <v>0</v>
      </c>
      <c r="CE7639">
        <f t="shared" si="331"/>
        <v>0</v>
      </c>
      <c r="CF7639">
        <f t="shared" si="331"/>
        <v>0</v>
      </c>
      <c r="CG7639">
        <f t="shared" si="331"/>
        <v>0</v>
      </c>
      <c r="CH7639">
        <f t="shared" si="331"/>
        <v>0</v>
      </c>
      <c r="CI7639">
        <f t="shared" si="331"/>
        <v>0</v>
      </c>
      <c r="CJ7639">
        <f t="shared" si="331"/>
        <v>0</v>
      </c>
      <c r="CK7639">
        <f t="shared" si="331"/>
        <v>0</v>
      </c>
      <c r="CL7639">
        <f t="shared" si="331"/>
        <v>0</v>
      </c>
      <c r="CM7639">
        <f t="shared" si="331"/>
        <v>0</v>
      </c>
      <c r="CN7639">
        <f t="shared" si="331"/>
        <v>0</v>
      </c>
      <c r="CO7639">
        <f t="shared" si="331"/>
        <v>0</v>
      </c>
      <c r="CP7639">
        <f t="shared" si="331"/>
        <v>0</v>
      </c>
      <c r="CQ7639">
        <f t="shared" si="331"/>
        <v>0</v>
      </c>
      <c r="CR7639">
        <f t="shared" si="331"/>
        <v>0</v>
      </c>
      <c r="CS7639">
        <f t="shared" si="331"/>
        <v>0</v>
      </c>
      <c r="CT7639">
        <f t="shared" si="331"/>
        <v>0</v>
      </c>
      <c r="CU7639">
        <f t="shared" si="331"/>
        <v>0</v>
      </c>
      <c r="CV7639">
        <f t="shared" si="331"/>
        <v>0</v>
      </c>
      <c r="CW7639">
        <f t="shared" si="331"/>
        <v>0</v>
      </c>
      <c r="CX7639">
        <f t="shared" si="331"/>
        <v>0</v>
      </c>
    </row>
    <row r="7640" spans="51:103">
      <c r="AY7640">
        <v>95</v>
      </c>
      <c r="AZ7640" s="2"/>
      <c r="BC7640">
        <f t="shared" ref="BC7640:CX7640" si="332">COUNTIF(B$3:B$7503,"95")</f>
        <v>0</v>
      </c>
      <c r="BD7640">
        <f t="shared" si="332"/>
        <v>0</v>
      </c>
      <c r="BE7640">
        <f t="shared" si="332"/>
        <v>0</v>
      </c>
      <c r="BF7640">
        <f t="shared" si="332"/>
        <v>0</v>
      </c>
      <c r="BG7640">
        <f t="shared" si="332"/>
        <v>0</v>
      </c>
      <c r="BH7640">
        <f t="shared" si="332"/>
        <v>0</v>
      </c>
      <c r="BI7640">
        <f t="shared" si="332"/>
        <v>0</v>
      </c>
      <c r="BJ7640">
        <f t="shared" si="332"/>
        <v>0</v>
      </c>
      <c r="BK7640" s="1">
        <f t="shared" si="332"/>
        <v>0</v>
      </c>
      <c r="BL7640">
        <f t="shared" si="332"/>
        <v>0</v>
      </c>
      <c r="BM7640">
        <f t="shared" si="332"/>
        <v>0</v>
      </c>
      <c r="BN7640">
        <f t="shared" si="332"/>
        <v>0</v>
      </c>
      <c r="BO7640">
        <f t="shared" si="332"/>
        <v>0</v>
      </c>
      <c r="BP7640">
        <f t="shared" si="332"/>
        <v>0</v>
      </c>
      <c r="BQ7640">
        <f t="shared" si="332"/>
        <v>0</v>
      </c>
      <c r="BR7640">
        <f t="shared" si="332"/>
        <v>0</v>
      </c>
      <c r="BS7640">
        <f t="shared" si="332"/>
        <v>0</v>
      </c>
      <c r="BT7640">
        <f t="shared" si="332"/>
        <v>0</v>
      </c>
      <c r="BU7640">
        <f t="shared" si="332"/>
        <v>0</v>
      </c>
      <c r="BV7640">
        <f t="shared" si="332"/>
        <v>0</v>
      </c>
      <c r="BW7640">
        <f t="shared" si="332"/>
        <v>0</v>
      </c>
      <c r="BX7640">
        <f t="shared" si="332"/>
        <v>0</v>
      </c>
      <c r="BY7640">
        <f t="shared" si="332"/>
        <v>0</v>
      </c>
      <c r="BZ7640">
        <f t="shared" si="332"/>
        <v>0</v>
      </c>
      <c r="CA7640">
        <f t="shared" si="332"/>
        <v>0</v>
      </c>
      <c r="CB7640">
        <f t="shared" si="332"/>
        <v>0</v>
      </c>
      <c r="CC7640">
        <f t="shared" si="332"/>
        <v>0</v>
      </c>
      <c r="CD7640">
        <f t="shared" si="332"/>
        <v>0</v>
      </c>
      <c r="CE7640">
        <f t="shared" si="332"/>
        <v>0</v>
      </c>
      <c r="CF7640">
        <f t="shared" si="332"/>
        <v>0</v>
      </c>
      <c r="CG7640">
        <f t="shared" si="332"/>
        <v>0</v>
      </c>
      <c r="CH7640">
        <f t="shared" si="332"/>
        <v>0</v>
      </c>
      <c r="CI7640">
        <f t="shared" si="332"/>
        <v>0</v>
      </c>
      <c r="CJ7640">
        <f t="shared" si="332"/>
        <v>0</v>
      </c>
      <c r="CK7640">
        <f t="shared" si="332"/>
        <v>0</v>
      </c>
      <c r="CL7640">
        <f t="shared" si="332"/>
        <v>0</v>
      </c>
      <c r="CM7640">
        <f t="shared" si="332"/>
        <v>0</v>
      </c>
      <c r="CN7640">
        <f t="shared" si="332"/>
        <v>0</v>
      </c>
      <c r="CO7640">
        <f t="shared" si="332"/>
        <v>0</v>
      </c>
      <c r="CP7640">
        <f t="shared" si="332"/>
        <v>0</v>
      </c>
      <c r="CQ7640">
        <f t="shared" si="332"/>
        <v>0</v>
      </c>
      <c r="CR7640">
        <f t="shared" si="332"/>
        <v>0</v>
      </c>
      <c r="CS7640">
        <f t="shared" si="332"/>
        <v>0</v>
      </c>
      <c r="CT7640">
        <f t="shared" si="332"/>
        <v>0</v>
      </c>
      <c r="CU7640">
        <f t="shared" si="332"/>
        <v>0</v>
      </c>
      <c r="CV7640">
        <f t="shared" si="332"/>
        <v>0</v>
      </c>
      <c r="CW7640">
        <f t="shared" si="332"/>
        <v>0</v>
      </c>
      <c r="CX7640">
        <f t="shared" si="332"/>
        <v>0</v>
      </c>
    </row>
    <row r="7641" spans="51:103">
      <c r="AY7641">
        <v>96</v>
      </c>
      <c r="AZ7641" s="2"/>
      <c r="BC7641">
        <f t="shared" ref="BC7641:CX7641" si="333">COUNTIF(B$3:B$7503,"96")</f>
        <v>0</v>
      </c>
      <c r="BD7641">
        <f t="shared" si="333"/>
        <v>0</v>
      </c>
      <c r="BE7641">
        <f t="shared" si="333"/>
        <v>0</v>
      </c>
      <c r="BF7641">
        <f t="shared" si="333"/>
        <v>0</v>
      </c>
      <c r="BG7641">
        <f t="shared" si="333"/>
        <v>0</v>
      </c>
      <c r="BH7641">
        <f t="shared" si="333"/>
        <v>0</v>
      </c>
      <c r="BI7641">
        <f t="shared" si="333"/>
        <v>0</v>
      </c>
      <c r="BJ7641">
        <f t="shared" si="333"/>
        <v>0</v>
      </c>
      <c r="BK7641" s="1">
        <f t="shared" si="333"/>
        <v>0</v>
      </c>
      <c r="BL7641">
        <f t="shared" si="333"/>
        <v>0</v>
      </c>
      <c r="BM7641">
        <f t="shared" si="333"/>
        <v>0</v>
      </c>
      <c r="BN7641">
        <f t="shared" si="333"/>
        <v>0</v>
      </c>
      <c r="BO7641">
        <f t="shared" si="333"/>
        <v>0</v>
      </c>
      <c r="BP7641">
        <f t="shared" si="333"/>
        <v>0</v>
      </c>
      <c r="BQ7641">
        <f t="shared" si="333"/>
        <v>0</v>
      </c>
      <c r="BR7641">
        <f t="shared" si="333"/>
        <v>0</v>
      </c>
      <c r="BS7641">
        <f t="shared" si="333"/>
        <v>0</v>
      </c>
      <c r="BT7641">
        <f t="shared" si="333"/>
        <v>0</v>
      </c>
      <c r="BU7641">
        <f t="shared" si="333"/>
        <v>0</v>
      </c>
      <c r="BV7641">
        <f t="shared" si="333"/>
        <v>0</v>
      </c>
      <c r="BW7641">
        <f t="shared" si="333"/>
        <v>0</v>
      </c>
      <c r="BX7641">
        <f t="shared" si="333"/>
        <v>0</v>
      </c>
      <c r="BY7641">
        <f t="shared" si="333"/>
        <v>0</v>
      </c>
      <c r="BZ7641">
        <f t="shared" si="333"/>
        <v>0</v>
      </c>
      <c r="CA7641">
        <f t="shared" si="333"/>
        <v>0</v>
      </c>
      <c r="CB7641">
        <f t="shared" si="333"/>
        <v>0</v>
      </c>
      <c r="CC7641">
        <f t="shared" si="333"/>
        <v>0</v>
      </c>
      <c r="CD7641">
        <f t="shared" si="333"/>
        <v>0</v>
      </c>
      <c r="CE7641">
        <f t="shared" si="333"/>
        <v>0</v>
      </c>
      <c r="CF7641">
        <f t="shared" si="333"/>
        <v>0</v>
      </c>
      <c r="CG7641">
        <f t="shared" si="333"/>
        <v>0</v>
      </c>
      <c r="CH7641">
        <f t="shared" si="333"/>
        <v>0</v>
      </c>
      <c r="CI7641">
        <f t="shared" si="333"/>
        <v>0</v>
      </c>
      <c r="CJ7641">
        <f t="shared" si="333"/>
        <v>0</v>
      </c>
      <c r="CK7641">
        <f t="shared" si="333"/>
        <v>0</v>
      </c>
      <c r="CL7641">
        <f t="shared" si="333"/>
        <v>0</v>
      </c>
      <c r="CM7641">
        <f t="shared" si="333"/>
        <v>0</v>
      </c>
      <c r="CN7641">
        <f t="shared" si="333"/>
        <v>0</v>
      </c>
      <c r="CO7641">
        <f t="shared" si="333"/>
        <v>0</v>
      </c>
      <c r="CP7641">
        <f t="shared" si="333"/>
        <v>0</v>
      </c>
      <c r="CQ7641">
        <f t="shared" si="333"/>
        <v>0</v>
      </c>
      <c r="CR7641">
        <f t="shared" si="333"/>
        <v>0</v>
      </c>
      <c r="CS7641">
        <f t="shared" si="333"/>
        <v>0</v>
      </c>
      <c r="CT7641">
        <f t="shared" si="333"/>
        <v>0</v>
      </c>
      <c r="CU7641">
        <f t="shared" si="333"/>
        <v>0</v>
      </c>
      <c r="CV7641">
        <f t="shared" si="333"/>
        <v>0</v>
      </c>
      <c r="CW7641">
        <f t="shared" si="333"/>
        <v>0</v>
      </c>
      <c r="CX7641">
        <f t="shared" si="333"/>
        <v>0</v>
      </c>
    </row>
    <row r="7642" spans="51:103">
      <c r="AY7642">
        <v>97</v>
      </c>
      <c r="AZ7642" s="2"/>
      <c r="BC7642">
        <f t="shared" ref="BC7642:CX7642" si="334">COUNTIF(B$3:B$7503,"97")</f>
        <v>0</v>
      </c>
      <c r="BD7642">
        <f t="shared" si="334"/>
        <v>0</v>
      </c>
      <c r="BE7642">
        <f t="shared" si="334"/>
        <v>0</v>
      </c>
      <c r="BF7642">
        <f t="shared" si="334"/>
        <v>0</v>
      </c>
      <c r="BG7642">
        <f t="shared" si="334"/>
        <v>0</v>
      </c>
      <c r="BH7642">
        <f t="shared" si="334"/>
        <v>0</v>
      </c>
      <c r="BI7642">
        <f t="shared" si="334"/>
        <v>0</v>
      </c>
      <c r="BJ7642">
        <f t="shared" si="334"/>
        <v>0</v>
      </c>
      <c r="BK7642" s="1">
        <f t="shared" si="334"/>
        <v>0</v>
      </c>
      <c r="BL7642">
        <f t="shared" si="334"/>
        <v>0</v>
      </c>
      <c r="BM7642">
        <f t="shared" si="334"/>
        <v>0</v>
      </c>
      <c r="BN7642">
        <f t="shared" si="334"/>
        <v>0</v>
      </c>
      <c r="BO7642">
        <f t="shared" si="334"/>
        <v>0</v>
      </c>
      <c r="BP7642">
        <f t="shared" si="334"/>
        <v>0</v>
      </c>
      <c r="BQ7642">
        <f t="shared" si="334"/>
        <v>0</v>
      </c>
      <c r="BR7642">
        <f t="shared" si="334"/>
        <v>0</v>
      </c>
      <c r="BS7642">
        <f t="shared" si="334"/>
        <v>0</v>
      </c>
      <c r="BT7642">
        <f t="shared" si="334"/>
        <v>0</v>
      </c>
      <c r="BU7642">
        <f t="shared" si="334"/>
        <v>0</v>
      </c>
      <c r="BV7642">
        <f t="shared" si="334"/>
        <v>0</v>
      </c>
      <c r="BW7642">
        <f t="shared" si="334"/>
        <v>0</v>
      </c>
      <c r="BX7642">
        <f t="shared" si="334"/>
        <v>0</v>
      </c>
      <c r="BY7642">
        <f t="shared" si="334"/>
        <v>0</v>
      </c>
      <c r="BZ7642">
        <f t="shared" si="334"/>
        <v>0</v>
      </c>
      <c r="CA7642">
        <f t="shared" si="334"/>
        <v>0</v>
      </c>
      <c r="CB7642">
        <f t="shared" si="334"/>
        <v>0</v>
      </c>
      <c r="CC7642">
        <f t="shared" si="334"/>
        <v>0</v>
      </c>
      <c r="CD7642">
        <f t="shared" si="334"/>
        <v>0</v>
      </c>
      <c r="CE7642">
        <f t="shared" si="334"/>
        <v>0</v>
      </c>
      <c r="CF7642">
        <f t="shared" si="334"/>
        <v>0</v>
      </c>
      <c r="CG7642">
        <f t="shared" si="334"/>
        <v>0</v>
      </c>
      <c r="CH7642">
        <f t="shared" si="334"/>
        <v>0</v>
      </c>
      <c r="CI7642">
        <f t="shared" si="334"/>
        <v>0</v>
      </c>
      <c r="CJ7642">
        <f t="shared" si="334"/>
        <v>0</v>
      </c>
      <c r="CK7642">
        <f t="shared" si="334"/>
        <v>0</v>
      </c>
      <c r="CL7642">
        <f t="shared" si="334"/>
        <v>0</v>
      </c>
      <c r="CM7642">
        <f t="shared" si="334"/>
        <v>0</v>
      </c>
      <c r="CN7642">
        <f t="shared" si="334"/>
        <v>0</v>
      </c>
      <c r="CO7642">
        <f t="shared" si="334"/>
        <v>0</v>
      </c>
      <c r="CP7642">
        <f t="shared" si="334"/>
        <v>0</v>
      </c>
      <c r="CQ7642">
        <f t="shared" si="334"/>
        <v>0</v>
      </c>
      <c r="CR7642">
        <f t="shared" si="334"/>
        <v>0</v>
      </c>
      <c r="CS7642">
        <f t="shared" si="334"/>
        <v>0</v>
      </c>
      <c r="CT7642">
        <f t="shared" si="334"/>
        <v>0</v>
      </c>
      <c r="CU7642">
        <f t="shared" si="334"/>
        <v>0</v>
      </c>
      <c r="CV7642">
        <f t="shared" si="334"/>
        <v>0</v>
      </c>
      <c r="CW7642">
        <f t="shared" si="334"/>
        <v>0</v>
      </c>
      <c r="CX7642">
        <f t="shared" si="334"/>
        <v>0</v>
      </c>
    </row>
    <row r="7643" spans="51:103">
      <c r="AY7643">
        <v>98</v>
      </c>
      <c r="AZ7643" s="2"/>
      <c r="BC7643">
        <f t="shared" ref="BC7643:CX7643" si="335">COUNTIF(B$3:B$7503,"98")</f>
        <v>0</v>
      </c>
      <c r="BD7643">
        <f t="shared" si="335"/>
        <v>0</v>
      </c>
      <c r="BE7643">
        <f t="shared" si="335"/>
        <v>0</v>
      </c>
      <c r="BF7643">
        <f t="shared" si="335"/>
        <v>0</v>
      </c>
      <c r="BG7643">
        <f t="shared" si="335"/>
        <v>0</v>
      </c>
      <c r="BH7643">
        <f t="shared" si="335"/>
        <v>0</v>
      </c>
      <c r="BI7643">
        <f t="shared" si="335"/>
        <v>0</v>
      </c>
      <c r="BJ7643">
        <f t="shared" si="335"/>
        <v>0</v>
      </c>
      <c r="BK7643" s="1">
        <f t="shared" si="335"/>
        <v>0</v>
      </c>
      <c r="BL7643">
        <f t="shared" si="335"/>
        <v>0</v>
      </c>
      <c r="BM7643">
        <f t="shared" si="335"/>
        <v>0</v>
      </c>
      <c r="BN7643">
        <f t="shared" si="335"/>
        <v>0</v>
      </c>
      <c r="BO7643">
        <f t="shared" si="335"/>
        <v>0</v>
      </c>
      <c r="BP7643">
        <f t="shared" si="335"/>
        <v>0</v>
      </c>
      <c r="BQ7643">
        <f t="shared" si="335"/>
        <v>0</v>
      </c>
      <c r="BR7643">
        <f t="shared" si="335"/>
        <v>0</v>
      </c>
      <c r="BS7643">
        <f t="shared" si="335"/>
        <v>0</v>
      </c>
      <c r="BT7643">
        <f t="shared" si="335"/>
        <v>0</v>
      </c>
      <c r="BU7643">
        <f t="shared" si="335"/>
        <v>0</v>
      </c>
      <c r="BV7643">
        <f t="shared" si="335"/>
        <v>0</v>
      </c>
      <c r="BW7643">
        <f t="shared" si="335"/>
        <v>0</v>
      </c>
      <c r="BX7643">
        <f t="shared" si="335"/>
        <v>0</v>
      </c>
      <c r="BY7643">
        <f t="shared" si="335"/>
        <v>0</v>
      </c>
      <c r="BZ7643">
        <f t="shared" si="335"/>
        <v>0</v>
      </c>
      <c r="CA7643">
        <f t="shared" si="335"/>
        <v>0</v>
      </c>
      <c r="CB7643">
        <f t="shared" si="335"/>
        <v>0</v>
      </c>
      <c r="CC7643">
        <f t="shared" si="335"/>
        <v>0</v>
      </c>
      <c r="CD7643">
        <f t="shared" si="335"/>
        <v>0</v>
      </c>
      <c r="CE7643">
        <f t="shared" si="335"/>
        <v>0</v>
      </c>
      <c r="CF7643">
        <f t="shared" si="335"/>
        <v>0</v>
      </c>
      <c r="CG7643">
        <f t="shared" si="335"/>
        <v>0</v>
      </c>
      <c r="CH7643">
        <f t="shared" si="335"/>
        <v>0</v>
      </c>
      <c r="CI7643">
        <f t="shared" si="335"/>
        <v>0</v>
      </c>
      <c r="CJ7643">
        <f t="shared" si="335"/>
        <v>0</v>
      </c>
      <c r="CK7643">
        <f t="shared" si="335"/>
        <v>0</v>
      </c>
      <c r="CL7643">
        <f t="shared" si="335"/>
        <v>0</v>
      </c>
      <c r="CM7643">
        <f t="shared" si="335"/>
        <v>0</v>
      </c>
      <c r="CN7643">
        <f t="shared" si="335"/>
        <v>0</v>
      </c>
      <c r="CO7643">
        <f t="shared" si="335"/>
        <v>0</v>
      </c>
      <c r="CP7643">
        <f t="shared" si="335"/>
        <v>0</v>
      </c>
      <c r="CQ7643">
        <f t="shared" si="335"/>
        <v>0</v>
      </c>
      <c r="CR7643">
        <f t="shared" si="335"/>
        <v>0</v>
      </c>
      <c r="CS7643">
        <f t="shared" si="335"/>
        <v>0</v>
      </c>
      <c r="CT7643">
        <f t="shared" si="335"/>
        <v>0</v>
      </c>
      <c r="CU7643">
        <f t="shared" si="335"/>
        <v>0</v>
      </c>
      <c r="CV7643">
        <f t="shared" si="335"/>
        <v>0</v>
      </c>
      <c r="CW7643">
        <f t="shared" si="335"/>
        <v>0</v>
      </c>
      <c r="CX7643">
        <f t="shared" si="335"/>
        <v>0</v>
      </c>
    </row>
    <row r="7644" spans="51:103">
      <c r="AY7644">
        <v>99</v>
      </c>
      <c r="AZ7644" s="2"/>
      <c r="BC7644">
        <f t="shared" ref="BC7644:CX7644" si="336">COUNTIF(B$3:B$7503,"99")</f>
        <v>0</v>
      </c>
      <c r="BD7644">
        <f t="shared" si="336"/>
        <v>0</v>
      </c>
      <c r="BE7644">
        <f t="shared" si="336"/>
        <v>0</v>
      </c>
      <c r="BF7644">
        <f t="shared" si="336"/>
        <v>0</v>
      </c>
      <c r="BG7644">
        <f t="shared" si="336"/>
        <v>0</v>
      </c>
      <c r="BH7644">
        <f t="shared" si="336"/>
        <v>0</v>
      </c>
      <c r="BI7644">
        <f t="shared" si="336"/>
        <v>0</v>
      </c>
      <c r="BJ7644">
        <f t="shared" si="336"/>
        <v>0</v>
      </c>
      <c r="BK7644" s="1">
        <f t="shared" si="336"/>
        <v>0</v>
      </c>
      <c r="BL7644">
        <f t="shared" si="336"/>
        <v>0</v>
      </c>
      <c r="BM7644">
        <f t="shared" si="336"/>
        <v>0</v>
      </c>
      <c r="BN7644">
        <f t="shared" si="336"/>
        <v>0</v>
      </c>
      <c r="BO7644">
        <f t="shared" si="336"/>
        <v>0</v>
      </c>
      <c r="BP7644">
        <f t="shared" si="336"/>
        <v>0</v>
      </c>
      <c r="BQ7644">
        <f t="shared" si="336"/>
        <v>0</v>
      </c>
      <c r="BR7644">
        <f t="shared" si="336"/>
        <v>0</v>
      </c>
      <c r="BS7644">
        <f t="shared" si="336"/>
        <v>0</v>
      </c>
      <c r="BT7644">
        <f t="shared" si="336"/>
        <v>0</v>
      </c>
      <c r="BU7644">
        <f t="shared" si="336"/>
        <v>0</v>
      </c>
      <c r="BV7644">
        <f t="shared" si="336"/>
        <v>0</v>
      </c>
      <c r="BW7644">
        <f t="shared" si="336"/>
        <v>0</v>
      </c>
      <c r="BX7644">
        <f t="shared" si="336"/>
        <v>0</v>
      </c>
      <c r="BY7644">
        <f t="shared" si="336"/>
        <v>0</v>
      </c>
      <c r="BZ7644">
        <f t="shared" si="336"/>
        <v>0</v>
      </c>
      <c r="CA7644">
        <f t="shared" si="336"/>
        <v>0</v>
      </c>
      <c r="CB7644">
        <f t="shared" si="336"/>
        <v>0</v>
      </c>
      <c r="CC7644">
        <f t="shared" si="336"/>
        <v>0</v>
      </c>
      <c r="CD7644">
        <f t="shared" si="336"/>
        <v>0</v>
      </c>
      <c r="CE7644">
        <f t="shared" si="336"/>
        <v>0</v>
      </c>
      <c r="CF7644">
        <f t="shared" si="336"/>
        <v>0</v>
      </c>
      <c r="CG7644">
        <f t="shared" si="336"/>
        <v>0</v>
      </c>
      <c r="CH7644">
        <f t="shared" si="336"/>
        <v>0</v>
      </c>
      <c r="CI7644">
        <f t="shared" si="336"/>
        <v>0</v>
      </c>
      <c r="CJ7644">
        <f t="shared" si="336"/>
        <v>0</v>
      </c>
      <c r="CK7644">
        <f t="shared" si="336"/>
        <v>0</v>
      </c>
      <c r="CL7644">
        <f t="shared" si="336"/>
        <v>0</v>
      </c>
      <c r="CM7644">
        <f t="shared" si="336"/>
        <v>0</v>
      </c>
      <c r="CN7644">
        <f t="shared" si="336"/>
        <v>0</v>
      </c>
      <c r="CO7644">
        <f t="shared" si="336"/>
        <v>0</v>
      </c>
      <c r="CP7644">
        <f t="shared" si="336"/>
        <v>0</v>
      </c>
      <c r="CQ7644">
        <f t="shared" si="336"/>
        <v>0</v>
      </c>
      <c r="CR7644">
        <f t="shared" si="336"/>
        <v>0</v>
      </c>
      <c r="CS7644">
        <f t="shared" si="336"/>
        <v>0</v>
      </c>
      <c r="CT7644">
        <f t="shared" si="336"/>
        <v>0</v>
      </c>
      <c r="CU7644">
        <f t="shared" si="336"/>
        <v>0</v>
      </c>
      <c r="CV7644">
        <f t="shared" si="336"/>
        <v>0</v>
      </c>
      <c r="CW7644">
        <f t="shared" si="336"/>
        <v>0</v>
      </c>
      <c r="CX7644">
        <f t="shared" si="336"/>
        <v>0</v>
      </c>
    </row>
    <row r="7645" spans="51:103">
      <c r="AY7645">
        <v>100</v>
      </c>
      <c r="AZ7645" s="2"/>
      <c r="BC7645">
        <f t="shared" ref="BC7645:CX7645" si="337">COUNTIF(B$3:B$7503,"100")</f>
        <v>0</v>
      </c>
      <c r="BD7645">
        <f t="shared" si="337"/>
        <v>0</v>
      </c>
      <c r="BE7645">
        <f t="shared" si="337"/>
        <v>0</v>
      </c>
      <c r="BF7645">
        <f t="shared" si="337"/>
        <v>0</v>
      </c>
      <c r="BG7645">
        <f t="shared" si="337"/>
        <v>0</v>
      </c>
      <c r="BH7645">
        <f t="shared" si="337"/>
        <v>0</v>
      </c>
      <c r="BI7645">
        <f t="shared" si="337"/>
        <v>0</v>
      </c>
      <c r="BJ7645">
        <f t="shared" si="337"/>
        <v>0</v>
      </c>
      <c r="BK7645" s="1">
        <f t="shared" si="337"/>
        <v>0</v>
      </c>
      <c r="BL7645">
        <f t="shared" si="337"/>
        <v>0</v>
      </c>
      <c r="BM7645">
        <f t="shared" si="337"/>
        <v>0</v>
      </c>
      <c r="BN7645">
        <f t="shared" si="337"/>
        <v>0</v>
      </c>
      <c r="BO7645">
        <f t="shared" si="337"/>
        <v>0</v>
      </c>
      <c r="BP7645">
        <f t="shared" si="337"/>
        <v>0</v>
      </c>
      <c r="BQ7645">
        <f t="shared" si="337"/>
        <v>0</v>
      </c>
      <c r="BR7645">
        <f t="shared" si="337"/>
        <v>0</v>
      </c>
      <c r="BS7645">
        <f t="shared" si="337"/>
        <v>0</v>
      </c>
      <c r="BT7645">
        <f t="shared" si="337"/>
        <v>0</v>
      </c>
      <c r="BU7645">
        <f t="shared" si="337"/>
        <v>0</v>
      </c>
      <c r="BV7645">
        <f t="shared" si="337"/>
        <v>0</v>
      </c>
      <c r="BW7645">
        <f t="shared" si="337"/>
        <v>0</v>
      </c>
      <c r="BX7645">
        <f t="shared" si="337"/>
        <v>0</v>
      </c>
      <c r="BY7645">
        <f t="shared" si="337"/>
        <v>0</v>
      </c>
      <c r="BZ7645">
        <f t="shared" si="337"/>
        <v>0</v>
      </c>
      <c r="CA7645">
        <f t="shared" si="337"/>
        <v>0</v>
      </c>
      <c r="CB7645">
        <f t="shared" si="337"/>
        <v>0</v>
      </c>
      <c r="CC7645">
        <f t="shared" si="337"/>
        <v>0</v>
      </c>
      <c r="CD7645">
        <f t="shared" si="337"/>
        <v>0</v>
      </c>
      <c r="CE7645">
        <f t="shared" si="337"/>
        <v>0</v>
      </c>
      <c r="CF7645">
        <f t="shared" si="337"/>
        <v>0</v>
      </c>
      <c r="CG7645">
        <f t="shared" si="337"/>
        <v>0</v>
      </c>
      <c r="CH7645">
        <f t="shared" si="337"/>
        <v>0</v>
      </c>
      <c r="CI7645">
        <f t="shared" si="337"/>
        <v>0</v>
      </c>
      <c r="CJ7645">
        <f t="shared" si="337"/>
        <v>0</v>
      </c>
      <c r="CK7645">
        <f t="shared" si="337"/>
        <v>0</v>
      </c>
      <c r="CL7645">
        <f t="shared" si="337"/>
        <v>0</v>
      </c>
      <c r="CM7645">
        <f t="shared" si="337"/>
        <v>0</v>
      </c>
      <c r="CN7645">
        <f t="shared" si="337"/>
        <v>0</v>
      </c>
      <c r="CO7645">
        <f t="shared" si="337"/>
        <v>0</v>
      </c>
      <c r="CP7645">
        <f t="shared" si="337"/>
        <v>0</v>
      </c>
      <c r="CQ7645">
        <f t="shared" si="337"/>
        <v>0</v>
      </c>
      <c r="CR7645">
        <f t="shared" si="337"/>
        <v>0</v>
      </c>
      <c r="CS7645">
        <f t="shared" si="337"/>
        <v>0</v>
      </c>
      <c r="CT7645">
        <f t="shared" si="337"/>
        <v>0</v>
      </c>
      <c r="CU7645">
        <f t="shared" si="337"/>
        <v>0</v>
      </c>
      <c r="CV7645">
        <f t="shared" si="337"/>
        <v>0</v>
      </c>
      <c r="CW7645">
        <f t="shared" si="337"/>
        <v>0</v>
      </c>
      <c r="CX7645">
        <f t="shared" si="337"/>
        <v>0</v>
      </c>
    </row>
    <row r="7647" spans="51:103">
      <c r="AZ7647" t="s">
        <v>7525</v>
      </c>
      <c r="BC7647" s="2"/>
      <c r="BD7647">
        <f t="shared" ref="BD7647:CX7647" si="338">SUM(B$7546:B$7627)</f>
        <v>0</v>
      </c>
      <c r="BE7647">
        <f t="shared" si="338"/>
        <v>0</v>
      </c>
      <c r="BF7647">
        <f t="shared" si="338"/>
        <v>0</v>
      </c>
      <c r="BG7647">
        <f t="shared" si="338"/>
        <v>0</v>
      </c>
      <c r="BH7647">
        <f t="shared" si="338"/>
        <v>0</v>
      </c>
      <c r="BI7647">
        <f t="shared" si="338"/>
        <v>0</v>
      </c>
      <c r="BJ7647">
        <f t="shared" si="338"/>
        <v>0</v>
      </c>
      <c r="BK7647">
        <f t="shared" si="338"/>
        <v>0</v>
      </c>
      <c r="BL7647">
        <f t="shared" si="338"/>
        <v>0</v>
      </c>
      <c r="BM7647">
        <f t="shared" si="338"/>
        <v>0</v>
      </c>
      <c r="BN7647">
        <f t="shared" si="338"/>
        <v>0</v>
      </c>
      <c r="BO7647">
        <f t="shared" si="338"/>
        <v>0</v>
      </c>
      <c r="BP7647">
        <f t="shared" si="338"/>
        <v>0</v>
      </c>
      <c r="BQ7647">
        <f t="shared" si="338"/>
        <v>0</v>
      </c>
      <c r="BR7647">
        <f t="shared" si="338"/>
        <v>0</v>
      </c>
      <c r="BS7647">
        <f t="shared" si="338"/>
        <v>0</v>
      </c>
      <c r="BT7647">
        <f t="shared" si="338"/>
        <v>0</v>
      </c>
      <c r="BU7647">
        <f t="shared" si="338"/>
        <v>0</v>
      </c>
      <c r="BV7647">
        <f t="shared" si="338"/>
        <v>0</v>
      </c>
      <c r="BW7647">
        <f t="shared" si="338"/>
        <v>0</v>
      </c>
      <c r="BX7647">
        <f t="shared" si="338"/>
        <v>0</v>
      </c>
      <c r="BY7647">
        <f t="shared" si="338"/>
        <v>0</v>
      </c>
      <c r="BZ7647">
        <f t="shared" si="338"/>
        <v>0</v>
      </c>
      <c r="CA7647">
        <f t="shared" si="338"/>
        <v>0</v>
      </c>
      <c r="CB7647">
        <f t="shared" si="338"/>
        <v>0</v>
      </c>
      <c r="CC7647">
        <f t="shared" si="338"/>
        <v>0</v>
      </c>
      <c r="CD7647">
        <f t="shared" si="338"/>
        <v>0</v>
      </c>
      <c r="CE7647">
        <f t="shared" si="338"/>
        <v>0</v>
      </c>
      <c r="CF7647">
        <f t="shared" si="338"/>
        <v>0</v>
      </c>
      <c r="CG7647">
        <f t="shared" si="338"/>
        <v>0</v>
      </c>
      <c r="CH7647">
        <f t="shared" si="338"/>
        <v>0</v>
      </c>
      <c r="CI7647">
        <f t="shared" si="338"/>
        <v>0</v>
      </c>
      <c r="CJ7647">
        <f t="shared" si="338"/>
        <v>0</v>
      </c>
      <c r="CK7647">
        <f t="shared" si="338"/>
        <v>0</v>
      </c>
      <c r="CL7647">
        <f t="shared" si="338"/>
        <v>0</v>
      </c>
      <c r="CM7647">
        <f t="shared" si="338"/>
        <v>0</v>
      </c>
      <c r="CN7647">
        <f t="shared" si="338"/>
        <v>0</v>
      </c>
      <c r="CO7647">
        <f t="shared" si="338"/>
        <v>0</v>
      </c>
      <c r="CP7647">
        <f t="shared" si="338"/>
        <v>0</v>
      </c>
      <c r="CQ7647">
        <f t="shared" si="338"/>
        <v>0</v>
      </c>
      <c r="CR7647">
        <f t="shared" si="338"/>
        <v>0</v>
      </c>
      <c r="CS7647">
        <f t="shared" si="338"/>
        <v>0</v>
      </c>
      <c r="CT7647">
        <f t="shared" si="338"/>
        <v>0</v>
      </c>
      <c r="CU7647">
        <f t="shared" si="338"/>
        <v>0</v>
      </c>
      <c r="CV7647">
        <f t="shared" si="338"/>
        <v>0</v>
      </c>
      <c r="CW7647">
        <f t="shared" si="338"/>
        <v>0</v>
      </c>
      <c r="CX7647">
        <f t="shared" si="338"/>
        <v>0</v>
      </c>
      <c r="CY7647">
        <f>SUM(BD7647:CX7647)</f>
        <v>0</v>
      </c>
    </row>
    <row r="7648" spans="51:103">
      <c r="AZ7648" t="s">
        <v>7551</v>
      </c>
      <c r="BC7648" s="2"/>
      <c r="BD7648">
        <f>SUM(B$7546:B$7627)</f>
        <v>0</v>
      </c>
      <c r="BE7648">
        <f>SUM(C$7546:C$7627)</f>
        <v>0</v>
      </c>
      <c r="BF7648">
        <f>SUM(D$7546:D$7627)</f>
        <v>0</v>
      </c>
      <c r="BG7648">
        <f>SUM(E$7546:E$7627)</f>
        <v>0</v>
      </c>
      <c r="CY7648">
        <f>SUM(BD7648:CX7648)</f>
        <v>0</v>
      </c>
    </row>
    <row r="7649" spans="52:103">
      <c r="AZ7649" t="s">
        <v>7528</v>
      </c>
      <c r="BC7649" s="2"/>
      <c r="BH7649">
        <f t="shared" ref="BH7649:CX7649" si="339">SUM(F$7546:F$7627)</f>
        <v>0</v>
      </c>
      <c r="BI7649">
        <f t="shared" si="339"/>
        <v>0</v>
      </c>
      <c r="BJ7649">
        <f t="shared" si="339"/>
        <v>0</v>
      </c>
      <c r="BK7649">
        <f t="shared" si="339"/>
        <v>0</v>
      </c>
      <c r="BL7649">
        <f t="shared" si="339"/>
        <v>0</v>
      </c>
      <c r="BM7649">
        <f t="shared" si="339"/>
        <v>0</v>
      </c>
      <c r="BN7649">
        <f t="shared" si="339"/>
        <v>0</v>
      </c>
      <c r="BO7649">
        <f t="shared" si="339"/>
        <v>0</v>
      </c>
      <c r="BP7649">
        <f t="shared" si="339"/>
        <v>0</v>
      </c>
      <c r="BQ7649">
        <f t="shared" si="339"/>
        <v>0</v>
      </c>
      <c r="BR7649">
        <f t="shared" si="339"/>
        <v>0</v>
      </c>
      <c r="BS7649">
        <f t="shared" si="339"/>
        <v>0</v>
      </c>
      <c r="BT7649">
        <f t="shared" si="339"/>
        <v>0</v>
      </c>
      <c r="BU7649">
        <f t="shared" si="339"/>
        <v>0</v>
      </c>
      <c r="BV7649">
        <f t="shared" si="339"/>
        <v>0</v>
      </c>
      <c r="BW7649">
        <f t="shared" si="339"/>
        <v>0</v>
      </c>
      <c r="BX7649">
        <f t="shared" si="339"/>
        <v>0</v>
      </c>
      <c r="BY7649">
        <f t="shared" si="339"/>
        <v>0</v>
      </c>
      <c r="BZ7649">
        <f t="shared" si="339"/>
        <v>0</v>
      </c>
      <c r="CA7649">
        <f t="shared" si="339"/>
        <v>0</v>
      </c>
      <c r="CB7649">
        <f t="shared" si="339"/>
        <v>0</v>
      </c>
      <c r="CC7649">
        <f t="shared" si="339"/>
        <v>0</v>
      </c>
      <c r="CD7649">
        <f t="shared" si="339"/>
        <v>0</v>
      </c>
      <c r="CE7649">
        <f t="shared" si="339"/>
        <v>0</v>
      </c>
      <c r="CF7649">
        <f t="shared" si="339"/>
        <v>0</v>
      </c>
      <c r="CG7649">
        <f t="shared" si="339"/>
        <v>0</v>
      </c>
      <c r="CH7649">
        <f t="shared" si="339"/>
        <v>0</v>
      </c>
      <c r="CI7649">
        <f t="shared" si="339"/>
        <v>0</v>
      </c>
      <c r="CJ7649">
        <f t="shared" si="339"/>
        <v>0</v>
      </c>
      <c r="CK7649">
        <f t="shared" si="339"/>
        <v>0</v>
      </c>
      <c r="CL7649">
        <f t="shared" si="339"/>
        <v>0</v>
      </c>
      <c r="CM7649">
        <f t="shared" si="339"/>
        <v>0</v>
      </c>
      <c r="CN7649">
        <f t="shared" si="339"/>
        <v>0</v>
      </c>
      <c r="CO7649">
        <f t="shared" si="339"/>
        <v>0</v>
      </c>
      <c r="CP7649">
        <f t="shared" si="339"/>
        <v>0</v>
      </c>
      <c r="CQ7649">
        <f t="shared" si="339"/>
        <v>0</v>
      </c>
      <c r="CR7649">
        <f t="shared" si="339"/>
        <v>0</v>
      </c>
      <c r="CS7649">
        <f t="shared" si="339"/>
        <v>0</v>
      </c>
      <c r="CT7649">
        <f t="shared" si="339"/>
        <v>0</v>
      </c>
      <c r="CU7649">
        <f t="shared" si="339"/>
        <v>0</v>
      </c>
      <c r="CV7649">
        <f t="shared" si="339"/>
        <v>0</v>
      </c>
      <c r="CW7649">
        <f t="shared" si="339"/>
        <v>0</v>
      </c>
      <c r="CX7649">
        <f t="shared" si="339"/>
        <v>0</v>
      </c>
      <c r="CY7649">
        <f>SUM(BD7649:CX7649)</f>
        <v>0</v>
      </c>
    </row>
    <row r="7650" spans="52:103">
      <c r="AZ7650" t="s">
        <v>7526</v>
      </c>
      <c r="BC7650" s="2"/>
      <c r="BD7650">
        <f t="shared" ref="BD7650:CX7650" si="340">BD$7647*40/1000</f>
        <v>0</v>
      </c>
      <c r="BE7650">
        <f t="shared" si="340"/>
        <v>0</v>
      </c>
      <c r="BF7650">
        <f t="shared" si="340"/>
        <v>0</v>
      </c>
      <c r="BG7650">
        <f t="shared" si="340"/>
        <v>0</v>
      </c>
      <c r="BH7650">
        <f t="shared" si="340"/>
        <v>0</v>
      </c>
      <c r="BI7650">
        <f t="shared" si="340"/>
        <v>0</v>
      </c>
      <c r="BJ7650">
        <f t="shared" si="340"/>
        <v>0</v>
      </c>
      <c r="BK7650">
        <f t="shared" si="340"/>
        <v>0</v>
      </c>
      <c r="BL7650" s="1">
        <f t="shared" si="340"/>
        <v>0</v>
      </c>
      <c r="BM7650">
        <f t="shared" si="340"/>
        <v>0</v>
      </c>
      <c r="BN7650">
        <f t="shared" si="340"/>
        <v>0</v>
      </c>
      <c r="BO7650">
        <f t="shared" si="340"/>
        <v>0</v>
      </c>
      <c r="BP7650">
        <f t="shared" si="340"/>
        <v>0</v>
      </c>
      <c r="BQ7650">
        <f t="shared" si="340"/>
        <v>0</v>
      </c>
      <c r="BR7650">
        <f t="shared" si="340"/>
        <v>0</v>
      </c>
      <c r="BS7650">
        <f t="shared" si="340"/>
        <v>0</v>
      </c>
      <c r="BT7650">
        <f t="shared" si="340"/>
        <v>0</v>
      </c>
      <c r="BU7650">
        <f t="shared" si="340"/>
        <v>0</v>
      </c>
      <c r="BV7650">
        <f t="shared" si="340"/>
        <v>0</v>
      </c>
      <c r="BW7650">
        <f t="shared" si="340"/>
        <v>0</v>
      </c>
      <c r="BX7650">
        <f t="shared" si="340"/>
        <v>0</v>
      </c>
      <c r="BY7650">
        <f t="shared" si="340"/>
        <v>0</v>
      </c>
      <c r="BZ7650">
        <f t="shared" si="340"/>
        <v>0</v>
      </c>
      <c r="CA7650">
        <f t="shared" si="340"/>
        <v>0</v>
      </c>
      <c r="CB7650">
        <f t="shared" si="340"/>
        <v>0</v>
      </c>
      <c r="CC7650">
        <f t="shared" si="340"/>
        <v>0</v>
      </c>
      <c r="CD7650">
        <f t="shared" si="340"/>
        <v>0</v>
      </c>
      <c r="CE7650">
        <f t="shared" si="340"/>
        <v>0</v>
      </c>
      <c r="CF7650">
        <f t="shared" si="340"/>
        <v>0</v>
      </c>
      <c r="CG7650">
        <f t="shared" si="340"/>
        <v>0</v>
      </c>
      <c r="CH7650">
        <f t="shared" si="340"/>
        <v>0</v>
      </c>
      <c r="CI7650">
        <f t="shared" si="340"/>
        <v>0</v>
      </c>
      <c r="CJ7650">
        <f t="shared" si="340"/>
        <v>0</v>
      </c>
      <c r="CK7650">
        <f t="shared" si="340"/>
        <v>0</v>
      </c>
      <c r="CL7650">
        <f t="shared" si="340"/>
        <v>0</v>
      </c>
      <c r="CM7650">
        <f t="shared" si="340"/>
        <v>0</v>
      </c>
      <c r="CN7650">
        <f t="shared" si="340"/>
        <v>0</v>
      </c>
      <c r="CO7650">
        <f t="shared" si="340"/>
        <v>0</v>
      </c>
      <c r="CP7650">
        <f t="shared" si="340"/>
        <v>0</v>
      </c>
      <c r="CQ7650">
        <f t="shared" si="340"/>
        <v>0</v>
      </c>
      <c r="CR7650">
        <f t="shared" si="340"/>
        <v>0</v>
      </c>
      <c r="CS7650">
        <f t="shared" si="340"/>
        <v>0</v>
      </c>
      <c r="CT7650">
        <f t="shared" si="340"/>
        <v>0</v>
      </c>
      <c r="CU7650">
        <f t="shared" si="340"/>
        <v>0</v>
      </c>
      <c r="CV7650">
        <f t="shared" si="340"/>
        <v>0</v>
      </c>
      <c r="CW7650">
        <f t="shared" si="340"/>
        <v>0</v>
      </c>
      <c r="CX7650">
        <f t="shared" si="340"/>
        <v>0</v>
      </c>
      <c r="CY7650">
        <f>SUM(BD7650:CX7650)</f>
        <v>0</v>
      </c>
    </row>
    <row r="7651" spans="52:103">
      <c r="AZ7651" t="s">
        <v>7527</v>
      </c>
      <c r="BC7651" s="2"/>
      <c r="BD7651">
        <f>BD$7647*40/1000</f>
        <v>0</v>
      </c>
      <c r="BE7651">
        <f>BE$7647*40/1000</f>
        <v>0</v>
      </c>
      <c r="BF7651">
        <f>BF$7647*40/1000</f>
        <v>0</v>
      </c>
      <c r="BG7651">
        <f>BG$7647*40/1000</f>
        <v>0</v>
      </c>
      <c r="BL7651" s="1"/>
      <c r="CY7651">
        <f>SUM(BD7651:CX7651)</f>
        <v>0</v>
      </c>
    </row>
    <row r="7652" spans="52:103">
      <c r="AZ7652" t="s">
        <v>7528</v>
      </c>
      <c r="BC7652" s="2"/>
      <c r="BH7652">
        <f t="shared" ref="BH7652:CX7652" si="341">BH$7647*40/1000</f>
        <v>0</v>
      </c>
      <c r="BI7652">
        <f t="shared" si="341"/>
        <v>0</v>
      </c>
      <c r="BJ7652">
        <f t="shared" si="341"/>
        <v>0</v>
      </c>
      <c r="BK7652">
        <f t="shared" si="341"/>
        <v>0</v>
      </c>
      <c r="BL7652" s="1">
        <f t="shared" si="341"/>
        <v>0</v>
      </c>
      <c r="BM7652" s="1">
        <f t="shared" si="341"/>
        <v>0</v>
      </c>
      <c r="BN7652" s="1">
        <f t="shared" si="341"/>
        <v>0</v>
      </c>
      <c r="BO7652" s="1">
        <f t="shared" si="341"/>
        <v>0</v>
      </c>
      <c r="BP7652">
        <f t="shared" si="341"/>
        <v>0</v>
      </c>
      <c r="BQ7652">
        <f t="shared" si="341"/>
        <v>0</v>
      </c>
      <c r="BR7652">
        <f t="shared" si="341"/>
        <v>0</v>
      </c>
      <c r="BS7652">
        <f t="shared" si="341"/>
        <v>0</v>
      </c>
      <c r="BT7652">
        <f t="shared" si="341"/>
        <v>0</v>
      </c>
      <c r="BU7652">
        <f t="shared" si="341"/>
        <v>0</v>
      </c>
      <c r="BV7652">
        <f t="shared" si="341"/>
        <v>0</v>
      </c>
      <c r="BW7652">
        <f t="shared" si="341"/>
        <v>0</v>
      </c>
      <c r="BX7652">
        <f t="shared" si="341"/>
        <v>0</v>
      </c>
      <c r="BY7652">
        <f t="shared" si="341"/>
        <v>0</v>
      </c>
      <c r="BZ7652">
        <f t="shared" si="341"/>
        <v>0</v>
      </c>
      <c r="CA7652">
        <f t="shared" si="341"/>
        <v>0</v>
      </c>
      <c r="CB7652">
        <f t="shared" si="341"/>
        <v>0</v>
      </c>
      <c r="CC7652">
        <f t="shared" si="341"/>
        <v>0</v>
      </c>
      <c r="CD7652">
        <f t="shared" si="341"/>
        <v>0</v>
      </c>
      <c r="CE7652">
        <f t="shared" si="341"/>
        <v>0</v>
      </c>
      <c r="CF7652">
        <f t="shared" si="341"/>
        <v>0</v>
      </c>
      <c r="CG7652">
        <f t="shared" si="341"/>
        <v>0</v>
      </c>
      <c r="CH7652">
        <f t="shared" si="341"/>
        <v>0</v>
      </c>
      <c r="CI7652">
        <f t="shared" si="341"/>
        <v>0</v>
      </c>
      <c r="CJ7652">
        <f t="shared" si="341"/>
        <v>0</v>
      </c>
      <c r="CK7652">
        <f t="shared" si="341"/>
        <v>0</v>
      </c>
      <c r="CL7652">
        <f t="shared" si="341"/>
        <v>0</v>
      </c>
      <c r="CM7652">
        <f t="shared" si="341"/>
        <v>0</v>
      </c>
      <c r="CN7652">
        <f t="shared" si="341"/>
        <v>0</v>
      </c>
      <c r="CO7652">
        <f t="shared" si="341"/>
        <v>0</v>
      </c>
      <c r="CP7652">
        <f t="shared" si="341"/>
        <v>0</v>
      </c>
      <c r="CQ7652">
        <f t="shared" si="341"/>
        <v>0</v>
      </c>
      <c r="CR7652">
        <f t="shared" si="341"/>
        <v>0</v>
      </c>
      <c r="CS7652">
        <f t="shared" si="341"/>
        <v>0</v>
      </c>
      <c r="CT7652">
        <f t="shared" si="341"/>
        <v>0</v>
      </c>
      <c r="CU7652">
        <f t="shared" si="341"/>
        <v>0</v>
      </c>
      <c r="CV7652" s="1">
        <f t="shared" si="341"/>
        <v>0</v>
      </c>
      <c r="CW7652">
        <f t="shared" si="341"/>
        <v>0</v>
      </c>
      <c r="CX7652" s="1">
        <f t="shared" si="341"/>
        <v>0</v>
      </c>
      <c r="CY7652">
        <f>SUM(BB7652:BB7652)</f>
        <v>0</v>
      </c>
    </row>
    <row r="7653" spans="52:103">
      <c r="BA765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"/>
  <sheetViews>
    <sheetView tabSelected="1" topLeftCell="A7" zoomScale="72" zoomScaleNormal="72" workbookViewId="0">
      <selection activeCell="C2" sqref="C2"/>
    </sheetView>
  </sheetViews>
  <sheetFormatPr defaultColWidth="8" defaultRowHeight="13.8"/>
  <sheetData>
    <row r="4" spans="2:2">
      <c r="B4" s="5"/>
    </row>
  </sheetData>
  <pageMargins left="0" right="0" top="0.19685039370078741" bottom="0.1968503937007874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transpose</vt:lpstr>
      <vt:lpstr>Ábrák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Gyongyi Horvath</dc:creator>
  <cp:lastModifiedBy>HORVATH</cp:lastModifiedBy>
  <cp:lastPrinted>2025-04-03T07:48:26Z</cp:lastPrinted>
  <dcterms:created xsi:type="dcterms:W3CDTF">2025-03-09T12:25:46Z</dcterms:created>
  <dcterms:modified xsi:type="dcterms:W3CDTF">2025-05-07T07:25:19Z</dcterms:modified>
</cp:coreProperties>
</file>